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 - Men" sheetId="1" r:id="rId4"/>
    <sheet state="visible" name="Men Div 1" sheetId="2" r:id="rId5"/>
    <sheet state="visible" name="Men Div 2" sheetId="3" r:id="rId6"/>
    <sheet state="visible" name="Men Div 3" sheetId="4" r:id="rId7"/>
    <sheet state="visible" name="Men Div 4" sheetId="5" r:id="rId8"/>
    <sheet state="visible" name="Men Div 5" sheetId="6" r:id="rId9"/>
    <sheet state="visible" name="Players - Ladies" sheetId="7" r:id="rId10"/>
    <sheet state="visible" name="Ladies Div 1" sheetId="8" r:id="rId11"/>
    <sheet state="visible" name="Ladies Div 2" sheetId="9" r:id="rId12"/>
    <sheet state="visible" name="Ladies Div 3" sheetId="10" r:id="rId13"/>
    <sheet state="visible" name="Ladies Div 4" sheetId="11" r:id="rId14"/>
  </sheets>
  <definedNames/>
  <calcPr/>
  <extLst>
    <ext uri="GoogleSheetsCustomDataVersion2">
      <go:sheetsCustomData xmlns:go="http://customooxmlschemas.google.com/" r:id="rId15" roundtripDataChecksum="ZuI5/ZXrQFLNinYsKk5JGmaPNAKtaF49OH3eH270Evc="/>
    </ext>
  </extLst>
</workbook>
</file>

<file path=xl/sharedStrings.xml><?xml version="1.0" encoding="utf-8"?>
<sst xmlns="http://schemas.openxmlformats.org/spreadsheetml/2006/main" count="749" uniqueCount="114">
  <si>
    <t>Troy Shipping Agency Singles Tournament 2024</t>
  </si>
  <si>
    <t>Men Division 1 - Group A</t>
  </si>
  <si>
    <t>Men Division 1 - Group B</t>
  </si>
  <si>
    <t>Reuben Borg</t>
  </si>
  <si>
    <t>Trevor Rutter</t>
  </si>
  <si>
    <t>Melchior Farrugia</t>
  </si>
  <si>
    <t>Matthew Pace</t>
  </si>
  <si>
    <t>Matthew Borg</t>
  </si>
  <si>
    <t>Andrew Pule'</t>
  </si>
  <si>
    <t>Jean Attard</t>
  </si>
  <si>
    <t>Fotios Evangelou</t>
  </si>
  <si>
    <t>Adrian Manduca</t>
  </si>
  <si>
    <t>Marco Mercieca</t>
  </si>
  <si>
    <t>Keith Micallef</t>
  </si>
  <si>
    <t>Daniel Falzon</t>
  </si>
  <si>
    <t>Men Division 2 - Group A</t>
  </si>
  <si>
    <t>Men Division 2 - Group B</t>
  </si>
  <si>
    <t>Andre' Farrugia</t>
  </si>
  <si>
    <t>Roderick Spiteri</t>
  </si>
  <si>
    <t>Liam Dixon</t>
  </si>
  <si>
    <t>Daniel Farrugia</t>
  </si>
  <si>
    <t>Tobias Kristensen</t>
  </si>
  <si>
    <t>Georges Meekers</t>
  </si>
  <si>
    <t>Gabriel Pace</t>
  </si>
  <si>
    <t>Jay Boy Lastimosa</t>
  </si>
  <si>
    <t>Chi Chi Canonce</t>
  </si>
  <si>
    <t>Emman Xuereb</t>
  </si>
  <si>
    <t>Eric Micallef</t>
  </si>
  <si>
    <t>Cyril Lastimosa</t>
  </si>
  <si>
    <t>Men Division 3</t>
  </si>
  <si>
    <t>Mavric Sawyer</t>
  </si>
  <si>
    <t>Artiom Kiricenko</t>
  </si>
  <si>
    <t>Kristen Cachia</t>
  </si>
  <si>
    <t>Denis Caruana</t>
  </si>
  <si>
    <t>Ryan Ebejer</t>
  </si>
  <si>
    <t>Max Anastasi Jr</t>
  </si>
  <si>
    <t>Men Division 4</t>
  </si>
  <si>
    <t>Lydon Vella</t>
  </si>
  <si>
    <t>Kenneth Farrugia</t>
  </si>
  <si>
    <t>M. Ibnu Wahyudi Mohamad Ibnu Wahyudi</t>
  </si>
  <si>
    <t>Etienne Formosa Carabez</t>
  </si>
  <si>
    <t>Ivan Cassar</t>
  </si>
  <si>
    <t>Kurt Cassar</t>
  </si>
  <si>
    <t>Men Division 5</t>
  </si>
  <si>
    <t>JP Sciberras</t>
  </si>
  <si>
    <t>Adrian Duca</t>
  </si>
  <si>
    <t>Cory Greenland</t>
  </si>
  <si>
    <t>Matthew Micallef</t>
  </si>
  <si>
    <t>Donald Deguzman</t>
  </si>
  <si>
    <t>Juan Sammut</t>
  </si>
  <si>
    <t>Division 1 - Group A</t>
  </si>
  <si>
    <t>Players</t>
  </si>
  <si>
    <t>Set Scores</t>
  </si>
  <si>
    <t>Tie</t>
  </si>
  <si>
    <t>Player</t>
  </si>
  <si>
    <t>Games</t>
  </si>
  <si>
    <t>Points</t>
  </si>
  <si>
    <t>Games Won</t>
  </si>
  <si>
    <t>Sets Won</t>
  </si>
  <si>
    <t>Score</t>
  </si>
  <si>
    <t>Set 1 Work</t>
  </si>
  <si>
    <t>Set 2 Work</t>
  </si>
  <si>
    <t>Tie Work</t>
  </si>
  <si>
    <t>Game Played</t>
  </si>
  <si>
    <t>Sets Points Work</t>
  </si>
  <si>
    <t>Sets &amp; Tie Points Work</t>
  </si>
  <si>
    <t>Games Wins Work</t>
  </si>
  <si>
    <t>Sets Wins Work</t>
  </si>
  <si>
    <t>Winner Working</t>
  </si>
  <si>
    <t>Total Games Work</t>
  </si>
  <si>
    <t>Winner</t>
  </si>
  <si>
    <t>vs.</t>
  </si>
  <si>
    <t>Group A Winner</t>
  </si>
  <si>
    <t>w/o</t>
  </si>
  <si>
    <t>Division 1 - Group B</t>
  </si>
  <si>
    <t>Group B Winner</t>
  </si>
  <si>
    <t>Final</t>
  </si>
  <si>
    <t>Divison Winner</t>
  </si>
  <si>
    <t>Divison Runner Up</t>
  </si>
  <si>
    <t>Division 2 - Group A</t>
  </si>
  <si>
    <t>Division 2 - Group B</t>
  </si>
  <si>
    <t>Runner Up Working</t>
  </si>
  <si>
    <t>Runner Up</t>
  </si>
  <si>
    <t>Division Winner</t>
  </si>
  <si>
    <t>Division Runner Up</t>
  </si>
  <si>
    <t>Ladies Division 1</t>
  </si>
  <si>
    <t>Alison Muscat</t>
  </si>
  <si>
    <t>Pamela Cohen</t>
  </si>
  <si>
    <t>Annabelle Abela</t>
  </si>
  <si>
    <t>Alexia Gouder</t>
  </si>
  <si>
    <t>Mirka Micallef</t>
  </si>
  <si>
    <t>Diane Fenech</t>
  </si>
  <si>
    <t>Ladies Division 2</t>
  </si>
  <si>
    <t>Julie Spiteri</t>
  </si>
  <si>
    <t>Kristina Briffa</t>
  </si>
  <si>
    <t>Francesca Sciortino</t>
  </si>
  <si>
    <t>Dawn Azzopardi</t>
  </si>
  <si>
    <t>Jin Attard</t>
  </si>
  <si>
    <t>Kelsey Gauci</t>
  </si>
  <si>
    <t>Ladies Division 3</t>
  </si>
  <si>
    <t>Nancy Wong</t>
  </si>
  <si>
    <t>Dorianne Caruana Bonnici</t>
  </si>
  <si>
    <t>Jade Sammut</t>
  </si>
  <si>
    <t>Stefania Camilleri</t>
  </si>
  <si>
    <t>Ceridwen Scerri</t>
  </si>
  <si>
    <t>Laureen Agius</t>
  </si>
  <si>
    <t>Ladies Division 4</t>
  </si>
  <si>
    <t>Jodie Stivala</t>
  </si>
  <si>
    <t>Maria Ellul</t>
  </si>
  <si>
    <t>Kaya Sammut</t>
  </si>
  <si>
    <t>Leanne Sammut</t>
  </si>
  <si>
    <t>Maria Angela Gambin</t>
  </si>
  <si>
    <t>Daphne Vella</t>
  </si>
  <si>
    <t xml:space="preserve">Laureen Spiteri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</si>
</sst>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5">
    <font>
      <sz val="10.0"/>
      <color rgb="FF000000"/>
      <name val="Arial"/>
      <scheme val="minor"/>
    </font>
    <font>
      <b/>
      <u/>
      <sz val="23.0"/>
      <color theme="1"/>
      <name val="Calibri"/>
    </font>
    <font>
      <b/>
      <u/>
      <sz val="16.0"/>
      <color theme="1"/>
      <name val="Calibri"/>
    </font>
    <font>
      <sz val="10.0"/>
      <color rgb="FF000000"/>
      <name val="Calibri"/>
    </font>
    <font>
      <sz val="10.0"/>
      <color theme="1"/>
      <name val="Arial"/>
    </font>
    <font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1.0"/>
      <color theme="1"/>
      <name val="Arial"/>
    </font>
    <font/>
    <font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sz val="11.0"/>
      <color theme="1"/>
      <name val="Arial"/>
    </font>
    <font>
      <b/>
      <u/>
      <sz val="11.0"/>
      <color rgb="FF00FFFF"/>
      <name val="Arial"/>
    </font>
    <font>
      <b/>
      <u/>
      <sz val="11.0"/>
      <color rgb="FF00FFFF"/>
      <name val="Arial"/>
    </font>
    <font>
      <b/>
      <u/>
      <sz val="11.0"/>
      <color rgb="FF00FFFF"/>
      <name val="Arial"/>
    </font>
    <font>
      <b/>
      <u/>
      <sz val="11.0"/>
      <color theme="1"/>
      <name val="Arial"/>
    </font>
    <font>
      <sz val="11.0"/>
      <color rgb="FF000000"/>
      <name val="Calibri"/>
    </font>
    <font>
      <b/>
      <u/>
      <sz val="11.0"/>
      <color theme="1"/>
      <name val="Arial"/>
    </font>
    <font>
      <b/>
      <u/>
      <sz val="11.0"/>
      <color rgb="FF00FFFF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8.0"/>
      <color rgb="FF000000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6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66CC"/>
        <bgColor rgb="FF0066CC"/>
      </patternFill>
    </fill>
    <fill>
      <patternFill patternType="solid">
        <fgColor rgb="FF993366"/>
        <bgColor rgb="FF993366"/>
      </patternFill>
    </fill>
    <fill>
      <patternFill patternType="solid">
        <fgColor rgb="FFFF9966"/>
        <bgColor rgb="FFFF9966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548135"/>
        <bgColor rgb="FF548135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2F5496"/>
        <bgColor rgb="FF2F5496"/>
      </patternFill>
    </fill>
    <fill>
      <patternFill patternType="solid">
        <fgColor rgb="FFFB33C2"/>
        <bgColor rgb="FFFB33C2"/>
      </patternFill>
    </fill>
    <fill>
      <patternFill patternType="solid">
        <fgColor rgb="FF7F7F7F"/>
        <bgColor rgb="FF7F7F7F"/>
      </patternFill>
    </fill>
    <fill>
      <patternFill patternType="solid">
        <fgColor rgb="FFA8D08D"/>
        <bgColor rgb="FFA8D08D"/>
      </patternFill>
    </fill>
    <fill>
      <patternFill patternType="solid">
        <fgColor rgb="FFFF0000"/>
        <bgColor rgb="FFFF0000"/>
      </patternFill>
    </fill>
    <fill>
      <patternFill patternType="solid">
        <fgColor rgb="FFFF66FF"/>
        <bgColor rgb="FFFF66FF"/>
      </patternFill>
    </fill>
    <fill>
      <patternFill patternType="solid">
        <fgColor rgb="FFB49D3C"/>
        <bgColor rgb="FFB49D3C"/>
      </patternFill>
    </fill>
    <fill>
      <patternFill patternType="solid">
        <fgColor rgb="FFFF9933"/>
        <bgColor rgb="FFFF9933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</fills>
  <borders count="24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2" fontId="6" numFmtId="0" xfId="0" applyAlignment="1" applyBorder="1" applyFill="1" applyFont="1">
      <alignment horizontal="center" vertical="center"/>
    </xf>
    <xf borderId="1" fillId="3" fontId="7" numFmtId="0" xfId="0" applyAlignment="1" applyBorder="1" applyFill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1" fillId="4" fontId="8" numFmtId="0" xfId="0" applyAlignment="1" applyBorder="1" applyFill="1" applyFont="1">
      <alignment horizontal="center" vertical="center"/>
    </xf>
    <xf borderId="1" fillId="5" fontId="9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 vertical="center"/>
    </xf>
    <xf borderId="1" fillId="6" fontId="10" numFmtId="0" xfId="0" applyAlignment="1" applyBorder="1" applyFill="1" applyFont="1">
      <alignment horizontal="center" vertical="center"/>
    </xf>
    <xf borderId="1" fillId="7" fontId="11" numFmtId="0" xfId="0" applyAlignment="1" applyBorder="1" applyFill="1" applyFont="1">
      <alignment horizontal="center" vertical="center"/>
    </xf>
    <xf borderId="1" fillId="8" fontId="12" numFmtId="0" xfId="0" applyAlignment="1" applyBorder="1" applyFill="1" applyFont="1">
      <alignment horizontal="center" vertical="center"/>
    </xf>
    <xf borderId="0" fillId="9" fontId="4" numFmtId="0" xfId="0" applyAlignment="1" applyFill="1" applyFont="1">
      <alignment horizontal="center"/>
    </xf>
    <xf borderId="9" fillId="2" fontId="13" numFmtId="0" xfId="0" applyAlignment="1" applyBorder="1" applyFont="1">
      <alignment horizontal="center" shrinkToFit="0" vertical="center" wrapText="1"/>
    </xf>
    <xf borderId="10" fillId="0" fontId="14" numFmtId="0" xfId="0" applyBorder="1" applyFont="1"/>
    <xf borderId="11" fillId="0" fontId="14" numFmtId="0" xfId="0" applyBorder="1" applyFont="1"/>
    <xf borderId="0" fillId="0" fontId="15" numFmtId="0" xfId="0" applyAlignment="1" applyFont="1">
      <alignment horizontal="center" shrinkToFit="0" vertical="center" wrapText="1"/>
    </xf>
    <xf borderId="12" fillId="2" fontId="16" numFmtId="0" xfId="0" applyAlignment="1" applyBorder="1" applyFont="1">
      <alignment horizontal="center" shrinkToFit="0" vertical="center" wrapText="1"/>
    </xf>
    <xf borderId="13" fillId="2" fontId="17" numFmtId="0" xfId="0" applyAlignment="1" applyBorder="1" applyFont="1">
      <alignment horizontal="center" shrinkToFit="0" vertical="center" wrapText="1"/>
    </xf>
    <xf borderId="14" fillId="0" fontId="14" numFmtId="0" xfId="0" applyBorder="1" applyFont="1"/>
    <xf borderId="15" fillId="0" fontId="14" numFmtId="0" xfId="0" applyBorder="1" applyFont="1"/>
    <xf borderId="1" fillId="2" fontId="15" numFmtId="0" xfId="0" applyAlignment="1" applyBorder="1" applyFont="1">
      <alignment horizontal="center" shrinkToFit="0" vertical="center" wrapText="1"/>
    </xf>
    <xf borderId="16" fillId="2" fontId="18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17" fillId="10" fontId="20" numFmtId="0" xfId="0" applyAlignment="1" applyBorder="1" applyFill="1" applyFont="1">
      <alignment horizontal="center" shrinkToFit="0" vertical="center" wrapText="1"/>
    </xf>
    <xf borderId="1" fillId="2" fontId="19" numFmtId="0" xfId="0" applyAlignment="1" applyBorder="1" applyFont="1">
      <alignment horizontal="center" shrinkToFit="0" vertical="center" wrapText="1"/>
    </xf>
    <xf borderId="18" fillId="10" fontId="21" numFmtId="0" xfId="0" applyAlignment="1" applyBorder="1" applyFont="1">
      <alignment horizontal="center" shrinkToFit="0" vertical="center" wrapText="1"/>
    </xf>
    <xf borderId="12" fillId="10" fontId="22" numFmtId="0" xfId="0" applyAlignment="1" applyBorder="1" applyFont="1">
      <alignment horizontal="center" shrinkToFit="0" vertical="center" wrapText="1"/>
    </xf>
    <xf borderId="2" fillId="0" fontId="15" numFmtId="0" xfId="0" applyAlignment="1" applyBorder="1" applyFont="1">
      <alignment horizontal="center" shrinkToFit="0" vertical="center" wrapText="1"/>
    </xf>
    <xf borderId="12" fillId="0" fontId="19" numFmtId="0" xfId="0" applyAlignment="1" applyBorder="1" applyFont="1">
      <alignment horizontal="center" readingOrder="0" shrinkToFit="0" vertical="center" wrapText="1"/>
    </xf>
    <xf borderId="19" fillId="0" fontId="15" numFmtId="0" xfId="0" applyAlignment="1" applyBorder="1" applyFont="1">
      <alignment horizontal="center" shrinkToFit="0" vertical="center" wrapText="1"/>
    </xf>
    <xf borderId="19" fillId="0" fontId="19" numFmtId="0" xfId="0" applyAlignment="1" applyBorder="1" applyFont="1">
      <alignment horizontal="center" shrinkToFit="0" vertical="center" wrapText="1"/>
    </xf>
    <xf borderId="12" fillId="0" fontId="19" numFmtId="0" xfId="0" applyAlignment="1" applyBorder="1" applyFont="1">
      <alignment horizontal="center" shrinkToFit="0" vertical="center" wrapText="1"/>
    </xf>
    <xf borderId="20" fillId="2" fontId="23" numFmtId="0" xfId="0" applyAlignment="1" applyBorder="1" applyFont="1">
      <alignment horizontal="center" shrinkToFit="0" vertical="center" wrapText="1"/>
    </xf>
    <xf borderId="14" fillId="0" fontId="19" numFmtId="0" xfId="0" applyAlignment="1" applyBorder="1" applyFont="1">
      <alignment horizontal="center" shrinkToFit="0" vertical="center" wrapText="1"/>
    </xf>
    <xf borderId="15" fillId="0" fontId="19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5" fillId="0" fontId="14" numFmtId="0" xfId="0" applyBorder="1" applyFont="1"/>
    <xf borderId="0" fillId="0" fontId="15" numFmtId="0" xfId="0" applyAlignment="1" applyFont="1">
      <alignment shrinkToFit="0" vertical="center" wrapText="1"/>
    </xf>
    <xf borderId="6" fillId="0" fontId="15" numFmtId="0" xfId="0" applyAlignment="1" applyBorder="1" applyFont="1">
      <alignment horizontal="center" shrinkToFit="0" vertical="center" wrapText="1"/>
    </xf>
    <xf borderId="21" fillId="0" fontId="15" numFmtId="0" xfId="0" applyAlignment="1" applyBorder="1" applyFont="1">
      <alignment horizontal="center" shrinkToFit="0" vertical="center" wrapText="1"/>
    </xf>
    <xf borderId="21" fillId="0" fontId="19" numFmtId="0" xfId="0" applyAlignment="1" applyBorder="1" applyFont="1">
      <alignment horizontal="center" shrinkToFit="0" vertical="center" wrapText="1"/>
    </xf>
    <xf borderId="12" fillId="0" fontId="24" numFmtId="0" xfId="0" applyAlignment="1" applyBorder="1" applyFont="1">
      <alignment horizontal="center" readingOrder="0" shrinkToFit="0" vertical="bottom" wrapText="0"/>
    </xf>
    <xf borderId="13" fillId="0" fontId="25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horizontal="center" shrinkToFit="0" vertical="center" wrapText="1"/>
    </xf>
    <xf borderId="9" fillId="11" fontId="28" numFmtId="0" xfId="0" applyAlignment="1" applyBorder="1" applyFill="1" applyFont="1">
      <alignment horizontal="center" shrinkToFit="0" vertical="center" wrapText="1"/>
    </xf>
    <xf borderId="12" fillId="11" fontId="29" numFmtId="0" xfId="0" applyAlignment="1" applyBorder="1" applyFont="1">
      <alignment horizontal="center" shrinkToFit="0" vertical="center" wrapText="1"/>
    </xf>
    <xf borderId="13" fillId="11" fontId="30" numFmtId="0" xfId="0" applyAlignment="1" applyBorder="1" applyFont="1">
      <alignment horizontal="center" shrinkToFit="0" vertical="center" wrapText="1"/>
    </xf>
    <xf borderId="1" fillId="11" fontId="15" numFmtId="0" xfId="0" applyAlignment="1" applyBorder="1" applyFont="1">
      <alignment horizontal="center" shrinkToFit="0" vertical="center" wrapText="1"/>
    </xf>
    <xf borderId="22" fillId="0" fontId="31" numFmtId="0" xfId="0" applyAlignment="1" applyBorder="1" applyFont="1">
      <alignment horizontal="center" shrinkToFit="0" vertical="center" wrapText="1"/>
    </xf>
    <xf borderId="1" fillId="12" fontId="15" numFmtId="0" xfId="0" applyAlignment="1" applyBorder="1" applyFill="1" applyFont="1">
      <alignment horizontal="center" shrinkToFit="0" vertical="center" wrapText="1"/>
    </xf>
    <xf borderId="1" fillId="11" fontId="19" numFmtId="0" xfId="0" applyAlignment="1" applyBorder="1" applyFont="1">
      <alignment horizontal="center" shrinkToFit="0" vertical="center" wrapText="1"/>
    </xf>
    <xf borderId="20" fillId="11" fontId="32" numFmtId="0" xfId="0" applyAlignment="1" applyBorder="1" applyFont="1">
      <alignment horizontal="center" shrinkToFit="0" vertical="center" wrapText="1"/>
    </xf>
    <xf borderId="13" fillId="0" fontId="33" numFmtId="0" xfId="0" applyAlignment="1" applyBorder="1" applyFont="1">
      <alignment horizontal="center" shrinkToFit="0" vertical="center" wrapText="1"/>
    </xf>
    <xf borderId="13" fillId="13" fontId="34" numFmtId="0" xfId="0" applyAlignment="1" applyBorder="1" applyFill="1" applyFont="1">
      <alignment horizontal="center" shrinkToFit="0" vertical="center" wrapText="1"/>
    </xf>
    <xf borderId="23" fillId="0" fontId="14" numFmtId="0" xfId="0" applyBorder="1" applyFont="1"/>
    <xf borderId="12" fillId="13" fontId="35" numFmtId="0" xfId="0" applyAlignment="1" applyBorder="1" applyFont="1">
      <alignment horizontal="center" shrinkToFit="0" vertical="center" wrapText="1"/>
    </xf>
    <xf borderId="1" fillId="9" fontId="15" numFmtId="0" xfId="0" applyAlignment="1" applyBorder="1" applyFont="1">
      <alignment horizontal="center" shrinkToFit="0" vertical="center" wrapText="1"/>
    </xf>
    <xf borderId="16" fillId="9" fontId="36" numFmtId="0" xfId="0" applyAlignment="1" applyBorder="1" applyFont="1">
      <alignment horizontal="center" shrinkToFit="0" vertical="center" wrapText="1"/>
    </xf>
    <xf borderId="6" fillId="0" fontId="37" numFmtId="0" xfId="0" applyAlignment="1" applyBorder="1" applyFont="1">
      <alignment horizontal="center" shrinkToFit="0" vertical="center" wrapText="1"/>
    </xf>
    <xf borderId="21" fillId="0" fontId="14" numFmtId="0" xfId="0" applyBorder="1" applyFont="1"/>
    <xf borderId="7" fillId="0" fontId="14" numFmtId="0" xfId="0" applyBorder="1" applyFont="1"/>
    <xf borderId="0" fillId="0" fontId="4" numFmtId="0" xfId="0" applyAlignment="1" applyFont="1">
      <alignment horizontal="left" vertical="center"/>
    </xf>
    <xf borderId="9" fillId="4" fontId="38" numFmtId="0" xfId="0" applyAlignment="1" applyBorder="1" applyFont="1">
      <alignment horizontal="center" shrinkToFit="0" vertical="center" wrapText="1"/>
    </xf>
    <xf borderId="12" fillId="4" fontId="39" numFmtId="0" xfId="0" applyAlignment="1" applyBorder="1" applyFont="1">
      <alignment horizontal="center" shrinkToFit="0" vertical="center" wrapText="1"/>
    </xf>
    <xf borderId="13" fillId="4" fontId="40" numFmtId="0" xfId="0" applyAlignment="1" applyBorder="1" applyFont="1">
      <alignment horizontal="center" shrinkToFit="0" vertical="center" wrapText="1"/>
    </xf>
    <xf borderId="1" fillId="14" fontId="15" numFmtId="0" xfId="0" applyAlignment="1" applyBorder="1" applyFill="1" applyFont="1">
      <alignment horizontal="center" shrinkToFit="0" vertical="center" wrapText="1"/>
    </xf>
    <xf borderId="20" fillId="4" fontId="41" numFmtId="0" xfId="0" applyAlignment="1" applyBorder="1" applyFont="1">
      <alignment horizontal="center" shrinkToFit="0" vertical="center" wrapText="1"/>
    </xf>
    <xf borderId="9" fillId="5" fontId="42" numFmtId="0" xfId="0" applyAlignment="1" applyBorder="1" applyFont="1">
      <alignment horizontal="center" shrinkToFit="0" vertical="center" wrapText="1"/>
    </xf>
    <xf borderId="12" fillId="5" fontId="43" numFmtId="0" xfId="0" applyAlignment="1" applyBorder="1" applyFont="1">
      <alignment horizontal="center" shrinkToFit="0" vertical="center" wrapText="1"/>
    </xf>
    <xf borderId="13" fillId="5" fontId="44" numFmtId="0" xfId="0" applyAlignment="1" applyBorder="1" applyFont="1">
      <alignment horizontal="center" shrinkToFit="0" vertical="center" wrapText="1"/>
    </xf>
    <xf borderId="1" fillId="5" fontId="19" numFmtId="0" xfId="0" applyAlignment="1" applyBorder="1" applyFont="1">
      <alignment horizontal="center" shrinkToFit="0" vertical="center" wrapText="1"/>
    </xf>
    <xf borderId="20" fillId="5" fontId="45" numFmtId="0" xfId="0" applyAlignment="1" applyBorder="1" applyFont="1">
      <alignment horizontal="center" shrinkToFit="0" vertical="center" wrapText="1"/>
    </xf>
    <xf borderId="9" fillId="6" fontId="46" numFmtId="0" xfId="0" applyAlignment="1" applyBorder="1" applyFont="1">
      <alignment horizontal="center" shrinkToFit="0" vertical="center" wrapText="1"/>
    </xf>
    <xf borderId="12" fillId="6" fontId="47" numFmtId="0" xfId="0" applyAlignment="1" applyBorder="1" applyFont="1">
      <alignment horizontal="center" shrinkToFit="0" vertical="center" wrapText="1"/>
    </xf>
    <xf borderId="13" fillId="6" fontId="48" numFmtId="0" xfId="0" applyAlignment="1" applyBorder="1" applyFont="1">
      <alignment horizontal="center" shrinkToFit="0" vertical="center" wrapText="1"/>
    </xf>
    <xf borderId="20" fillId="6" fontId="49" numFmtId="0" xfId="0" applyAlignment="1" applyBorder="1" applyFont="1">
      <alignment horizontal="center" shrinkToFit="0" vertical="center" wrapText="1"/>
    </xf>
    <xf borderId="13" fillId="6" fontId="50" numFmtId="0" xfId="0" applyAlignment="1" applyBorder="1" applyFont="1">
      <alignment horizontal="center" readingOrder="0" shrinkToFit="0" vertical="center" wrapText="1"/>
    </xf>
    <xf borderId="9" fillId="7" fontId="51" numFmtId="0" xfId="0" applyAlignment="1" applyBorder="1" applyFont="1">
      <alignment horizontal="center" shrinkToFit="0" vertical="center" wrapText="1"/>
    </xf>
    <xf borderId="12" fillId="7" fontId="52" numFmtId="0" xfId="0" applyAlignment="1" applyBorder="1" applyFont="1">
      <alignment horizontal="center" shrinkToFit="0" vertical="center" wrapText="1"/>
    </xf>
    <xf borderId="13" fillId="7" fontId="53" numFmtId="0" xfId="0" applyAlignment="1" applyBorder="1" applyFont="1">
      <alignment horizontal="center" shrinkToFit="0" vertical="center" wrapText="1"/>
    </xf>
    <xf borderId="1" fillId="7" fontId="19" numFmtId="0" xfId="0" applyAlignment="1" applyBorder="1" applyFont="1">
      <alignment horizontal="center" shrinkToFit="0" vertical="center" wrapText="1"/>
    </xf>
    <xf borderId="20" fillId="7" fontId="54" numFmtId="0" xfId="0" applyAlignment="1" applyBorder="1" applyFont="1">
      <alignment horizontal="center" shrinkToFit="0" vertical="center" wrapText="1"/>
    </xf>
    <xf borderId="9" fillId="8" fontId="55" numFmtId="0" xfId="0" applyAlignment="1" applyBorder="1" applyFont="1">
      <alignment horizontal="center" shrinkToFit="0" vertical="center" wrapText="1"/>
    </xf>
    <xf borderId="12" fillId="8" fontId="56" numFmtId="0" xfId="0" applyAlignment="1" applyBorder="1" applyFont="1">
      <alignment horizontal="center" shrinkToFit="0" vertical="center" wrapText="1"/>
    </xf>
    <xf borderId="13" fillId="8" fontId="57" numFmtId="0" xfId="0" applyAlignment="1" applyBorder="1" applyFont="1">
      <alignment horizontal="center" shrinkToFit="0" vertical="center" wrapText="1"/>
    </xf>
    <xf borderId="20" fillId="8" fontId="58" numFmtId="0" xfId="0" applyAlignment="1" applyBorder="1" applyFont="1">
      <alignment horizontal="center" shrinkToFit="0" vertical="center" wrapText="1"/>
    </xf>
    <xf borderId="0" fillId="0" fontId="59" numFmtId="0" xfId="0" applyAlignment="1" applyFont="1">
      <alignment horizontal="center" vertical="center"/>
    </xf>
    <xf borderId="12" fillId="15" fontId="60" numFmtId="0" xfId="0" applyAlignment="1" applyBorder="1" applyFill="1" applyFont="1">
      <alignment horizontal="center" vertical="center"/>
    </xf>
    <xf borderId="12" fillId="16" fontId="61" numFmtId="0" xfId="0" applyAlignment="1" applyBorder="1" applyFill="1" applyFont="1">
      <alignment horizontal="center" vertical="center"/>
    </xf>
    <xf borderId="12" fillId="17" fontId="62" numFmtId="0" xfId="0" applyAlignment="1" applyBorder="1" applyFill="1" applyFont="1">
      <alignment horizontal="center"/>
    </xf>
    <xf borderId="12" fillId="18" fontId="63" numFmtId="0" xfId="0" applyAlignment="1" applyBorder="1" applyFill="1" applyFont="1">
      <alignment horizontal="center"/>
    </xf>
    <xf borderId="9" fillId="15" fontId="64" numFmtId="0" xfId="0" applyAlignment="1" applyBorder="1" applyFont="1">
      <alignment horizontal="center" shrinkToFit="0" vertical="center" wrapText="1"/>
    </xf>
    <xf borderId="12" fillId="15" fontId="65" numFmtId="0" xfId="0" applyAlignment="1" applyBorder="1" applyFont="1">
      <alignment horizontal="center" shrinkToFit="0" vertical="center" wrapText="1"/>
    </xf>
    <xf borderId="13" fillId="15" fontId="66" numFmtId="0" xfId="0" applyAlignment="1" applyBorder="1" applyFont="1">
      <alignment horizontal="center" shrinkToFit="0" vertical="center" wrapText="1"/>
    </xf>
    <xf borderId="1" fillId="19" fontId="15" numFmtId="0" xfId="0" applyAlignment="1" applyBorder="1" applyFill="1" applyFont="1">
      <alignment horizontal="center" shrinkToFit="0" vertical="center" wrapText="1"/>
    </xf>
    <xf borderId="20" fillId="15" fontId="67" numFmtId="0" xfId="0" applyAlignment="1" applyBorder="1" applyFont="1">
      <alignment horizontal="center" shrinkToFit="0" vertical="center" wrapText="1"/>
    </xf>
    <xf borderId="13" fillId="19" fontId="68" numFmtId="0" xfId="0" applyAlignment="1" applyBorder="1" applyFont="1">
      <alignment horizontal="center" shrinkToFit="0" vertical="center" wrapText="1"/>
    </xf>
    <xf borderId="9" fillId="16" fontId="69" numFmtId="0" xfId="0" applyAlignment="1" applyBorder="1" applyFont="1">
      <alignment horizontal="center" shrinkToFit="0" vertical="center" wrapText="1"/>
    </xf>
    <xf borderId="12" fillId="16" fontId="70" numFmtId="0" xfId="0" applyAlignment="1" applyBorder="1" applyFont="1">
      <alignment horizontal="center" shrinkToFit="0" vertical="center" wrapText="1"/>
    </xf>
    <xf borderId="13" fillId="16" fontId="71" numFmtId="0" xfId="0" applyAlignment="1" applyBorder="1" applyFont="1">
      <alignment horizontal="center" shrinkToFit="0" vertical="center" wrapText="1"/>
    </xf>
    <xf borderId="1" fillId="16" fontId="15" numFmtId="0" xfId="0" applyAlignment="1" applyBorder="1" applyFont="1">
      <alignment horizontal="center" shrinkToFit="0" vertical="center" wrapText="1"/>
    </xf>
    <xf borderId="2" fillId="15" fontId="15" numFmtId="0" xfId="0" applyAlignment="1" applyBorder="1" applyFont="1">
      <alignment horizontal="center" shrinkToFit="0" vertical="center" wrapText="1"/>
    </xf>
    <xf borderId="12" fillId="15" fontId="19" numFmtId="0" xfId="0" applyAlignment="1" applyBorder="1" applyFont="1">
      <alignment horizontal="center" readingOrder="0" shrinkToFit="0" vertical="center" wrapText="1"/>
    </xf>
    <xf borderId="19" fillId="15" fontId="15" numFmtId="0" xfId="0" applyAlignment="1" applyBorder="1" applyFont="1">
      <alignment horizontal="center" shrinkToFit="0" vertical="center" wrapText="1"/>
    </xf>
    <xf borderId="19" fillId="15" fontId="19" numFmtId="0" xfId="0" applyAlignment="1" applyBorder="1" applyFont="1">
      <alignment horizontal="center" shrinkToFit="0" vertical="center" wrapText="1"/>
    </xf>
    <xf borderId="12" fillId="15" fontId="19" numFmtId="0" xfId="0" applyAlignment="1" applyBorder="1" applyFont="1">
      <alignment horizontal="center" shrinkToFit="0" vertical="center" wrapText="1"/>
    </xf>
    <xf borderId="20" fillId="16" fontId="72" numFmtId="0" xfId="0" applyAlignment="1" applyBorder="1" applyFont="1">
      <alignment horizontal="center" shrinkToFit="0" vertical="center" wrapText="1"/>
    </xf>
    <xf borderId="14" fillId="15" fontId="19" numFmtId="0" xfId="0" applyAlignment="1" applyBorder="1" applyFont="1">
      <alignment horizontal="center" shrinkToFit="0" vertical="center" wrapText="1"/>
    </xf>
    <xf borderId="15" fillId="15" fontId="19" numFmtId="0" xfId="0" applyAlignment="1" applyBorder="1" applyFont="1">
      <alignment horizontal="center" shrinkToFit="0" vertical="center" wrapText="1"/>
    </xf>
    <xf borderId="4" fillId="15" fontId="15" numFmtId="0" xfId="0" applyAlignment="1" applyBorder="1" applyFont="1">
      <alignment horizontal="center" shrinkToFit="0" vertical="center" wrapText="1"/>
    </xf>
    <xf borderId="6" fillId="15" fontId="15" numFmtId="0" xfId="0" applyAlignment="1" applyBorder="1" applyFont="1">
      <alignment horizontal="center" shrinkToFit="0" vertical="center" wrapText="1"/>
    </xf>
    <xf borderId="21" fillId="15" fontId="15" numFmtId="0" xfId="0" applyAlignment="1" applyBorder="1" applyFont="1">
      <alignment horizontal="center" shrinkToFit="0" vertical="center" wrapText="1"/>
    </xf>
    <xf borderId="21" fillId="15" fontId="19" numFmtId="0" xfId="0" applyAlignment="1" applyBorder="1" applyFont="1">
      <alignment horizontal="center" shrinkToFit="0" vertical="center" wrapText="1"/>
    </xf>
    <xf borderId="9" fillId="17" fontId="73" numFmtId="0" xfId="0" applyAlignment="1" applyBorder="1" applyFont="1">
      <alignment horizontal="center" vertical="center"/>
    </xf>
    <xf borderId="12" fillId="17" fontId="74" numFmtId="0" xfId="0" applyAlignment="1" applyBorder="1" applyFont="1">
      <alignment horizontal="center" vertical="center"/>
    </xf>
    <xf borderId="13" fillId="17" fontId="75" numFmtId="0" xfId="0" applyAlignment="1" applyBorder="1" applyFont="1">
      <alignment horizontal="center" vertical="center"/>
    </xf>
    <xf borderId="1" fillId="20" fontId="15" numFmtId="0" xfId="0" applyAlignment="1" applyBorder="1" applyFill="1" applyFont="1">
      <alignment horizontal="center" shrinkToFit="0" vertical="center" wrapText="1"/>
    </xf>
    <xf borderId="12" fillId="0" fontId="76" numFmtId="0" xfId="0" applyAlignment="1" applyBorder="1" applyFont="1">
      <alignment horizontal="center"/>
    </xf>
    <xf borderId="12" fillId="17" fontId="77" numFmtId="0" xfId="0" applyAlignment="1" applyBorder="1" applyFont="1">
      <alignment horizontal="center" shrinkToFit="0" vertical="center" wrapText="1"/>
    </xf>
    <xf borderId="12" fillId="17" fontId="78" numFmtId="0" xfId="0" applyAlignment="1" applyBorder="1" applyFont="1">
      <alignment horizontal="center" readingOrder="0" vertical="center"/>
    </xf>
    <xf borderId="9" fillId="18" fontId="79" numFmtId="0" xfId="0" applyAlignment="1" applyBorder="1" applyFont="1">
      <alignment horizontal="center" shrinkToFit="0" vertical="center" wrapText="1"/>
    </xf>
    <xf borderId="12" fillId="18" fontId="80" numFmtId="0" xfId="0" applyAlignment="1" applyBorder="1" applyFont="1">
      <alignment horizontal="center" shrinkToFit="0" vertical="center" wrapText="1"/>
    </xf>
    <xf borderId="13" fillId="18" fontId="81" numFmtId="0" xfId="0" applyAlignment="1" applyBorder="1" applyFont="1">
      <alignment horizontal="center" shrinkToFit="0" vertical="center" wrapText="1"/>
    </xf>
    <xf borderId="1" fillId="21" fontId="15" numFmtId="0" xfId="0" applyAlignment="1" applyBorder="1" applyFill="1" applyFont="1">
      <alignment horizontal="center" shrinkToFit="0" vertical="center" wrapText="1"/>
    </xf>
    <xf borderId="12" fillId="21" fontId="82" numFmtId="0" xfId="0" applyAlignment="1" applyBorder="1" applyFont="1">
      <alignment horizontal="center" shrinkToFit="0" vertical="center" wrapText="1"/>
    </xf>
    <xf borderId="13" fillId="21" fontId="83" numFmtId="0" xfId="0" applyAlignment="1" applyBorder="1" applyFont="1">
      <alignment horizontal="center" shrinkToFit="0" vertical="center" wrapText="1"/>
    </xf>
    <xf borderId="20" fillId="21" fontId="8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0</xdr:rowOff>
    </xdr:from>
    <xdr:ext cx="81915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3133725</xdr:colOff>
      <xdr:row>0</xdr:row>
      <xdr:rowOff>66675</xdr:rowOff>
    </xdr:from>
    <xdr:ext cx="819150" cy="6762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38100</xdr:rowOff>
    </xdr:from>
    <xdr:ext cx="81915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209550</xdr:colOff>
      <xdr:row>0</xdr:row>
      <xdr:rowOff>104775</xdr:rowOff>
    </xdr:from>
    <xdr:ext cx="819150" cy="6762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0</xdr:rowOff>
    </xdr:from>
    <xdr:ext cx="81915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57150</xdr:colOff>
      <xdr:row>0</xdr:row>
      <xdr:rowOff>76200</xdr:rowOff>
    </xdr:from>
    <xdr:ext cx="819150" cy="6762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0</xdr:rowOff>
    </xdr:from>
    <xdr:ext cx="81915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266700</xdr:colOff>
      <xdr:row>0</xdr:row>
      <xdr:rowOff>133350</xdr:rowOff>
    </xdr:from>
    <xdr:ext cx="819150" cy="7429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0</xdr:rowOff>
    </xdr:from>
    <xdr:ext cx="81915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171450</xdr:colOff>
      <xdr:row>0</xdr:row>
      <xdr:rowOff>66675</xdr:rowOff>
    </xdr:from>
    <xdr:ext cx="819150" cy="6762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0</xdr:rowOff>
    </xdr:from>
    <xdr:ext cx="81915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209550</xdr:colOff>
      <xdr:row>0</xdr:row>
      <xdr:rowOff>76200</xdr:rowOff>
    </xdr:from>
    <xdr:ext cx="819150" cy="6762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0</xdr:rowOff>
    </xdr:from>
    <xdr:ext cx="781050" cy="676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4010025</xdr:colOff>
      <xdr:row>0</xdr:row>
      <xdr:rowOff>0</xdr:rowOff>
    </xdr:from>
    <xdr:ext cx="828675" cy="6762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0</xdr:rowOff>
    </xdr:from>
    <xdr:ext cx="81915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76200</xdr:colOff>
      <xdr:row>0</xdr:row>
      <xdr:rowOff>47625</xdr:rowOff>
    </xdr:from>
    <xdr:ext cx="819150" cy="6762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0</xdr:rowOff>
    </xdr:from>
    <xdr:ext cx="81915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666750</xdr:colOff>
      <xdr:row>0</xdr:row>
      <xdr:rowOff>0</xdr:rowOff>
    </xdr:from>
    <xdr:ext cx="819150" cy="6762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0</xdr:rowOff>
    </xdr:from>
    <xdr:ext cx="81915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76200</xdr:colOff>
      <xdr:row>0</xdr:row>
      <xdr:rowOff>76200</xdr:rowOff>
    </xdr:from>
    <xdr:ext cx="819150" cy="6762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0</xdr:rowOff>
    </xdr:from>
    <xdr:ext cx="81915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152400</xdr:colOff>
      <xdr:row>0</xdr:row>
      <xdr:rowOff>76200</xdr:rowOff>
    </xdr:from>
    <xdr:ext cx="819150" cy="6762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58.0"/>
    <col customWidth="1" min="3" max="4" width="9.13"/>
    <col customWidth="1" min="5" max="5" width="58.0"/>
    <col customWidth="1" min="6" max="7" width="9.13"/>
    <col customWidth="1" min="8" max="8" width="20.38"/>
    <col customWidth="1" min="9" max="25" width="9.13"/>
    <col customWidth="1" min="26" max="35" width="8.63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3"/>
      <c r="AB1" s="3"/>
      <c r="AC1" s="3"/>
      <c r="AD1" s="3"/>
      <c r="AE1" s="3"/>
      <c r="AF1" s="3"/>
      <c r="AG1" s="3"/>
      <c r="AH1" s="3"/>
      <c r="AI1" s="3"/>
    </row>
    <row r="2" ht="21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3"/>
      <c r="AB2" s="3"/>
      <c r="AC2" s="3"/>
      <c r="AD2" s="3"/>
      <c r="AE2" s="3"/>
      <c r="AF2" s="3"/>
      <c r="AG2" s="3"/>
      <c r="AH2" s="3"/>
      <c r="AI2" s="3"/>
    </row>
    <row r="3" ht="12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12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12.75" customHeight="1">
      <c r="A5" s="5"/>
      <c r="B5" s="6" t="s">
        <v>1</v>
      </c>
      <c r="C5" s="4"/>
      <c r="D5" s="4"/>
      <c r="E5" s="7" t="s">
        <v>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12.75" customHeight="1">
      <c r="A6" s="8">
        <v>1.0</v>
      </c>
      <c r="B6" s="9" t="s">
        <v>3</v>
      </c>
      <c r="C6" s="4"/>
      <c r="D6" s="8">
        <v>1.0</v>
      </c>
      <c r="E6" s="9" t="s">
        <v>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12.75" customHeight="1">
      <c r="A7" s="10">
        <v>2.0</v>
      </c>
      <c r="B7" s="11" t="s">
        <v>5</v>
      </c>
      <c r="C7" s="4"/>
      <c r="D7" s="10">
        <v>2.0</v>
      </c>
      <c r="E7" s="12" t="s">
        <v>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12.75" customHeight="1">
      <c r="A8" s="10">
        <v>3.0</v>
      </c>
      <c r="B8" s="11" t="s">
        <v>7</v>
      </c>
      <c r="C8" s="4"/>
      <c r="D8" s="10">
        <v>3.0</v>
      </c>
      <c r="E8" s="11" t="s">
        <v>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12.75" customHeight="1">
      <c r="A9" s="10">
        <v>4.0</v>
      </c>
      <c r="B9" s="11" t="s">
        <v>9</v>
      </c>
      <c r="C9" s="4"/>
      <c r="D9" s="10">
        <v>4.0</v>
      </c>
      <c r="E9" s="11" t="s">
        <v>10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12.75" customHeight="1">
      <c r="A10" s="10">
        <v>5.0</v>
      </c>
      <c r="B10" s="11" t="s">
        <v>11</v>
      </c>
      <c r="C10" s="4"/>
      <c r="D10" s="10">
        <v>5.0</v>
      </c>
      <c r="E10" s="11" t="s">
        <v>12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12.75" customHeight="1">
      <c r="A11" s="13">
        <v>6.0</v>
      </c>
      <c r="B11" s="14" t="s">
        <v>13</v>
      </c>
      <c r="C11" s="4"/>
      <c r="D11" s="13">
        <v>6.0</v>
      </c>
      <c r="E11" s="14" t="s">
        <v>14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12.75" customHeight="1">
      <c r="A12" s="5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12.75" customHeight="1">
      <c r="A13" s="5"/>
      <c r="B13" s="15" t="s">
        <v>15</v>
      </c>
      <c r="C13" s="4"/>
      <c r="D13" s="4"/>
      <c r="E13" s="16" t="s">
        <v>16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12.75" customHeight="1">
      <c r="A14" s="8">
        <v>1.0</v>
      </c>
      <c r="B14" s="9" t="s">
        <v>17</v>
      </c>
      <c r="C14" s="17"/>
      <c r="D14" s="8">
        <v>1.0</v>
      </c>
      <c r="E14" s="9" t="s">
        <v>18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12.75" customHeight="1">
      <c r="A15" s="10">
        <v>2.0</v>
      </c>
      <c r="B15" s="11" t="s">
        <v>19</v>
      </c>
      <c r="C15" s="18"/>
      <c r="D15" s="10">
        <v>2.0</v>
      </c>
      <c r="E15" s="11" t="s">
        <v>20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12.75" customHeight="1">
      <c r="A16" s="10">
        <v>3.0</v>
      </c>
      <c r="B16" s="11" t="s">
        <v>21</v>
      </c>
      <c r="C16" s="4"/>
      <c r="D16" s="10">
        <v>3.0</v>
      </c>
      <c r="E16" s="11" t="s">
        <v>22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12.75" customHeight="1">
      <c r="A17" s="10">
        <v>4.0</v>
      </c>
      <c r="B17" s="11" t="s">
        <v>23</v>
      </c>
      <c r="C17" s="4"/>
      <c r="D17" s="10">
        <v>4.0</v>
      </c>
      <c r="E17" s="11" t="s">
        <v>24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12.75" customHeight="1">
      <c r="A18" s="10">
        <v>5.0</v>
      </c>
      <c r="B18" s="11" t="s">
        <v>25</v>
      </c>
      <c r="C18" s="4"/>
      <c r="D18" s="10">
        <v>5.0</v>
      </c>
      <c r="E18" s="11" t="s">
        <v>26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12.75" customHeight="1">
      <c r="A19" s="13">
        <v>6.0</v>
      </c>
      <c r="B19" s="14" t="s">
        <v>27</v>
      </c>
      <c r="C19" s="4"/>
      <c r="D19" s="13">
        <v>6.0</v>
      </c>
      <c r="E19" s="14" t="s">
        <v>28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12.75" customHeight="1">
      <c r="A20" s="5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12.75" customHeight="1">
      <c r="A21" s="5"/>
      <c r="B21" s="19" t="s">
        <v>29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12.75" customHeight="1">
      <c r="A22" s="8">
        <v>1.0</v>
      </c>
      <c r="B22" s="9" t="s">
        <v>30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12.75" customHeight="1">
      <c r="A23" s="10">
        <v>2.0</v>
      </c>
      <c r="B23" s="11" t="s">
        <v>31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12.75" customHeight="1">
      <c r="A24" s="10">
        <v>3.0</v>
      </c>
      <c r="B24" s="11" t="s">
        <v>32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12.75" customHeight="1">
      <c r="A25" s="10">
        <v>4.0</v>
      </c>
      <c r="B25" s="11" t="s">
        <v>33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12.75" customHeight="1">
      <c r="A26" s="10">
        <v>5.0</v>
      </c>
      <c r="B26" s="11" t="s">
        <v>34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12.75" customHeight="1">
      <c r="A27" s="13">
        <v>6.0</v>
      </c>
      <c r="B27" s="14" t="s">
        <v>35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12.75" customHeight="1">
      <c r="A28" s="5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12.75" customHeight="1">
      <c r="A29" s="5"/>
      <c r="B29" s="20" t="s">
        <v>36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12.75" customHeight="1">
      <c r="A30" s="8">
        <v>1.0</v>
      </c>
      <c r="B30" s="9" t="s">
        <v>37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12.75" customHeight="1">
      <c r="A31" s="10">
        <v>2.0</v>
      </c>
      <c r="B31" s="11" t="s">
        <v>38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12.75" customHeight="1">
      <c r="A32" s="10">
        <v>3.0</v>
      </c>
      <c r="B32" s="11" t="s">
        <v>39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12.75" customHeight="1">
      <c r="A33" s="10">
        <v>4.0</v>
      </c>
      <c r="B33" s="12" t="s">
        <v>40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12.75" customHeight="1">
      <c r="A34" s="10">
        <v>5.0</v>
      </c>
      <c r="B34" s="11" t="s">
        <v>41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12.75" customHeight="1">
      <c r="A35" s="13">
        <v>6.0</v>
      </c>
      <c r="B35" s="14" t="s">
        <v>42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12.75" customHeight="1">
      <c r="A36" s="5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12.75" customHeight="1">
      <c r="A37" s="5"/>
      <c r="B37" s="21" t="s">
        <v>43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12.75" customHeight="1">
      <c r="A38" s="8">
        <v>1.0</v>
      </c>
      <c r="B38" s="9" t="s">
        <v>44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12.75" customHeight="1">
      <c r="A39" s="10">
        <v>2.0</v>
      </c>
      <c r="B39" s="11" t="s">
        <v>45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12.75" customHeight="1">
      <c r="A40" s="10">
        <v>3.0</v>
      </c>
      <c r="B40" s="11" t="s">
        <v>46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12.75" customHeight="1">
      <c r="A41" s="10">
        <v>4.0</v>
      </c>
      <c r="B41" s="11" t="s">
        <v>47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12.75" customHeight="1">
      <c r="A42" s="10">
        <v>5.0</v>
      </c>
      <c r="B42" s="11" t="s">
        <v>48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12.75" customHeight="1">
      <c r="A43" s="13">
        <v>6.0</v>
      </c>
      <c r="B43" s="14" t="s">
        <v>49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</sheetData>
  <mergeCells count="1">
    <mergeCell ref="A1:E1"/>
  </mergeCells>
  <printOptions/>
  <pageMargins bottom="0.75" footer="0.0" header="0.0" left="0.25" right="0.25" top="0.75"/>
  <pageSetup paperSize="9" scale="57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11.38"/>
    <col customWidth="1" hidden="1" min="13" max="13" width="8.0"/>
    <col customWidth="1" hidden="1" min="14" max="14" width="6.13"/>
    <col customWidth="1" min="15" max="15" width="4.5"/>
    <col customWidth="1" min="16" max="16" width="17.5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11.38"/>
    <col customWidth="1" hidden="1" min="28" max="28" width="8.0"/>
    <col customWidth="1" hidden="1" min="29" max="29" width="6.13"/>
    <col customWidth="1" min="30" max="30" width="5.25"/>
    <col customWidth="1" min="31" max="31" width="16.38"/>
    <col customWidth="1" min="32" max="35" width="8.63"/>
    <col customWidth="1" hidden="1" min="36" max="36" width="9.38"/>
    <col customWidth="1" hidden="1" min="37" max="37" width="8.0"/>
    <col customWidth="1" hidden="1" min="38" max="38" width="41.13"/>
  </cols>
  <sheetData>
    <row r="1" ht="21.0" customHeight="1">
      <c r="A1" s="1" t="s">
        <v>0</v>
      </c>
      <c r="AJ1" s="4"/>
      <c r="AK1" s="4"/>
      <c r="AL1" s="4"/>
    </row>
    <row r="2" ht="21.0" customHeight="1">
      <c r="AJ2" s="4"/>
      <c r="AK2" s="4"/>
      <c r="AL2" s="4"/>
    </row>
    <row r="3" ht="15.0" customHeight="1">
      <c r="A3" s="2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ht="15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ht="15.0" customHeight="1">
      <c r="A5" s="23" t="s">
        <v>50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5"/>
      <c r="AJ5" s="26"/>
      <c r="AK5" s="26"/>
      <c r="AL5" s="26"/>
    </row>
    <row r="6" ht="13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</row>
    <row r="7">
      <c r="A7" s="27" t="s">
        <v>51</v>
      </c>
      <c r="B7" s="28" t="s">
        <v>52</v>
      </c>
      <c r="C7" s="29"/>
      <c r="D7" s="29"/>
      <c r="E7" s="30"/>
      <c r="F7" s="31"/>
      <c r="G7" s="32"/>
      <c r="H7" s="27" t="s">
        <v>53</v>
      </c>
      <c r="I7" s="26"/>
      <c r="J7" s="26"/>
      <c r="K7" s="26"/>
      <c r="L7" s="26"/>
      <c r="M7" s="33"/>
      <c r="N7" s="33"/>
      <c r="O7" s="33"/>
      <c r="P7" s="27" t="s">
        <v>51</v>
      </c>
      <c r="Q7" s="28" t="s">
        <v>52</v>
      </c>
      <c r="R7" s="29"/>
      <c r="S7" s="29"/>
      <c r="T7" s="30"/>
      <c r="U7" s="31"/>
      <c r="V7" s="32"/>
      <c r="W7" s="27" t="s">
        <v>53</v>
      </c>
      <c r="X7" s="26"/>
      <c r="Y7" s="33"/>
      <c r="Z7" s="33"/>
      <c r="AA7" s="33"/>
      <c r="AB7" s="33"/>
      <c r="AC7" s="33"/>
      <c r="AD7" s="33"/>
      <c r="AE7" s="27" t="s">
        <v>54</v>
      </c>
      <c r="AF7" s="27" t="s">
        <v>55</v>
      </c>
      <c r="AG7" s="27" t="s">
        <v>56</v>
      </c>
      <c r="AH7" s="27" t="s">
        <v>57</v>
      </c>
      <c r="AI7" s="27" t="s">
        <v>58</v>
      </c>
      <c r="AJ7" s="33"/>
      <c r="AK7" s="33"/>
      <c r="AL7" s="26"/>
    </row>
    <row r="8" hidden="1">
      <c r="A8" s="26"/>
      <c r="B8" s="34" t="s">
        <v>59</v>
      </c>
      <c r="C8" s="34" t="s">
        <v>60</v>
      </c>
      <c r="D8" s="34"/>
      <c r="E8" s="34" t="s">
        <v>59</v>
      </c>
      <c r="F8" s="34" t="s">
        <v>61</v>
      </c>
      <c r="G8" s="34"/>
      <c r="H8" s="34" t="s">
        <v>59</v>
      </c>
      <c r="I8" s="34" t="s">
        <v>62</v>
      </c>
      <c r="J8" s="34" t="s">
        <v>63</v>
      </c>
      <c r="K8" s="34" t="s">
        <v>64</v>
      </c>
      <c r="L8" s="34" t="s">
        <v>65</v>
      </c>
      <c r="M8" s="34" t="s">
        <v>66</v>
      </c>
      <c r="N8" s="34" t="s">
        <v>67</v>
      </c>
      <c r="O8" s="26"/>
      <c r="P8" s="26"/>
      <c r="Q8" s="34" t="s">
        <v>59</v>
      </c>
      <c r="R8" s="34" t="s">
        <v>60</v>
      </c>
      <c r="S8" s="34"/>
      <c r="T8" s="34" t="s">
        <v>59</v>
      </c>
      <c r="U8" s="34" t="s">
        <v>61</v>
      </c>
      <c r="V8" s="34"/>
      <c r="W8" s="34" t="s">
        <v>59</v>
      </c>
      <c r="X8" s="34" t="s">
        <v>62</v>
      </c>
      <c r="Y8" s="34" t="s">
        <v>63</v>
      </c>
      <c r="Z8" s="34" t="s">
        <v>64</v>
      </c>
      <c r="AA8" s="34" t="s">
        <v>65</v>
      </c>
      <c r="AB8" s="34" t="s">
        <v>66</v>
      </c>
      <c r="AC8" s="34" t="s">
        <v>67</v>
      </c>
      <c r="AD8" s="26"/>
      <c r="AE8" s="35"/>
      <c r="AF8" s="33"/>
      <c r="AG8" s="33"/>
      <c r="AH8" s="33"/>
      <c r="AI8" s="33"/>
      <c r="AJ8" s="34" t="s">
        <v>68</v>
      </c>
      <c r="AK8" s="36" t="s">
        <v>69</v>
      </c>
      <c r="AL8" s="37" t="s">
        <v>70</v>
      </c>
    </row>
    <row r="9" ht="15.0" customHeight="1">
      <c r="A9" s="38" t="str">
        <f>AE9</f>
        <v>Reuben Borg</v>
      </c>
      <c r="B9" s="39">
        <v>6.0</v>
      </c>
      <c r="C9" s="40">
        <f>IF(B9&gt;B11,1,0)</f>
        <v>0</v>
      </c>
      <c r="D9" s="41"/>
      <c r="E9" s="39">
        <v>3.0</v>
      </c>
      <c r="F9" s="40">
        <f>IF(E9&gt;E11,1,0)</f>
        <v>0</v>
      </c>
      <c r="G9" s="41"/>
      <c r="H9" s="42"/>
      <c r="I9" s="26">
        <f>IF(H9&gt;H11,1,0)</f>
        <v>0</v>
      </c>
      <c r="J9" s="26">
        <f>IF(B9="",0,1)</f>
        <v>1</v>
      </c>
      <c r="K9" s="26">
        <f>IF(C9+F9=2,3,IF(C9+F9=1,1,0))</f>
        <v>0</v>
      </c>
      <c r="L9" s="26">
        <f>IF(K9=3,3,IF(I9+K9=2,2,IF(K9=1,1,0)))</f>
        <v>0</v>
      </c>
      <c r="M9" s="26">
        <f>B9+E9</f>
        <v>9</v>
      </c>
      <c r="N9" s="26">
        <f>C9+F9+I9</f>
        <v>0</v>
      </c>
      <c r="O9" s="26"/>
      <c r="P9" s="38" t="str">
        <f>AE9</f>
        <v>Reuben Borg</v>
      </c>
      <c r="Q9" s="39">
        <v>6.0</v>
      </c>
      <c r="R9" s="40">
        <f>IF(Q9&gt;Q11,1,0)</f>
        <v>1</v>
      </c>
      <c r="S9" s="41"/>
      <c r="T9" s="39">
        <v>6.0</v>
      </c>
      <c r="U9" s="40">
        <f>IF(T9&gt;T11,1,0)</f>
        <v>1</v>
      </c>
      <c r="V9" s="41"/>
      <c r="W9" s="42"/>
      <c r="X9" s="26">
        <f>IF(W9&gt;W11,1,0)</f>
        <v>0</v>
      </c>
      <c r="Y9" s="26">
        <f>IF(Q9="",0,1)</f>
        <v>1</v>
      </c>
      <c r="Z9" s="26">
        <f>IF(R9+U9=2,3,IF(R9+U9=1,1,0))</f>
        <v>3</v>
      </c>
      <c r="AA9" s="26">
        <f>IF(Z9=3,3,IF(X9+Z9=2,2,IF(Z9=1,1,0)))</f>
        <v>3</v>
      </c>
      <c r="AB9" s="26">
        <f>Q9+T9</f>
        <v>12</v>
      </c>
      <c r="AC9" s="26">
        <f>R9+U9+X9</f>
        <v>2</v>
      </c>
      <c r="AD9" s="26"/>
      <c r="AE9" s="43" t="str">
        <f>'Players - Men'!B6</f>
        <v>Reuben Borg</v>
      </c>
      <c r="AF9" s="44">
        <f>J9+Y9+J13+Y13+J17</f>
        <v>5</v>
      </c>
      <c r="AG9" s="44">
        <f t="shared" ref="AG9:AI9" si="1">L9+AA9+L13+AA13+L17</f>
        <v>10</v>
      </c>
      <c r="AH9" s="44">
        <f t="shared" si="1"/>
        <v>53</v>
      </c>
      <c r="AI9" s="45">
        <f t="shared" si="1"/>
        <v>7</v>
      </c>
      <c r="AJ9" s="26">
        <f>MAX(AG9:AG19)</f>
        <v>11</v>
      </c>
      <c r="AK9" s="26">
        <f>SUM(AF9:AF19)</f>
        <v>30</v>
      </c>
      <c r="AL9" s="26" t="str">
        <f>IF(AG9=$AJ$9,AE9,IF(AG11=$AJ$9,AE11,IF(AG13=$AJ$9,AE13,IF(AG15=$AJ$9,AE15,IF(AG17=$AJ$9,AE17,IF(AG19=$AJ$9,AE19,""))))))</f>
        <v>Melchior Farrugia</v>
      </c>
    </row>
    <row r="10" ht="15.0" customHeight="1">
      <c r="A10" s="46" t="s">
        <v>71</v>
      </c>
      <c r="H10" s="47"/>
      <c r="I10" s="48"/>
      <c r="J10" s="26"/>
      <c r="K10" s="26"/>
      <c r="L10" s="26"/>
      <c r="M10" s="26"/>
      <c r="N10" s="26"/>
      <c r="O10" s="26"/>
      <c r="P10" s="46" t="s">
        <v>71</v>
      </c>
      <c r="W10" s="47"/>
      <c r="X10" s="48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33"/>
      <c r="AL10" s="26"/>
    </row>
    <row r="11" ht="15.0" customHeight="1">
      <c r="A11" s="49" t="str">
        <f>AE11</f>
        <v>Melchior Farrugia</v>
      </c>
      <c r="B11" s="39">
        <v>7.0</v>
      </c>
      <c r="C11" s="50">
        <f>IF(B11&gt;B9,1,0)</f>
        <v>1</v>
      </c>
      <c r="D11" s="51"/>
      <c r="E11" s="39">
        <v>6.0</v>
      </c>
      <c r="F11" s="50">
        <f>IF(E11&gt;E9,1,0)</f>
        <v>1</v>
      </c>
      <c r="G11" s="51"/>
      <c r="H11" s="42"/>
      <c r="I11" s="26">
        <f>IF(H11&gt;H9,1,0)</f>
        <v>0</v>
      </c>
      <c r="J11" s="26">
        <f>IF(B11="",0,1)</f>
        <v>1</v>
      </c>
      <c r="K11" s="26">
        <f>IF(C11+F11=2,3,IF(C11+F11=1,1,0))</f>
        <v>3</v>
      </c>
      <c r="L11" s="26">
        <f>IF(K11=3,3,IF(I11+K11=2,2,IF(K11=1,1,0)))</f>
        <v>3</v>
      </c>
      <c r="M11" s="26">
        <f>B11+E11</f>
        <v>13</v>
      </c>
      <c r="N11" s="26">
        <f>C11+F11+I11</f>
        <v>2</v>
      </c>
      <c r="O11" s="26"/>
      <c r="P11" s="49" t="str">
        <f>AE13</f>
        <v>Matthew Borg</v>
      </c>
      <c r="Q11" s="39">
        <v>2.0</v>
      </c>
      <c r="R11" s="50">
        <f>IF(Q11&gt;Q9,1,0)</f>
        <v>0</v>
      </c>
      <c r="S11" s="51"/>
      <c r="T11" s="39">
        <v>3.0</v>
      </c>
      <c r="U11" s="50">
        <f>IF(T11&gt;T9,1,0)</f>
        <v>0</v>
      </c>
      <c r="V11" s="51"/>
      <c r="W11" s="42"/>
      <c r="X11" s="26">
        <f>IF(W11&gt;W9,1,0)</f>
        <v>0</v>
      </c>
      <c r="Y11" s="26">
        <f>IF(Q11="",0,1)</f>
        <v>1</v>
      </c>
      <c r="Z11" s="26">
        <f>IF(R11+U11=2,3,IF(R11+U11=1,1,0))</f>
        <v>0</v>
      </c>
      <c r="AA11" s="26">
        <f>IF(Z11=3,3,IF(X11+Z11=2,2,IF(Z11=1,1,0)))</f>
        <v>0</v>
      </c>
      <c r="AB11" s="26">
        <f>Q11+T11</f>
        <v>5</v>
      </c>
      <c r="AC11" s="26">
        <f>R11+U11+X11</f>
        <v>0</v>
      </c>
      <c r="AD11" s="26"/>
      <c r="AE11" s="43" t="str">
        <f>'Players - Men'!B7</f>
        <v>Melchior Farrugia</v>
      </c>
      <c r="AF11" s="44">
        <f>J11+Y25+J25+Y21+J21</f>
        <v>5</v>
      </c>
      <c r="AG11" s="44">
        <f t="shared" ref="AG11:AI11" si="2">L11+AA25+L25+AA21+L21</f>
        <v>11</v>
      </c>
      <c r="AH11" s="44">
        <f t="shared" si="2"/>
        <v>49</v>
      </c>
      <c r="AI11" s="45">
        <f t="shared" si="2"/>
        <v>9</v>
      </c>
      <c r="AJ11" s="33"/>
      <c r="AK11" s="33"/>
      <c r="AL11" s="26"/>
    </row>
    <row r="12" ht="15.0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33"/>
      <c r="AG12" s="33"/>
      <c r="AH12" s="33"/>
      <c r="AI12" s="33"/>
      <c r="AJ12" s="33"/>
      <c r="AK12" s="33"/>
      <c r="AL12" s="26"/>
    </row>
    <row r="13" ht="15.0" customHeight="1">
      <c r="A13" s="38" t="str">
        <f>AE9</f>
        <v>Reuben Borg</v>
      </c>
      <c r="B13" s="39">
        <v>0.0</v>
      </c>
      <c r="C13" s="40">
        <f>IF(B13&gt;B15,1,0)</f>
        <v>0</v>
      </c>
      <c r="D13" s="41"/>
      <c r="E13" s="39">
        <v>6.0</v>
      </c>
      <c r="F13" s="40">
        <f>IF(E13&gt;E15,1,0)</f>
        <v>1</v>
      </c>
      <c r="G13" s="41"/>
      <c r="H13" s="39">
        <v>6.0</v>
      </c>
      <c r="I13" s="26">
        <f>IF(H13&gt;H15,1,0)</f>
        <v>0</v>
      </c>
      <c r="J13" s="26">
        <f>IF(B13="",0,1)</f>
        <v>1</v>
      </c>
      <c r="K13" s="26">
        <f>IF(C13+F13=2,3,IF(C13+F13=1,1,0))</f>
        <v>1</v>
      </c>
      <c r="L13" s="26">
        <f>IF(K13=3,3,IF(I13+K13=2,2,IF(K13=1,1,0)))</f>
        <v>1</v>
      </c>
      <c r="M13" s="26">
        <f>B13+E13</f>
        <v>6</v>
      </c>
      <c r="N13" s="26">
        <f>C13+F13+I13</f>
        <v>1</v>
      </c>
      <c r="O13" s="26"/>
      <c r="P13" s="38" t="str">
        <f>AE9</f>
        <v>Reuben Borg</v>
      </c>
      <c r="Q13" s="39">
        <v>7.0</v>
      </c>
      <c r="R13" s="40">
        <f>IF(Q13&gt;Q15,1,0)</f>
        <v>1</v>
      </c>
      <c r="S13" s="41"/>
      <c r="T13" s="39">
        <v>7.0</v>
      </c>
      <c r="U13" s="40">
        <f>IF(T13&gt;T15,1,0)</f>
        <v>1</v>
      </c>
      <c r="V13" s="41"/>
      <c r="W13" s="42"/>
      <c r="X13" s="26">
        <f>IF(W13&gt;W15,1,0)</f>
        <v>0</v>
      </c>
      <c r="Y13" s="26">
        <f>IF(Q13="",0,1)</f>
        <v>1</v>
      </c>
      <c r="Z13" s="26">
        <f>IF(R13+U13=2,3,IF(R13+U13=1,1,0))</f>
        <v>3</v>
      </c>
      <c r="AA13" s="26">
        <f>IF(Z13=3,3,IF(X13+Z13=2,2,IF(Z13=1,1,0)))</f>
        <v>3</v>
      </c>
      <c r="AB13" s="26">
        <f>Q13+T13</f>
        <v>14</v>
      </c>
      <c r="AC13" s="26">
        <f>R13+U13+X13</f>
        <v>2</v>
      </c>
      <c r="AD13" s="26"/>
      <c r="AE13" s="43" t="str">
        <f>'Players - Men'!B8</f>
        <v>Matthew Borg</v>
      </c>
      <c r="AF13" s="44">
        <f>Y29+Y11+Y33+J33+J23</f>
        <v>5</v>
      </c>
      <c r="AG13" s="44">
        <f t="shared" ref="AG13:AI13" si="3">AA29+AA11+AA33+L33+L23</f>
        <v>5</v>
      </c>
      <c r="AH13" s="44">
        <f t="shared" si="3"/>
        <v>39</v>
      </c>
      <c r="AI13" s="45">
        <f t="shared" si="3"/>
        <v>5</v>
      </c>
      <c r="AJ13" s="33"/>
      <c r="AK13" s="33"/>
      <c r="AL13" s="26"/>
    </row>
    <row r="14" ht="15.0" customHeight="1">
      <c r="A14" s="46" t="s">
        <v>71</v>
      </c>
      <c r="H14" s="47"/>
      <c r="I14" s="48"/>
      <c r="J14" s="26"/>
      <c r="K14" s="26"/>
      <c r="L14" s="26"/>
      <c r="M14" s="26"/>
      <c r="N14" s="26"/>
      <c r="O14" s="26"/>
      <c r="P14" s="46" t="s">
        <v>71</v>
      </c>
      <c r="W14" s="47"/>
      <c r="X14" s="48"/>
      <c r="Y14" s="26"/>
      <c r="Z14" s="26"/>
      <c r="AA14" s="26"/>
      <c r="AB14" s="26"/>
      <c r="AC14" s="26"/>
      <c r="AD14" s="26"/>
      <c r="AE14" s="26"/>
      <c r="AF14" s="33"/>
      <c r="AG14" s="33"/>
      <c r="AH14" s="33"/>
      <c r="AI14" s="33"/>
      <c r="AJ14" s="33"/>
      <c r="AK14" s="33"/>
      <c r="AL14" s="26"/>
    </row>
    <row r="15" ht="15.0" customHeight="1">
      <c r="A15" s="49" t="str">
        <f>AE15</f>
        <v>Jean Attard</v>
      </c>
      <c r="B15" s="39">
        <v>6.0</v>
      </c>
      <c r="C15" s="50">
        <f>IF(B15&gt;B13,1,0)</f>
        <v>1</v>
      </c>
      <c r="D15" s="51"/>
      <c r="E15" s="39">
        <v>4.0</v>
      </c>
      <c r="F15" s="50">
        <f>IF(E15&gt;E13,1,0)</f>
        <v>0</v>
      </c>
      <c r="G15" s="51"/>
      <c r="H15" s="39">
        <v>10.0</v>
      </c>
      <c r="I15" s="26">
        <f>IF(H15&gt;H13,1,0)</f>
        <v>1</v>
      </c>
      <c r="J15" s="26">
        <f>IF(B15="",0,1)</f>
        <v>1</v>
      </c>
      <c r="K15" s="26">
        <f>IF(C15+F15=2,3,IF(C15+F15=1,1,0))</f>
        <v>1</v>
      </c>
      <c r="L15" s="26">
        <f>IF(K15=3,3,IF(I15+K15=2,2,IF(K15=1,1,0)))</f>
        <v>2</v>
      </c>
      <c r="M15" s="26">
        <f>B15+E15</f>
        <v>10</v>
      </c>
      <c r="N15" s="26">
        <f>C15+F15+I15</f>
        <v>2</v>
      </c>
      <c r="O15" s="26"/>
      <c r="P15" s="49" t="str">
        <f>AE17</f>
        <v>Adrian Manduca</v>
      </c>
      <c r="Q15" s="39">
        <v>6.0</v>
      </c>
      <c r="R15" s="50">
        <f>IF(Q15&gt;Q13,1,0)</f>
        <v>0</v>
      </c>
      <c r="S15" s="51"/>
      <c r="T15" s="39">
        <v>6.0</v>
      </c>
      <c r="U15" s="50">
        <f>IF(T15&gt;T13,1,0)</f>
        <v>0</v>
      </c>
      <c r="V15" s="51"/>
      <c r="W15" s="42"/>
      <c r="X15" s="26">
        <f>IF(W15&gt;W13,1,0)</f>
        <v>0</v>
      </c>
      <c r="Y15" s="26">
        <f>IF(Q15="",0,1)</f>
        <v>1</v>
      </c>
      <c r="Z15" s="26">
        <f>IF(R15+U15=2,3,IF(R15+U15=1,1,0))</f>
        <v>0</v>
      </c>
      <c r="AA15" s="26">
        <f>IF(Z15=3,3,IF(X15+Z15=2,2,IF(Z15=1,1,0)))</f>
        <v>0</v>
      </c>
      <c r="AB15" s="26">
        <f>Q15+T15</f>
        <v>12</v>
      </c>
      <c r="AC15" s="26">
        <f>R15+U15+X15</f>
        <v>0</v>
      </c>
      <c r="AD15" s="26"/>
      <c r="AE15" s="43" t="str">
        <f>'Players - Men'!B9</f>
        <v>Jean Attard</v>
      </c>
      <c r="AF15" s="44">
        <f>Y31+J37+J15+Y23+J29</f>
        <v>5</v>
      </c>
      <c r="AG15" s="44">
        <f t="shared" ref="AG15:AI15" si="4">AA31+L37+L15+AA23+L29</f>
        <v>8</v>
      </c>
      <c r="AH15" s="44">
        <f t="shared" si="4"/>
        <v>52</v>
      </c>
      <c r="AI15" s="45">
        <f t="shared" si="4"/>
        <v>7</v>
      </c>
      <c r="AJ15" s="33"/>
      <c r="AK15" s="33"/>
      <c r="AL15" s="26"/>
    </row>
    <row r="16" ht="15.0" customHeight="1">
      <c r="A16" s="26"/>
      <c r="B16" s="33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33"/>
      <c r="AG16" s="33"/>
      <c r="AH16" s="33"/>
      <c r="AI16" s="33"/>
      <c r="AJ16" s="33"/>
      <c r="AK16" s="33"/>
      <c r="AL16" s="26"/>
    </row>
    <row r="17" ht="15.0" customHeight="1">
      <c r="A17" s="38" t="str">
        <f>AE9</f>
        <v>Reuben Borg</v>
      </c>
      <c r="B17" s="39">
        <v>6.0</v>
      </c>
      <c r="C17" s="40">
        <f>IF(B17&gt;B19,1,0)</f>
        <v>1</v>
      </c>
      <c r="D17" s="41"/>
      <c r="E17" s="39">
        <v>6.0</v>
      </c>
      <c r="F17" s="40">
        <f>IF(E17&gt;E19,1,0)</f>
        <v>1</v>
      </c>
      <c r="G17" s="41"/>
      <c r="H17" s="42"/>
      <c r="I17" s="26">
        <f>IF(H17&gt;H19,1,0)</f>
        <v>0</v>
      </c>
      <c r="J17" s="26">
        <f>IF(B17="",0,1)</f>
        <v>1</v>
      </c>
      <c r="K17" s="26">
        <f>IF(C17+F17=2,3,IF(C17+F17=1,1,0))</f>
        <v>3</v>
      </c>
      <c r="L17" s="26">
        <f>IF(K17=3,3,IF(I17+K17=2,2,IF(K17=1,1,0)))</f>
        <v>3</v>
      </c>
      <c r="M17" s="26">
        <f>B17+E17</f>
        <v>12</v>
      </c>
      <c r="N17" s="26">
        <f>C17+F17+I17</f>
        <v>2</v>
      </c>
      <c r="O17" s="26"/>
      <c r="P17" s="38" t="str">
        <f>AE17</f>
        <v>Adrian Manduca</v>
      </c>
      <c r="Q17" s="39">
        <v>6.0</v>
      </c>
      <c r="R17" s="40">
        <f>IF(Q17&gt;Q19,1,0)</f>
        <v>0</v>
      </c>
      <c r="S17" s="41"/>
      <c r="T17" s="39">
        <v>6.0</v>
      </c>
      <c r="U17" s="40">
        <f>IF(T17&gt;T19,1,0)</f>
        <v>1</v>
      </c>
      <c r="V17" s="41"/>
      <c r="W17" s="39">
        <v>10.0</v>
      </c>
      <c r="X17" s="26">
        <f>IF(W17&gt;W19,1,0)</f>
        <v>1</v>
      </c>
      <c r="Y17" s="26">
        <f>IF(Q17="",0,1)</f>
        <v>1</v>
      </c>
      <c r="Z17" s="26">
        <f>IF(R17+U17=2,3,IF(R17+U17=1,1,0))</f>
        <v>1</v>
      </c>
      <c r="AA17" s="26">
        <f>IF(Z17=3,3,IF(X17+Z17=2,2,IF(Z17=1,1,0)))</f>
        <v>2</v>
      </c>
      <c r="AB17" s="26">
        <f>Q17+T17</f>
        <v>12</v>
      </c>
      <c r="AC17" s="26">
        <f>R17+U17+X17</f>
        <v>2</v>
      </c>
      <c r="AD17" s="52"/>
      <c r="AE17" s="43" t="str">
        <f>'Players - Men'!B10</f>
        <v>Adrian Manduca</v>
      </c>
      <c r="AF17" s="44">
        <f>Y17+J39+J27+Y15+J35</f>
        <v>5</v>
      </c>
      <c r="AG17" s="44">
        <f t="shared" ref="AG17:AI17" si="5">AA17+L39+L27+AA15+L35</f>
        <v>5</v>
      </c>
      <c r="AH17" s="44">
        <f t="shared" si="5"/>
        <v>49</v>
      </c>
      <c r="AI17" s="45">
        <f t="shared" si="5"/>
        <v>4</v>
      </c>
      <c r="AJ17" s="33"/>
      <c r="AK17" s="33"/>
      <c r="AL17" s="26"/>
    </row>
    <row r="18" ht="15.0" customHeight="1">
      <c r="A18" s="46" t="s">
        <v>71</v>
      </c>
      <c r="H18" s="47"/>
      <c r="I18" s="48"/>
      <c r="J18" s="26"/>
      <c r="K18" s="26"/>
      <c r="L18" s="26"/>
      <c r="M18" s="26"/>
      <c r="N18" s="26"/>
      <c r="O18" s="26"/>
      <c r="P18" s="46" t="s">
        <v>71</v>
      </c>
      <c r="W18" s="47"/>
      <c r="X18" s="48"/>
      <c r="Y18" s="26"/>
      <c r="Z18" s="26"/>
      <c r="AA18" s="26"/>
      <c r="AB18" s="26"/>
      <c r="AC18" s="26"/>
      <c r="AD18" s="26"/>
      <c r="AE18" s="26"/>
      <c r="AF18" s="33"/>
      <c r="AG18" s="33"/>
      <c r="AH18" s="33"/>
      <c r="AI18" s="33"/>
      <c r="AJ18" s="33"/>
      <c r="AK18" s="33"/>
      <c r="AL18" s="26"/>
    </row>
    <row r="19" ht="15.0" customHeight="1">
      <c r="A19" s="49" t="str">
        <f>AE19</f>
        <v>Keith Micallef</v>
      </c>
      <c r="B19" s="39">
        <v>1.0</v>
      </c>
      <c r="C19" s="50">
        <f>IF(B19&gt;B17,1,0)</f>
        <v>0</v>
      </c>
      <c r="D19" s="51"/>
      <c r="E19" s="39">
        <v>3.0</v>
      </c>
      <c r="F19" s="50">
        <f>IF(E19&gt;E17,1,0)</f>
        <v>0</v>
      </c>
      <c r="G19" s="51"/>
      <c r="H19" s="42"/>
      <c r="I19" s="26">
        <f>IF(H19&gt;H17,1,0)</f>
        <v>0</v>
      </c>
      <c r="J19" s="26">
        <f>IF(B19="",0,1)</f>
        <v>1</v>
      </c>
      <c r="K19" s="26">
        <f>IF(C19+F19=2,3,IF(C19+F19=1,1,0))</f>
        <v>0</v>
      </c>
      <c r="L19" s="26">
        <f>IF(K19=3,3,IF(I19+K19=2,2,IF(K19=1,1,0)))</f>
        <v>0</v>
      </c>
      <c r="M19" s="26">
        <f>B19+E19</f>
        <v>4</v>
      </c>
      <c r="N19" s="26">
        <f>C19+F19+I19</f>
        <v>0</v>
      </c>
      <c r="O19" s="26"/>
      <c r="P19" s="49" t="str">
        <f>AE19</f>
        <v>Keith Micallef</v>
      </c>
      <c r="Q19" s="39">
        <v>7.0</v>
      </c>
      <c r="R19" s="50">
        <f>IF(Q19&gt;Q17,1,0)</f>
        <v>1</v>
      </c>
      <c r="S19" s="51"/>
      <c r="T19" s="39">
        <v>4.0</v>
      </c>
      <c r="U19" s="50">
        <f>IF(T19&gt;T17,1,0)</f>
        <v>0</v>
      </c>
      <c r="V19" s="51"/>
      <c r="W19" s="39">
        <v>7.0</v>
      </c>
      <c r="X19" s="26">
        <f>IF(W19&gt;W17,1,0)</f>
        <v>0</v>
      </c>
      <c r="Y19" s="26">
        <f>IF(Q19="",0,1)</f>
        <v>1</v>
      </c>
      <c r="Z19" s="26">
        <f>IF(R19+U19=2,3,IF(R19+U19=1,1,0))</f>
        <v>1</v>
      </c>
      <c r="AA19" s="26">
        <f>IF(Z19=3,3,IF(X19+Z19=2,2,IF(Z19=1,1,0)))</f>
        <v>1</v>
      </c>
      <c r="AB19" s="26">
        <f>Q19+T19</f>
        <v>11</v>
      </c>
      <c r="AC19" s="26">
        <f>R19+U19+X19</f>
        <v>1</v>
      </c>
      <c r="AD19" s="26"/>
      <c r="AE19" s="43" t="str">
        <f>'Players - Men'!B11</f>
        <v>Keith Micallef</v>
      </c>
      <c r="AF19" s="44">
        <f>Y19+Y27+Y35+J19+J31</f>
        <v>5</v>
      </c>
      <c r="AG19" s="44">
        <f>AA19+AA35+L31+AA27+L19</f>
        <v>6</v>
      </c>
      <c r="AH19" s="44">
        <f t="shared" ref="AH19:AI19" si="6">AB19+AB27+AB35+M19+M31</f>
        <v>48</v>
      </c>
      <c r="AI19" s="45">
        <f t="shared" si="6"/>
        <v>6</v>
      </c>
      <c r="AJ19" s="26"/>
      <c r="AK19" s="33"/>
      <c r="AL19" s="26"/>
    </row>
    <row r="20" ht="15.0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 ht="15.0" customHeight="1">
      <c r="A21" s="38" t="str">
        <f>AE11</f>
        <v>Melchior Farrugia</v>
      </c>
      <c r="B21" s="39">
        <v>4.0</v>
      </c>
      <c r="C21" s="40">
        <f>IF(B21&gt;B23,1,0)</f>
        <v>0</v>
      </c>
      <c r="D21" s="41"/>
      <c r="E21" s="39">
        <v>6.0</v>
      </c>
      <c r="F21" s="40">
        <f>IF(E21&gt;E23,1,0)</f>
        <v>1</v>
      </c>
      <c r="G21" s="41"/>
      <c r="H21" s="39">
        <v>10.0</v>
      </c>
      <c r="I21" s="26">
        <f>IF(H21&gt;H23,1,0)</f>
        <v>1</v>
      </c>
      <c r="J21" s="26">
        <f>IF(B21="",0,1)</f>
        <v>1</v>
      </c>
      <c r="K21" s="26">
        <f>IF(C21+F21=2,3,IF(C21+F21=1,1,0))</f>
        <v>1</v>
      </c>
      <c r="L21" s="26">
        <f>IF(K21=3,3,IF(I21+K21=2,2,IF(K21=1,1,0)))</f>
        <v>2</v>
      </c>
      <c r="M21" s="26">
        <f>B21+E21</f>
        <v>10</v>
      </c>
      <c r="N21" s="26">
        <f>C21+F21+I21</f>
        <v>2</v>
      </c>
      <c r="O21" s="26"/>
      <c r="P21" s="38" t="str">
        <f>AE11</f>
        <v>Melchior Farrugia</v>
      </c>
      <c r="Q21" s="39">
        <v>6.0</v>
      </c>
      <c r="R21" s="40">
        <f>IF(Q21&gt;Q23,1,0)</f>
        <v>1</v>
      </c>
      <c r="S21" s="41"/>
      <c r="T21" s="39">
        <v>0.0</v>
      </c>
      <c r="U21" s="40">
        <f>IF(T21&gt;T23,1,0)</f>
        <v>0</v>
      </c>
      <c r="V21" s="41"/>
      <c r="W21" s="39">
        <v>10.0</v>
      </c>
      <c r="X21" s="26">
        <f>IF(W21&gt;W23,1,0)</f>
        <v>1</v>
      </c>
      <c r="Y21" s="26">
        <f>IF(Q21="",0,1)</f>
        <v>1</v>
      </c>
      <c r="Z21" s="26">
        <f>IF(R21+U21=2,3,IF(R21+U21=1,1,0))</f>
        <v>1</v>
      </c>
      <c r="AA21" s="26">
        <f>IF(Z21=3,3,IF(X21+Z21=2,2,IF(Z21=1,1,0)))</f>
        <v>2</v>
      </c>
      <c r="AB21" s="26">
        <f>Q21+T21</f>
        <v>6</v>
      </c>
      <c r="AC21" s="26">
        <f>R21+U21+X21</f>
        <v>2</v>
      </c>
      <c r="AD21" s="26"/>
      <c r="AE21" s="28" t="s">
        <v>72</v>
      </c>
      <c r="AF21" s="29"/>
      <c r="AG21" s="29"/>
      <c r="AH21" s="29"/>
      <c r="AI21" s="30"/>
      <c r="AJ21" s="26"/>
      <c r="AK21" s="26"/>
      <c r="AL21" s="26"/>
    </row>
    <row r="22" ht="15.0" customHeight="1">
      <c r="A22" s="46" t="s">
        <v>71</v>
      </c>
      <c r="H22" s="47"/>
      <c r="I22" s="48"/>
      <c r="J22" s="26"/>
      <c r="K22" s="26"/>
      <c r="L22" s="26"/>
      <c r="M22" s="26"/>
      <c r="N22" s="26"/>
      <c r="O22" s="26"/>
      <c r="P22" s="46" t="s">
        <v>71</v>
      </c>
      <c r="W22" s="47"/>
      <c r="X22" s="48"/>
      <c r="Y22" s="26"/>
      <c r="Z22" s="26"/>
      <c r="AA22" s="26"/>
      <c r="AB22" s="26"/>
      <c r="AC22" s="26"/>
      <c r="AD22" s="26"/>
      <c r="AE22" s="53" t="s">
        <v>5</v>
      </c>
      <c r="AF22" s="29"/>
      <c r="AG22" s="29"/>
      <c r="AH22" s="29"/>
      <c r="AI22" s="30"/>
      <c r="AJ22" s="26"/>
      <c r="AK22" s="26"/>
      <c r="AL22" s="26"/>
    </row>
    <row r="23" ht="15.0" customHeight="1">
      <c r="A23" s="49" t="str">
        <f>AE13</f>
        <v>Matthew Borg</v>
      </c>
      <c r="B23" s="39">
        <v>6.0</v>
      </c>
      <c r="C23" s="50">
        <f>IF(B23&gt;B21,1,0)</f>
        <v>1</v>
      </c>
      <c r="D23" s="51"/>
      <c r="E23" s="39">
        <v>4.0</v>
      </c>
      <c r="F23" s="50">
        <f>IF(E23&gt;E21,1,0)</f>
        <v>0</v>
      </c>
      <c r="G23" s="51"/>
      <c r="H23" s="39">
        <v>3.0</v>
      </c>
      <c r="I23" s="26">
        <f>IF(H23&gt;H21,1,0)</f>
        <v>0</v>
      </c>
      <c r="J23" s="26">
        <f>IF(B23="",0,1)</f>
        <v>1</v>
      </c>
      <c r="K23" s="26">
        <f>IF(C23+F23=2,3,IF(C23+F23=1,1,0))</f>
        <v>1</v>
      </c>
      <c r="L23" s="26">
        <f>IF(K23=3,3,IF(I23+K23=2,2,IF(K23=1,1,0)))</f>
        <v>1</v>
      </c>
      <c r="M23" s="26">
        <f>B23+E23</f>
        <v>10</v>
      </c>
      <c r="N23" s="26">
        <f>C23+F23+I23</f>
        <v>1</v>
      </c>
      <c r="O23" s="26"/>
      <c r="P23" s="49" t="str">
        <f>AE15</f>
        <v>Jean Attard</v>
      </c>
      <c r="Q23" s="39">
        <v>3.0</v>
      </c>
      <c r="R23" s="50">
        <f>IF(Q23&gt;Q21,1,0)</f>
        <v>0</v>
      </c>
      <c r="S23" s="51"/>
      <c r="T23" s="39">
        <v>6.0</v>
      </c>
      <c r="U23" s="50">
        <f>IF(T23&gt;T21,1,0)</f>
        <v>1</v>
      </c>
      <c r="V23" s="51"/>
      <c r="W23" s="39">
        <v>5.0</v>
      </c>
      <c r="X23" s="26">
        <f>IF(W23&gt;W21,1,0)</f>
        <v>0</v>
      </c>
      <c r="Y23" s="26">
        <f>IF(Q23="",0,1)</f>
        <v>1</v>
      </c>
      <c r="Z23" s="26">
        <f>IF(R23+U23=2,3,IF(R23+U23=1,1,0))</f>
        <v>1</v>
      </c>
      <c r="AA23" s="26">
        <f>IF(Z23=3,3,IF(X23+Z23=2,2,IF(Z23=1,1,0)))</f>
        <v>1</v>
      </c>
      <c r="AB23" s="26">
        <f>Q23+T23</f>
        <v>9</v>
      </c>
      <c r="AC23" s="26">
        <f>R23+U23+X23</f>
        <v>1</v>
      </c>
      <c r="AD23" s="26"/>
      <c r="AE23" s="26"/>
      <c r="AF23" s="26"/>
      <c r="AG23" s="26"/>
      <c r="AH23" s="26"/>
      <c r="AI23" s="26"/>
      <c r="AJ23" s="26"/>
      <c r="AK23" s="26"/>
      <c r="AL23" s="26"/>
    </row>
    <row r="24" ht="15.0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ht="15.0" customHeight="1">
      <c r="A25" s="38" t="str">
        <f>AE11</f>
        <v>Melchior Farrugia</v>
      </c>
      <c r="B25" s="39">
        <v>7.0</v>
      </c>
      <c r="C25" s="40">
        <f>IF(B25&gt;B27,1,0)</f>
        <v>1</v>
      </c>
      <c r="D25" s="41"/>
      <c r="E25" s="39">
        <v>6.0</v>
      </c>
      <c r="F25" s="40">
        <f>IF(E25&gt;E27,1,0)</f>
        <v>1</v>
      </c>
      <c r="G25" s="41"/>
      <c r="H25" s="42"/>
      <c r="I25" s="26">
        <f>IF(H25&gt;H27,1,0)</f>
        <v>0</v>
      </c>
      <c r="J25" s="26">
        <f>IF(B25="",0,1)</f>
        <v>1</v>
      </c>
      <c r="K25" s="26">
        <f>IF(C25+F25=2,3,IF(C25+F25=1,1,0))</f>
        <v>3</v>
      </c>
      <c r="L25" s="26">
        <f>IF(K25=3,3,IF(I25+K25=2,2,IF(K25=1,1,0)))</f>
        <v>3</v>
      </c>
      <c r="M25" s="26">
        <f>B25+E25</f>
        <v>13</v>
      </c>
      <c r="N25" s="26">
        <f>C25+F25+I25</f>
        <v>2</v>
      </c>
      <c r="O25" s="26"/>
      <c r="P25" s="38" t="str">
        <f>AE11</f>
        <v>Melchior Farrugia</v>
      </c>
      <c r="Q25" s="39">
        <v>7.0</v>
      </c>
      <c r="R25" s="40">
        <f>IF(Q25&gt;Q27,1,0)</f>
        <v>1</v>
      </c>
      <c r="S25" s="41"/>
      <c r="T25" s="39">
        <v>0.0</v>
      </c>
      <c r="U25" s="40">
        <f>IF(T25&gt;T27,1,0)</f>
        <v>0</v>
      </c>
      <c r="V25" s="41"/>
      <c r="W25" s="39">
        <v>4.0</v>
      </c>
      <c r="X25" s="26">
        <f>IF(W25&gt;W27,1,0)</f>
        <v>0</v>
      </c>
      <c r="Y25" s="26">
        <f>IF(Q25="",0,1)</f>
        <v>1</v>
      </c>
      <c r="Z25" s="26">
        <f>IF(R25+U25=2,3,IF(R25+U25=1,1,0))</f>
        <v>1</v>
      </c>
      <c r="AA25" s="26">
        <f>IF(Z25=3,3,IF(X25+Z25=2,2,IF(Z25=1,1,0)))</f>
        <v>1</v>
      </c>
      <c r="AB25" s="26">
        <f>Q25+T25</f>
        <v>7</v>
      </c>
      <c r="AC25" s="26">
        <f>R25+U25+X25</f>
        <v>1</v>
      </c>
      <c r="AD25" s="26"/>
      <c r="AE25" s="26"/>
      <c r="AF25" s="26"/>
      <c r="AG25" s="26"/>
      <c r="AH25" s="26"/>
      <c r="AI25" s="26"/>
      <c r="AJ25" s="26"/>
      <c r="AK25" s="26"/>
      <c r="AL25" s="26"/>
    </row>
    <row r="26" ht="15.0" customHeight="1">
      <c r="A26" s="46" t="s">
        <v>71</v>
      </c>
      <c r="H26" s="47"/>
      <c r="I26" s="48"/>
      <c r="J26" s="26"/>
      <c r="K26" s="26"/>
      <c r="L26" s="26"/>
      <c r="M26" s="26"/>
      <c r="N26" s="26"/>
      <c r="O26" s="26"/>
      <c r="P26" s="46" t="s">
        <v>71</v>
      </c>
      <c r="W26" s="47"/>
      <c r="X26" s="48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ht="15.0" customHeight="1">
      <c r="A27" s="49" t="str">
        <f>AE17</f>
        <v>Adrian Manduca</v>
      </c>
      <c r="B27" s="39">
        <v>5.0</v>
      </c>
      <c r="C27" s="50">
        <f>IF(B27&gt;B25,1,0)</f>
        <v>0</v>
      </c>
      <c r="D27" s="51"/>
      <c r="E27" s="39">
        <v>4.0</v>
      </c>
      <c r="F27" s="50">
        <f>IF(E27&gt;E25,1,0)</f>
        <v>0</v>
      </c>
      <c r="G27" s="51"/>
      <c r="H27" s="42"/>
      <c r="I27" s="26">
        <f>IF(H27&gt;H25,1,0)</f>
        <v>0</v>
      </c>
      <c r="J27" s="26">
        <f>IF(B27="",0,1)</f>
        <v>1</v>
      </c>
      <c r="K27" s="26">
        <f>IF(C27+F27=2,3,IF(C27+F27=1,1,0))</f>
        <v>0</v>
      </c>
      <c r="L27" s="26">
        <f>IF(K27=3,3,IF(I27+K27=2,2,IF(K27=1,1,0)))</f>
        <v>0</v>
      </c>
      <c r="M27" s="26">
        <f>B27+E27</f>
        <v>9</v>
      </c>
      <c r="N27" s="26">
        <f>C27+F27+I27</f>
        <v>0</v>
      </c>
      <c r="O27" s="26"/>
      <c r="P27" s="49" t="str">
        <f>AE19</f>
        <v>Keith Micallef</v>
      </c>
      <c r="Q27" s="39">
        <v>6.0</v>
      </c>
      <c r="R27" s="50">
        <f>IF(Q27&gt;Q25,1,0)</f>
        <v>0</v>
      </c>
      <c r="S27" s="51"/>
      <c r="T27" s="39">
        <v>6.0</v>
      </c>
      <c r="U27" s="50">
        <f>IF(T27&gt;T25,1,0)</f>
        <v>1</v>
      </c>
      <c r="V27" s="51"/>
      <c r="W27" s="39">
        <v>10.0</v>
      </c>
      <c r="X27" s="26">
        <f>IF(W27&gt;W25,1,0)</f>
        <v>1</v>
      </c>
      <c r="Y27" s="26">
        <f>IF(Q27="",0,1)</f>
        <v>1</v>
      </c>
      <c r="Z27" s="26">
        <f>IF(R27+U27=2,3,IF(R27+U27=1,1,0))</f>
        <v>1</v>
      </c>
      <c r="AA27" s="26">
        <f>IF(Z27=3,3,IF(X27+Z27=2,2,IF(Z27=1,1,0)))</f>
        <v>2</v>
      </c>
      <c r="AB27" s="26">
        <f>Q27+T27</f>
        <v>12</v>
      </c>
      <c r="AC27" s="26">
        <f>R27+U27+X27</f>
        <v>2</v>
      </c>
      <c r="AD27" s="26"/>
      <c r="AE27" s="26"/>
      <c r="AF27" s="26"/>
      <c r="AG27" s="26"/>
      <c r="AH27" s="26"/>
      <c r="AI27" s="26"/>
      <c r="AJ27" s="26"/>
      <c r="AK27" s="26"/>
      <c r="AL27" s="26"/>
    </row>
    <row r="28" ht="15.0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33"/>
      <c r="AI28" s="26"/>
      <c r="AJ28" s="26"/>
      <c r="AK28" s="26"/>
      <c r="AL28" s="26"/>
    </row>
    <row r="29" ht="15.0" customHeight="1">
      <c r="A29" s="38" t="str">
        <f>AE15</f>
        <v>Jean Attard</v>
      </c>
      <c r="B29" s="39">
        <v>6.0</v>
      </c>
      <c r="C29" s="40">
        <f>IF(B29&gt;B31,1,0)</f>
        <v>1</v>
      </c>
      <c r="D29" s="41"/>
      <c r="E29" s="39">
        <v>3.0</v>
      </c>
      <c r="F29" s="40">
        <f>IF(E29&gt;E31,1,0)</f>
        <v>0</v>
      </c>
      <c r="G29" s="41"/>
      <c r="H29" s="39">
        <v>9.0</v>
      </c>
      <c r="I29" s="26">
        <f>IF(H29&gt;H31,1,0)</f>
        <v>0</v>
      </c>
      <c r="J29" s="26">
        <f>IF(B29="",0,1)</f>
        <v>1</v>
      </c>
      <c r="K29" s="26">
        <f>IF(C29+F29=2,3,IF(C29+F29=1,1,0))</f>
        <v>1</v>
      </c>
      <c r="L29" s="26">
        <f>IF(K29=3,3,IF(I29+K29=2,2,IF(K29=1,1,0)))</f>
        <v>1</v>
      </c>
      <c r="M29" s="26">
        <f>B29+E29</f>
        <v>9</v>
      </c>
      <c r="N29" s="26">
        <f>C29+F29+I29</f>
        <v>1</v>
      </c>
      <c r="O29" s="26"/>
      <c r="P29" s="38" t="str">
        <f>AE13</f>
        <v>Matthew Borg</v>
      </c>
      <c r="Q29" s="39">
        <v>4.0</v>
      </c>
      <c r="R29" s="40">
        <f>IF(Q29&gt;Q31,1,0)</f>
        <v>0</v>
      </c>
      <c r="S29" s="41"/>
      <c r="T29" s="39">
        <v>7.0</v>
      </c>
      <c r="U29" s="40">
        <f>IF(T29&gt;T31,1,0)</f>
        <v>1</v>
      </c>
      <c r="V29" s="41"/>
      <c r="W29" s="39">
        <v>10.0</v>
      </c>
      <c r="X29" s="26">
        <f>IF(W29&gt;W31,1,0)</f>
        <v>1</v>
      </c>
      <c r="Y29" s="26">
        <f>IF(Q29="",0,1)</f>
        <v>1</v>
      </c>
      <c r="Z29" s="26">
        <f>IF(R29+U29=2,3,IF(R29+U29=1,1,0))</f>
        <v>1</v>
      </c>
      <c r="AA29" s="26">
        <f>IF(Z29=3,3,IF(X29+Z29=2,2,IF(Z29=1,1,0)))</f>
        <v>2</v>
      </c>
      <c r="AB29" s="26">
        <f>Q29+T29</f>
        <v>11</v>
      </c>
      <c r="AC29" s="26">
        <f>R29+U29+X29</f>
        <v>2</v>
      </c>
      <c r="AD29" s="26"/>
      <c r="AE29" s="26"/>
      <c r="AF29" s="26"/>
      <c r="AG29" s="26"/>
      <c r="AH29" s="26"/>
      <c r="AI29" s="26"/>
      <c r="AJ29" s="26"/>
      <c r="AK29" s="26"/>
      <c r="AL29" s="26"/>
    </row>
    <row r="30" ht="15.0" customHeight="1">
      <c r="A30" s="46" t="s">
        <v>71</v>
      </c>
      <c r="H30" s="47"/>
      <c r="I30" s="48"/>
      <c r="J30" s="26"/>
      <c r="K30" s="26"/>
      <c r="L30" s="26"/>
      <c r="M30" s="26"/>
      <c r="N30" s="26"/>
      <c r="O30" s="26"/>
      <c r="P30" s="46" t="s">
        <v>71</v>
      </c>
      <c r="W30" s="47"/>
      <c r="X30" s="48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54"/>
      <c r="AL30" s="26"/>
    </row>
    <row r="31" ht="15.0" customHeight="1">
      <c r="A31" s="49" t="str">
        <f>AE19</f>
        <v>Keith Micallef</v>
      </c>
      <c r="B31" s="39">
        <v>3.0</v>
      </c>
      <c r="C31" s="50">
        <f>IF(B31&gt;B29,1,0)</f>
        <v>0</v>
      </c>
      <c r="D31" s="51"/>
      <c r="E31" s="39">
        <v>6.0</v>
      </c>
      <c r="F31" s="50">
        <f>IF(E31&gt;E29,1,0)</f>
        <v>1</v>
      </c>
      <c r="G31" s="51"/>
      <c r="H31" s="39">
        <v>11.0</v>
      </c>
      <c r="I31" s="26">
        <f>IF(H31&gt;H29,1,0)</f>
        <v>1</v>
      </c>
      <c r="J31" s="26">
        <f>IF(B31="",0,1)</f>
        <v>1</v>
      </c>
      <c r="K31" s="26">
        <f>IF(C31+F31=2,3,IF(C31+F31=1,1,0))</f>
        <v>1</v>
      </c>
      <c r="L31" s="26">
        <f>IF(K31=3,3,IF(I31+K31=2,2,IF(K31=1,1,0)))</f>
        <v>2</v>
      </c>
      <c r="M31" s="26">
        <f>B31+E31</f>
        <v>9</v>
      </c>
      <c r="N31" s="26">
        <f>C31+F31+I31</f>
        <v>2</v>
      </c>
      <c r="O31" s="26"/>
      <c r="P31" s="49" t="str">
        <f>AE15</f>
        <v>Jean Attard</v>
      </c>
      <c r="Q31" s="39">
        <v>6.0</v>
      </c>
      <c r="R31" s="50">
        <f>IF(Q31&gt;Q29,1,0)</f>
        <v>1</v>
      </c>
      <c r="S31" s="51"/>
      <c r="T31" s="39">
        <v>6.0</v>
      </c>
      <c r="U31" s="50">
        <f>IF(T31&gt;T29,1,0)</f>
        <v>0</v>
      </c>
      <c r="V31" s="51"/>
      <c r="W31" s="39">
        <v>4.0</v>
      </c>
      <c r="X31" s="26">
        <f>IF(W31&gt;W29,1,0)</f>
        <v>0</v>
      </c>
      <c r="Y31" s="26">
        <f>IF(Q31="",0,1)</f>
        <v>1</v>
      </c>
      <c r="Z31" s="26">
        <f>IF(R31+U31=2,3,IF(R31+U31=1,1,0))</f>
        <v>1</v>
      </c>
      <c r="AA31" s="26">
        <f>IF(Z31=3,3,IF(X31+Z31=2,2,IF(Z31=1,1,0)))</f>
        <v>1</v>
      </c>
      <c r="AB31" s="26">
        <f>Q31+T31</f>
        <v>12</v>
      </c>
      <c r="AC31" s="26">
        <f>R31+U31+X31</f>
        <v>1</v>
      </c>
      <c r="AD31" s="26"/>
      <c r="AE31" s="26"/>
      <c r="AF31" s="26"/>
      <c r="AG31" s="26"/>
      <c r="AH31" s="26"/>
      <c r="AI31" s="26"/>
      <c r="AJ31" s="26"/>
      <c r="AK31" s="26"/>
      <c r="AL31" s="26"/>
    </row>
    <row r="32" ht="15.0" customHeight="1">
      <c r="A32" s="26"/>
      <c r="B32" s="26"/>
      <c r="C32" s="26"/>
      <c r="D32" s="26"/>
      <c r="E32" s="33"/>
      <c r="F32" s="26"/>
      <c r="G32" s="26"/>
      <c r="H32" s="33"/>
      <c r="I32" s="26"/>
      <c r="J32" s="33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33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54"/>
      <c r="AL32" s="26"/>
    </row>
    <row r="33" ht="15.0" customHeight="1">
      <c r="A33" s="38" t="str">
        <f>AE13</f>
        <v>Matthew Borg</v>
      </c>
      <c r="B33" s="39">
        <v>0.0</v>
      </c>
      <c r="C33" s="40">
        <f>IF(B33&gt;B35,1,0)</f>
        <v>0</v>
      </c>
      <c r="D33" s="41"/>
      <c r="E33" s="39">
        <v>0.0</v>
      </c>
      <c r="F33" s="40">
        <f>IF(E33&gt;E35,1,0)</f>
        <v>0</v>
      </c>
      <c r="G33" s="41"/>
      <c r="H33" s="42"/>
      <c r="I33" s="26">
        <f>IF(H33&gt;H35,1,0)</f>
        <v>0</v>
      </c>
      <c r="J33" s="26">
        <f>IF(B33="",0,1)</f>
        <v>1</v>
      </c>
      <c r="K33" s="26">
        <f>IF(C33+F33=2,3,IF(C33+F33=1,1,0))</f>
        <v>0</v>
      </c>
      <c r="L33" s="26">
        <f>IF(K33=3,3,IF(I33+K33=2,2,IF(K33=1,1,0)))</f>
        <v>0</v>
      </c>
      <c r="M33" s="26">
        <f>B33+E33</f>
        <v>0</v>
      </c>
      <c r="N33" s="26">
        <f>C33+F33+I33</f>
        <v>0</v>
      </c>
      <c r="O33" s="55" t="s">
        <v>73</v>
      </c>
      <c r="P33" s="38" t="str">
        <f>AE13</f>
        <v>Matthew Borg</v>
      </c>
      <c r="Q33" s="39">
        <v>7.0</v>
      </c>
      <c r="R33" s="40">
        <f>IF(Q33&gt;Q35,1,0)</f>
        <v>1</v>
      </c>
      <c r="S33" s="41"/>
      <c r="T33" s="39">
        <v>6.0</v>
      </c>
      <c r="U33" s="40">
        <f>IF(T33&gt;T35,1,0)</f>
        <v>0</v>
      </c>
      <c r="V33" s="41"/>
      <c r="W33" s="39">
        <v>10.0</v>
      </c>
      <c r="X33" s="26">
        <f>IF(W33&gt;W35,1,0)</f>
        <v>1</v>
      </c>
      <c r="Y33" s="26">
        <f>IF(Q33="",0,1)</f>
        <v>1</v>
      </c>
      <c r="Z33" s="26">
        <f>IF(R33+U33=2,3,IF(R33+U33=1,1,0))</f>
        <v>1</v>
      </c>
      <c r="AA33" s="26">
        <f>IF(Z33=3,3,IF(X33+Z33=2,2,IF(Z33=1,1,0)))</f>
        <v>2</v>
      </c>
      <c r="AB33" s="26">
        <f>Q33+T33</f>
        <v>13</v>
      </c>
      <c r="AC33" s="26">
        <f>R33+U33+X33</f>
        <v>2</v>
      </c>
      <c r="AD33" s="26"/>
      <c r="AE33" s="26"/>
      <c r="AF33" s="26"/>
      <c r="AG33" s="26"/>
      <c r="AH33" s="26"/>
      <c r="AI33" s="26"/>
      <c r="AJ33" s="26"/>
      <c r="AK33" s="26"/>
      <c r="AL33" s="26"/>
    </row>
    <row r="34" ht="15.0" customHeight="1">
      <c r="A34" s="46" t="s">
        <v>71</v>
      </c>
      <c r="H34" s="47"/>
      <c r="I34" s="48"/>
      <c r="J34" s="26"/>
      <c r="K34" s="26"/>
      <c r="L34" s="26"/>
      <c r="M34" s="26"/>
      <c r="N34" s="26"/>
      <c r="O34" s="26"/>
      <c r="P34" s="46" t="s">
        <v>71</v>
      </c>
      <c r="W34" s="47"/>
      <c r="X34" s="48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ht="15.0" customHeight="1">
      <c r="A35" s="49" t="str">
        <f>AE17</f>
        <v>Adrian Manduca</v>
      </c>
      <c r="B35" s="39">
        <v>6.0</v>
      </c>
      <c r="C35" s="50">
        <f>IF(B35&gt;B33,1,0)</f>
        <v>1</v>
      </c>
      <c r="D35" s="51"/>
      <c r="E35" s="39">
        <v>6.0</v>
      </c>
      <c r="F35" s="50">
        <f>IF(E35&gt;E33,1,0)</f>
        <v>1</v>
      </c>
      <c r="G35" s="51"/>
      <c r="H35" s="42"/>
      <c r="I35" s="26">
        <f>IF(H35&gt;H33,1,0)</f>
        <v>0</v>
      </c>
      <c r="J35" s="26">
        <f>IF(B35="",0,1)</f>
        <v>1</v>
      </c>
      <c r="K35" s="26">
        <f>IF(C35+F35=2,3,IF(C35+F35=1,1,0))</f>
        <v>3</v>
      </c>
      <c r="L35" s="26">
        <f>IF(K35=3,3,IF(I35+K35=2,2,IF(K35=1,1,0)))</f>
        <v>3</v>
      </c>
      <c r="M35" s="26">
        <f>B35+E35</f>
        <v>12</v>
      </c>
      <c r="N35" s="26">
        <f>C35+F35+I35</f>
        <v>2</v>
      </c>
      <c r="O35" s="26"/>
      <c r="P35" s="49" t="str">
        <f>AE19</f>
        <v>Keith Micallef</v>
      </c>
      <c r="Q35" s="39">
        <v>5.0</v>
      </c>
      <c r="R35" s="50">
        <f>IF(Q35&gt;Q33,1,0)</f>
        <v>0</v>
      </c>
      <c r="S35" s="51"/>
      <c r="T35" s="39">
        <v>7.0</v>
      </c>
      <c r="U35" s="50">
        <f>IF(T35&gt;T33,1,0)</f>
        <v>1</v>
      </c>
      <c r="V35" s="51"/>
      <c r="W35" s="39">
        <v>8.0</v>
      </c>
      <c r="X35" s="26">
        <f>IF(W35&gt;W33,1,0)</f>
        <v>0</v>
      </c>
      <c r="Y35" s="26">
        <f>IF(Q35="",0,1)</f>
        <v>1</v>
      </c>
      <c r="Z35" s="26">
        <f>IF(R35+U35=2,3,IF(R35+U35=1,1,0))</f>
        <v>1</v>
      </c>
      <c r="AA35" s="26">
        <f>IF(Z35=3,3,IF(X35+Z35=2,2,IF(Z35=1,1,0)))</f>
        <v>1</v>
      </c>
      <c r="AB35" s="26">
        <f>Q35+T35</f>
        <v>12</v>
      </c>
      <c r="AC35" s="26">
        <f>R35+U35+X35</f>
        <v>1</v>
      </c>
      <c r="AD35" s="26"/>
      <c r="AE35" s="26"/>
      <c r="AF35" s="26"/>
      <c r="AG35" s="26"/>
      <c r="AH35" s="26"/>
      <c r="AI35" s="26"/>
      <c r="AJ35" s="26"/>
      <c r="AK35" s="26"/>
      <c r="AL35" s="26"/>
    </row>
    <row r="36" ht="15.0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33"/>
      <c r="AI36" s="26"/>
      <c r="AJ36" s="26"/>
      <c r="AK36" s="26"/>
      <c r="AL36" s="26"/>
    </row>
    <row r="37" ht="15.0" customHeight="1">
      <c r="A37" s="38" t="str">
        <f>AE15</f>
        <v>Jean Attard</v>
      </c>
      <c r="B37" s="39">
        <v>6.0</v>
      </c>
      <c r="C37" s="40">
        <f>IF(B37&gt;B39,1,0)</f>
        <v>1</v>
      </c>
      <c r="D37" s="41"/>
      <c r="E37" s="39">
        <v>6.0</v>
      </c>
      <c r="F37" s="40">
        <f>IF(E37&gt;E39,1,0)</f>
        <v>1</v>
      </c>
      <c r="G37" s="41"/>
      <c r="H37" s="42"/>
      <c r="I37" s="26">
        <f>IF(H37&gt;H39,1,0)</f>
        <v>0</v>
      </c>
      <c r="J37" s="26">
        <f>IF(B37="",0,1)</f>
        <v>1</v>
      </c>
      <c r="K37" s="26">
        <f>IF(C37+F37=2,3,IF(C37+F37=1,1,0))</f>
        <v>3</v>
      </c>
      <c r="L37" s="26">
        <f>IF(K37=3,3,IF(I37+K37=2,2,IF(K37=1,1,0)))</f>
        <v>3</v>
      </c>
      <c r="M37" s="26">
        <f>B37+E37</f>
        <v>12</v>
      </c>
      <c r="N37" s="26">
        <f>C37+F37+I37</f>
        <v>2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ht="15.0" customHeight="1">
      <c r="A38" s="46" t="s">
        <v>71</v>
      </c>
      <c r="H38" s="47"/>
      <c r="I38" s="48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56"/>
      <c r="AK38" s="26"/>
      <c r="AL38" s="26"/>
    </row>
    <row r="39" ht="15.0" customHeight="1">
      <c r="A39" s="49" t="str">
        <f>AE17</f>
        <v>Adrian Manduca</v>
      </c>
      <c r="B39" s="39">
        <v>1.0</v>
      </c>
      <c r="C39" s="50">
        <f>IF(B39&gt;B37,1,0)</f>
        <v>0</v>
      </c>
      <c r="D39" s="51"/>
      <c r="E39" s="39">
        <v>3.0</v>
      </c>
      <c r="F39" s="50">
        <f>IF(E39&gt;E37,1,0)</f>
        <v>0</v>
      </c>
      <c r="G39" s="51"/>
      <c r="H39" s="42"/>
      <c r="I39" s="26">
        <f>IF(H39&gt;H37,1,0)</f>
        <v>0</v>
      </c>
      <c r="J39" s="26">
        <f>IF(B39="",0,1)</f>
        <v>1</v>
      </c>
      <c r="K39" s="26">
        <f>IF(C39+F39=2,3,IF(C39+F39=1,1,0))</f>
        <v>0</v>
      </c>
      <c r="L39" s="26">
        <f>IF(K39=3,3,IF(I39+K39=2,2,IF(K39=1,1,0)))</f>
        <v>0</v>
      </c>
      <c r="M39" s="26">
        <f>B39+E39</f>
        <v>4</v>
      </c>
      <c r="N39" s="26">
        <f>C39+F39+I39</f>
        <v>0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ht="15.0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ht="13.5" customHeight="1">
      <c r="A41" s="57" t="s">
        <v>74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5"/>
      <c r="AJ41" s="26"/>
      <c r="AK41" s="26"/>
      <c r="AL41" s="26"/>
    </row>
    <row r="42" ht="13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ht="15.75" customHeight="1">
      <c r="A43" s="58" t="s">
        <v>51</v>
      </c>
      <c r="B43" s="59" t="s">
        <v>52</v>
      </c>
      <c r="C43" s="29"/>
      <c r="D43" s="29"/>
      <c r="E43" s="30"/>
      <c r="F43" s="60"/>
      <c r="G43" s="61"/>
      <c r="H43" s="58" t="s">
        <v>53</v>
      </c>
      <c r="I43" s="26"/>
      <c r="J43" s="26"/>
      <c r="K43" s="26"/>
      <c r="L43" s="26"/>
      <c r="M43" s="33"/>
      <c r="N43" s="33"/>
      <c r="O43" s="33"/>
      <c r="P43" s="58" t="s">
        <v>51</v>
      </c>
      <c r="Q43" s="59" t="s">
        <v>52</v>
      </c>
      <c r="R43" s="29"/>
      <c r="S43" s="29"/>
      <c r="T43" s="30"/>
      <c r="U43" s="62"/>
      <c r="V43" s="61"/>
      <c r="W43" s="58" t="s">
        <v>53</v>
      </c>
      <c r="X43" s="26"/>
      <c r="Y43" s="33"/>
      <c r="Z43" s="33"/>
      <c r="AA43" s="33"/>
      <c r="AB43" s="33"/>
      <c r="AC43" s="33"/>
      <c r="AD43" s="33"/>
      <c r="AE43" s="58" t="s">
        <v>54</v>
      </c>
      <c r="AF43" s="58" t="s">
        <v>55</v>
      </c>
      <c r="AG43" s="58" t="s">
        <v>56</v>
      </c>
      <c r="AH43" s="58" t="s">
        <v>57</v>
      </c>
      <c r="AI43" s="58" t="s">
        <v>58</v>
      </c>
      <c r="AJ43" s="63"/>
      <c r="AK43" s="63"/>
      <c r="AL43" s="26"/>
    </row>
    <row r="44" ht="15.75" hidden="1" customHeight="1">
      <c r="A44" s="26"/>
      <c r="B44" s="34" t="s">
        <v>59</v>
      </c>
      <c r="C44" s="34" t="s">
        <v>60</v>
      </c>
      <c r="D44" s="34"/>
      <c r="E44" s="34" t="s">
        <v>59</v>
      </c>
      <c r="F44" s="34" t="s">
        <v>61</v>
      </c>
      <c r="G44" s="34"/>
      <c r="H44" s="34" t="s">
        <v>59</v>
      </c>
      <c r="I44" s="34" t="s">
        <v>62</v>
      </c>
      <c r="J44" s="34" t="s">
        <v>63</v>
      </c>
      <c r="K44" s="34" t="s">
        <v>64</v>
      </c>
      <c r="L44" s="34" t="s">
        <v>65</v>
      </c>
      <c r="M44" s="34" t="s">
        <v>66</v>
      </c>
      <c r="N44" s="34" t="s">
        <v>67</v>
      </c>
      <c r="O44" s="26"/>
      <c r="P44" s="26"/>
      <c r="Q44" s="34" t="s">
        <v>59</v>
      </c>
      <c r="R44" s="34" t="s">
        <v>60</v>
      </c>
      <c r="S44" s="34"/>
      <c r="T44" s="34" t="s">
        <v>59</v>
      </c>
      <c r="U44" s="34" t="s">
        <v>61</v>
      </c>
      <c r="V44" s="34"/>
      <c r="W44" s="34" t="s">
        <v>59</v>
      </c>
      <c r="X44" s="34" t="s">
        <v>62</v>
      </c>
      <c r="Y44" s="34" t="s">
        <v>63</v>
      </c>
      <c r="Z44" s="34" t="s">
        <v>64</v>
      </c>
      <c r="AA44" s="34" t="s">
        <v>65</v>
      </c>
      <c r="AB44" s="34" t="s">
        <v>66</v>
      </c>
      <c r="AC44" s="34" t="s">
        <v>67</v>
      </c>
      <c r="AD44" s="26"/>
      <c r="AE44" s="33"/>
      <c r="AF44" s="33"/>
      <c r="AG44" s="33"/>
      <c r="AH44" s="33"/>
      <c r="AI44" s="33"/>
      <c r="AJ44" s="34" t="s">
        <v>68</v>
      </c>
      <c r="AK44" s="36" t="s">
        <v>69</v>
      </c>
      <c r="AL44" s="37" t="s">
        <v>70</v>
      </c>
    </row>
    <row r="45" ht="15.0" customHeight="1">
      <c r="A45" s="38" t="str">
        <f>AE45</f>
        <v>Trevor Rutter</v>
      </c>
      <c r="B45" s="39">
        <v>2.0</v>
      </c>
      <c r="C45" s="40">
        <f>IF(B45&gt;B47,1,0)</f>
        <v>0</v>
      </c>
      <c r="D45" s="41"/>
      <c r="E45" s="39">
        <v>0.0</v>
      </c>
      <c r="F45" s="40">
        <f>IF(E45&gt;E47,1,0)</f>
        <v>0</v>
      </c>
      <c r="G45" s="41"/>
      <c r="H45" s="42"/>
      <c r="I45" s="26">
        <f>IF(H45&gt;H47,1,0)</f>
        <v>0</v>
      </c>
      <c r="J45" s="26">
        <f>IF(B45="",0,1)</f>
        <v>1</v>
      </c>
      <c r="K45" s="26">
        <f>IF(C45+F45=2,3,IF(C45+F45=1,1,0))</f>
        <v>0</v>
      </c>
      <c r="L45" s="26">
        <f>IF(K45=3,3,IF(I45+K45=2,2,IF(K45=1,1,0)))</f>
        <v>0</v>
      </c>
      <c r="M45" s="26">
        <f>B45+E45</f>
        <v>2</v>
      </c>
      <c r="N45" s="26">
        <f>C45+F45+I45</f>
        <v>0</v>
      </c>
      <c r="O45" s="26"/>
      <c r="P45" s="38" t="str">
        <f>AE45</f>
        <v>Trevor Rutter</v>
      </c>
      <c r="Q45" s="39">
        <v>6.0</v>
      </c>
      <c r="R45" s="40">
        <f>IF(Q45&gt;Q47,1,0)</f>
        <v>1</v>
      </c>
      <c r="S45" s="41"/>
      <c r="T45" s="39">
        <v>6.0</v>
      </c>
      <c r="U45" s="40">
        <f>IF(T45&gt;T47,1,0)</f>
        <v>1</v>
      </c>
      <c r="V45" s="41"/>
      <c r="W45" s="42"/>
      <c r="X45" s="26">
        <f>IF(W45&gt;W47,1,0)</f>
        <v>0</v>
      </c>
      <c r="Y45" s="26">
        <f>IF(Q45="",0,1)</f>
        <v>1</v>
      </c>
      <c r="Z45" s="26">
        <f>IF(R45+U45=2,3,IF(R45+U45=1,1,0))</f>
        <v>3</v>
      </c>
      <c r="AA45" s="26">
        <f>IF(Z45=3,3,IF(X45+Z45=2,2,IF(Z45=1,1,0)))</f>
        <v>3</v>
      </c>
      <c r="AB45" s="26">
        <f>Q45+T45</f>
        <v>12</v>
      </c>
      <c r="AC45" s="26">
        <f>R45+U45+X45</f>
        <v>2</v>
      </c>
      <c r="AD45" s="26"/>
      <c r="AE45" s="64" t="str">
        <f>'Players - Men'!E6</f>
        <v>Trevor Rutter</v>
      </c>
      <c r="AF45" s="44">
        <f>J45+Y45+J49+Y49+J53</f>
        <v>5</v>
      </c>
      <c r="AG45" s="44">
        <f t="shared" ref="AG45:AI45" si="7">L45+AA45+L49+AA49+L53</f>
        <v>12</v>
      </c>
      <c r="AH45" s="44">
        <f t="shared" si="7"/>
        <v>50</v>
      </c>
      <c r="AI45" s="45">
        <f t="shared" si="7"/>
        <v>8</v>
      </c>
      <c r="AJ45" s="26">
        <f>MAX(AG45:AG55)</f>
        <v>14</v>
      </c>
      <c r="AK45" s="26">
        <f>SUM(AF45:AF55)</f>
        <v>30</v>
      </c>
      <c r="AL45" s="26" t="str">
        <f>IF(AG45=$AJ$45,AE45,IF(AG47=$AJ$45,AE47,IF(AG49=$AJ$45,AE49,IF(AG51=$AJ$45,AE51,IF(AG53=$AJ$45,AE53,IF(AG55=$AJ$45,AE55,""))))))</f>
        <v>Matthew Pace</v>
      </c>
    </row>
    <row r="46" ht="15.0" customHeight="1">
      <c r="A46" s="46" t="s">
        <v>71</v>
      </c>
      <c r="H46" s="47"/>
      <c r="I46" s="48"/>
      <c r="J46" s="26"/>
      <c r="K46" s="26"/>
      <c r="L46" s="26"/>
      <c r="M46" s="26"/>
      <c r="N46" s="26"/>
      <c r="O46" s="26"/>
      <c r="P46" s="46" t="s">
        <v>71</v>
      </c>
      <c r="W46" s="47"/>
      <c r="X46" s="48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33"/>
      <c r="AL46" s="26"/>
    </row>
    <row r="47" ht="15.0" customHeight="1">
      <c r="A47" s="49" t="str">
        <f>AE47</f>
        <v>Matthew Pace</v>
      </c>
      <c r="B47" s="39">
        <v>6.0</v>
      </c>
      <c r="C47" s="50">
        <f>IF(B47&gt;B45,1,0)</f>
        <v>1</v>
      </c>
      <c r="D47" s="51"/>
      <c r="E47" s="39">
        <v>6.0</v>
      </c>
      <c r="F47" s="50">
        <f>IF(E47&gt;E45,1,0)</f>
        <v>1</v>
      </c>
      <c r="G47" s="51"/>
      <c r="H47" s="42"/>
      <c r="I47" s="26">
        <f>IF(H47&gt;H45,1,0)</f>
        <v>0</v>
      </c>
      <c r="J47" s="26">
        <f>IF(B47="",0,1)</f>
        <v>1</v>
      </c>
      <c r="K47" s="26">
        <f>IF(C47+F47=2,3,IF(C47+F47=1,1,0))</f>
        <v>3</v>
      </c>
      <c r="L47" s="26">
        <f>IF(K47=3,3,IF(I47+K47=2,2,IF(K47=1,1,0)))</f>
        <v>3</v>
      </c>
      <c r="M47" s="26">
        <f>B47+E47</f>
        <v>12</v>
      </c>
      <c r="N47" s="26">
        <f>C47+F47+I47</f>
        <v>2</v>
      </c>
      <c r="O47" s="26"/>
      <c r="P47" s="49" t="str">
        <f>AE49</f>
        <v>Andrew Pule'</v>
      </c>
      <c r="Q47" s="39">
        <v>3.0</v>
      </c>
      <c r="R47" s="50">
        <f>IF(Q47&gt;Q45,1,0)</f>
        <v>0</v>
      </c>
      <c r="S47" s="51"/>
      <c r="T47" s="39">
        <v>4.0</v>
      </c>
      <c r="U47" s="50">
        <f>IF(T47&gt;T45,1,0)</f>
        <v>0</v>
      </c>
      <c r="V47" s="51"/>
      <c r="W47" s="42"/>
      <c r="X47" s="26">
        <f>IF(W47&gt;W45,1,0)</f>
        <v>0</v>
      </c>
      <c r="Y47" s="26">
        <f>IF(Q47="",0,1)</f>
        <v>1</v>
      </c>
      <c r="Z47" s="26">
        <f>IF(R47+U47=2,3,IF(R47+U47=1,1,0))</f>
        <v>0</v>
      </c>
      <c r="AA47" s="26">
        <f>IF(Z47=3,3,IF(X47+Z47=2,2,IF(Z47=1,1,0)))</f>
        <v>0</v>
      </c>
      <c r="AB47" s="26">
        <f>Q47+T47</f>
        <v>7</v>
      </c>
      <c r="AC47" s="26">
        <f>R47+U47+X47</f>
        <v>0</v>
      </c>
      <c r="AD47" s="26"/>
      <c r="AE47" s="64" t="str">
        <f>'Players - Men'!E7</f>
        <v>Matthew Pace</v>
      </c>
      <c r="AF47" s="44">
        <f>J47+Y61+J61+Y57+J57</f>
        <v>5</v>
      </c>
      <c r="AG47" s="44">
        <f t="shared" ref="AG47:AI47" si="8">L47+AA61+L61+AA57+L57</f>
        <v>14</v>
      </c>
      <c r="AH47" s="44">
        <f t="shared" si="8"/>
        <v>60</v>
      </c>
      <c r="AI47" s="45">
        <f t="shared" si="8"/>
        <v>10</v>
      </c>
      <c r="AJ47" s="33"/>
      <c r="AK47" s="33"/>
      <c r="AL47" s="26"/>
    </row>
    <row r="48" ht="15.0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33"/>
      <c r="AG48" s="33"/>
      <c r="AH48" s="33"/>
      <c r="AI48" s="33"/>
      <c r="AJ48" s="33"/>
      <c r="AK48" s="33"/>
      <c r="AL48" s="26"/>
    </row>
    <row r="49" ht="15.0" customHeight="1">
      <c r="A49" s="38" t="str">
        <f>AE45</f>
        <v>Trevor Rutter</v>
      </c>
      <c r="B49" s="39">
        <v>6.0</v>
      </c>
      <c r="C49" s="40">
        <f>IF(B49&gt;B51,1,0)</f>
        <v>1</v>
      </c>
      <c r="D49" s="41"/>
      <c r="E49" s="39">
        <v>6.0</v>
      </c>
      <c r="F49" s="40">
        <f>IF(E49&gt;E51,1,0)</f>
        <v>1</v>
      </c>
      <c r="G49" s="41"/>
      <c r="H49" s="42"/>
      <c r="I49" s="26">
        <f>IF(H49&gt;H51,1,0)</f>
        <v>0</v>
      </c>
      <c r="J49" s="26">
        <f>IF(B49="",0,1)</f>
        <v>1</v>
      </c>
      <c r="K49" s="26">
        <f>IF(C49+F49=2,3,IF(C49+F49=1,1,0))</f>
        <v>3</v>
      </c>
      <c r="L49" s="26">
        <f>IF(K49=3,3,IF(I49+K49=2,2,IF(K49=1,1,0)))</f>
        <v>3</v>
      </c>
      <c r="M49" s="26">
        <f>B49+E49</f>
        <v>12</v>
      </c>
      <c r="N49" s="26">
        <f>C49+F49+I49</f>
        <v>2</v>
      </c>
      <c r="O49" s="26"/>
      <c r="P49" s="38" t="str">
        <f>AE45</f>
        <v>Trevor Rutter</v>
      </c>
      <c r="Q49" s="39">
        <v>6.0</v>
      </c>
      <c r="R49" s="40">
        <f>IF(Q49&gt;Q51,1,0)</f>
        <v>1</v>
      </c>
      <c r="S49" s="41"/>
      <c r="T49" s="39">
        <v>6.0</v>
      </c>
      <c r="U49" s="40">
        <f>IF(T49&gt;T51,1,0)</f>
        <v>1</v>
      </c>
      <c r="V49" s="41"/>
      <c r="W49" s="42"/>
      <c r="X49" s="26">
        <f>IF(W49&gt;W51,1,0)</f>
        <v>0</v>
      </c>
      <c r="Y49" s="26">
        <f>IF(Q49="",0,1)</f>
        <v>1</v>
      </c>
      <c r="Z49" s="26">
        <f>IF(R49+U49=2,3,IF(R49+U49=1,1,0))</f>
        <v>3</v>
      </c>
      <c r="AA49" s="26">
        <f>IF(Z49=3,3,IF(X49+Z49=2,2,IF(Z49=1,1,0)))</f>
        <v>3</v>
      </c>
      <c r="AB49" s="26">
        <f>Q49+T49</f>
        <v>12</v>
      </c>
      <c r="AC49" s="26">
        <f>R49+U49+X49</f>
        <v>2</v>
      </c>
      <c r="AD49" s="26"/>
      <c r="AE49" s="64" t="str">
        <f>'Players - Men'!E8</f>
        <v>Andrew Pule'</v>
      </c>
      <c r="AF49" s="44">
        <f>Y65+Y47+Y69+J69+J59</f>
        <v>5</v>
      </c>
      <c r="AG49" s="44">
        <f t="shared" ref="AG49:AI49" si="9">AA65+AA47+AA69+L69+L59</f>
        <v>4</v>
      </c>
      <c r="AH49" s="44">
        <f t="shared" si="9"/>
        <v>35</v>
      </c>
      <c r="AI49" s="45">
        <f t="shared" si="9"/>
        <v>3</v>
      </c>
      <c r="AJ49" s="33"/>
      <c r="AK49" s="33"/>
      <c r="AL49" s="26"/>
    </row>
    <row r="50" ht="15.0" customHeight="1">
      <c r="A50" s="46" t="s">
        <v>71</v>
      </c>
      <c r="H50" s="47"/>
      <c r="I50" s="48"/>
      <c r="J50" s="26"/>
      <c r="K50" s="26"/>
      <c r="L50" s="26"/>
      <c r="M50" s="26"/>
      <c r="N50" s="26"/>
      <c r="O50" s="26"/>
      <c r="P50" s="46" t="s">
        <v>71</v>
      </c>
      <c r="W50" s="47"/>
      <c r="X50" s="48"/>
      <c r="Y50" s="26"/>
      <c r="Z50" s="26"/>
      <c r="AA50" s="26"/>
      <c r="AB50" s="26"/>
      <c r="AC50" s="26"/>
      <c r="AD50" s="26"/>
      <c r="AE50" s="26"/>
      <c r="AF50" s="33"/>
      <c r="AG50" s="33"/>
      <c r="AH50" s="33"/>
      <c r="AI50" s="33"/>
      <c r="AJ50" s="33"/>
      <c r="AK50" s="33"/>
      <c r="AL50" s="26"/>
    </row>
    <row r="51" ht="15.0" customHeight="1">
      <c r="A51" s="49" t="str">
        <f>AE51</f>
        <v>Fotios Evangelou</v>
      </c>
      <c r="B51" s="39">
        <v>2.0</v>
      </c>
      <c r="C51" s="50">
        <f>IF(B51&gt;B49,1,0)</f>
        <v>0</v>
      </c>
      <c r="D51" s="51"/>
      <c r="E51" s="39">
        <v>3.0</v>
      </c>
      <c r="F51" s="50">
        <f>IF(E51&gt;E49,1,0)</f>
        <v>0</v>
      </c>
      <c r="G51" s="51"/>
      <c r="H51" s="42"/>
      <c r="I51" s="26">
        <f>IF(H51&gt;H49,1,0)</f>
        <v>0</v>
      </c>
      <c r="J51" s="26">
        <f>IF(B51="",0,1)</f>
        <v>1</v>
      </c>
      <c r="K51" s="26">
        <f>IF(C51+F51=2,3,IF(C51+F51=1,1,0))</f>
        <v>0</v>
      </c>
      <c r="L51" s="26">
        <f>IF(K51=3,3,IF(I51+K51=2,2,IF(K51=1,1,0)))</f>
        <v>0</v>
      </c>
      <c r="M51" s="26">
        <f>B51+E51</f>
        <v>5</v>
      </c>
      <c r="N51" s="26">
        <f>C51+F51+I51</f>
        <v>0</v>
      </c>
      <c r="O51" s="26"/>
      <c r="P51" s="49" t="str">
        <f>AE53</f>
        <v>Marco Mercieca</v>
      </c>
      <c r="Q51" s="39">
        <v>3.0</v>
      </c>
      <c r="R51" s="50">
        <f>IF(Q51&gt;Q49,1,0)</f>
        <v>0</v>
      </c>
      <c r="S51" s="51"/>
      <c r="T51" s="39">
        <v>1.0</v>
      </c>
      <c r="U51" s="50">
        <f>IF(T51&gt;T49,1,0)</f>
        <v>0</v>
      </c>
      <c r="V51" s="51"/>
      <c r="W51" s="42"/>
      <c r="X51" s="26">
        <f>IF(W51&gt;W49,1,0)</f>
        <v>0</v>
      </c>
      <c r="Y51" s="26">
        <f>IF(Q51="",0,1)</f>
        <v>1</v>
      </c>
      <c r="Z51" s="26">
        <f>IF(R51+U51=2,3,IF(R51+U51=1,1,0))</f>
        <v>0</v>
      </c>
      <c r="AA51" s="26">
        <f>IF(Z51=3,3,IF(X51+Z51=2,2,IF(Z51=1,1,0)))</f>
        <v>0</v>
      </c>
      <c r="AB51" s="26">
        <f>Q51+T51</f>
        <v>4</v>
      </c>
      <c r="AC51" s="26">
        <f>R51+U51+X51</f>
        <v>0</v>
      </c>
      <c r="AD51" s="26"/>
      <c r="AE51" s="64" t="str">
        <f>'Players - Men'!E9</f>
        <v>Fotios Evangelou</v>
      </c>
      <c r="AF51" s="44">
        <f>Y67+J73+J51+Y59+J65</f>
        <v>5</v>
      </c>
      <c r="AG51" s="44">
        <f t="shared" ref="AG51:AI51" si="10">AA67+L73+L51+AA59+L65</f>
        <v>5</v>
      </c>
      <c r="AH51" s="44">
        <f t="shared" si="10"/>
        <v>34</v>
      </c>
      <c r="AI51" s="45">
        <f t="shared" si="10"/>
        <v>4</v>
      </c>
      <c r="AJ51" s="33"/>
      <c r="AK51" s="33"/>
      <c r="AL51" s="26"/>
    </row>
    <row r="52" ht="15.0" customHeight="1">
      <c r="A52" s="26"/>
      <c r="B52" s="33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33"/>
      <c r="AG52" s="33"/>
      <c r="AH52" s="33"/>
      <c r="AI52" s="33"/>
      <c r="AJ52" s="33"/>
      <c r="AK52" s="33"/>
      <c r="AL52" s="26"/>
    </row>
    <row r="53" ht="15.0" customHeight="1">
      <c r="A53" s="38" t="str">
        <f>AE45</f>
        <v>Trevor Rutter</v>
      </c>
      <c r="B53" s="39">
        <v>6.0</v>
      </c>
      <c r="C53" s="40">
        <f>IF(B53&gt;B55,1,0)</f>
        <v>1</v>
      </c>
      <c r="D53" s="41"/>
      <c r="E53" s="39">
        <v>6.0</v>
      </c>
      <c r="F53" s="40">
        <f>IF(E53&gt;E55,1,0)</f>
        <v>1</v>
      </c>
      <c r="G53" s="41"/>
      <c r="H53" s="42"/>
      <c r="I53" s="26">
        <f>IF(H53&gt;H55,1,0)</f>
        <v>0</v>
      </c>
      <c r="J53" s="26">
        <f>IF(B53="",0,1)</f>
        <v>1</v>
      </c>
      <c r="K53" s="26">
        <f>IF(C53+F53=2,3,IF(C53+F53=1,1,0))</f>
        <v>3</v>
      </c>
      <c r="L53" s="26">
        <f>IF(K53=3,3,IF(I53+K53=2,2,IF(K53=1,1,0)))</f>
        <v>3</v>
      </c>
      <c r="M53" s="26">
        <f>B53+E53</f>
        <v>12</v>
      </c>
      <c r="N53" s="26">
        <f>C53+F53+I53</f>
        <v>2</v>
      </c>
      <c r="O53" s="26"/>
      <c r="P53" s="38" t="str">
        <f>AE53</f>
        <v>Marco Mercieca</v>
      </c>
      <c r="Q53" s="39">
        <v>6.0</v>
      </c>
      <c r="R53" s="40">
        <f>IF(Q53&gt;Q55,1,0)</f>
        <v>1</v>
      </c>
      <c r="S53" s="41"/>
      <c r="T53" s="39">
        <v>6.0</v>
      </c>
      <c r="U53" s="40">
        <f>IF(T53&gt;T55,1,0)</f>
        <v>1</v>
      </c>
      <c r="V53" s="41"/>
      <c r="W53" s="42"/>
      <c r="X53" s="26">
        <f>IF(W53&gt;W55,1,0)</f>
        <v>0</v>
      </c>
      <c r="Y53" s="26">
        <f>IF(Q53="",0,1)</f>
        <v>1</v>
      </c>
      <c r="Z53" s="26">
        <f>IF(R53+U53=2,3,IF(R53+U53=1,1,0))</f>
        <v>3</v>
      </c>
      <c r="AA53" s="26">
        <f>IF(Z53=3,3,IF(X53+Z53=2,2,IF(Z53=1,1,0)))</f>
        <v>3</v>
      </c>
      <c r="AB53" s="26">
        <f>Q53+T53</f>
        <v>12</v>
      </c>
      <c r="AC53" s="26">
        <f>R53+U53+X53</f>
        <v>2</v>
      </c>
      <c r="AD53" s="26"/>
      <c r="AE53" s="64" t="str">
        <f>'Players - Men'!E10</f>
        <v>Marco Mercieca</v>
      </c>
      <c r="AF53" s="44">
        <f>Y53+J75+J63+Y51+J71</f>
        <v>5</v>
      </c>
      <c r="AG53" s="44">
        <f t="shared" ref="AG53:AI53" si="11">AA53+L75+L63+AA51+L71</f>
        <v>10</v>
      </c>
      <c r="AH53" s="44">
        <f t="shared" si="11"/>
        <v>50</v>
      </c>
      <c r="AI53" s="45">
        <f t="shared" si="11"/>
        <v>7</v>
      </c>
      <c r="AJ53" s="33"/>
      <c r="AK53" s="33"/>
      <c r="AL53" s="26"/>
    </row>
    <row r="54" ht="15.0" customHeight="1">
      <c r="A54" s="46" t="s">
        <v>71</v>
      </c>
      <c r="H54" s="47"/>
      <c r="I54" s="48"/>
      <c r="J54" s="26"/>
      <c r="K54" s="26"/>
      <c r="L54" s="26"/>
      <c r="M54" s="26"/>
      <c r="N54" s="26"/>
      <c r="O54" s="26"/>
      <c r="P54" s="46" t="s">
        <v>71</v>
      </c>
      <c r="W54" s="47"/>
      <c r="X54" s="48"/>
      <c r="Y54" s="26"/>
      <c r="Z54" s="26"/>
      <c r="AA54" s="26"/>
      <c r="AB54" s="26"/>
      <c r="AC54" s="26"/>
      <c r="AD54" s="26"/>
      <c r="AE54" s="26"/>
      <c r="AF54" s="33"/>
      <c r="AG54" s="33"/>
      <c r="AH54" s="33"/>
      <c r="AI54" s="33"/>
      <c r="AJ54" s="33"/>
      <c r="AK54" s="33"/>
      <c r="AL54" s="26"/>
    </row>
    <row r="55" ht="15.0" customHeight="1">
      <c r="A55" s="49" t="str">
        <f>AE55</f>
        <v>Daniel Falzon</v>
      </c>
      <c r="B55" s="39">
        <v>1.0</v>
      </c>
      <c r="C55" s="50">
        <f>IF(B55&gt;B53,1,0)</f>
        <v>0</v>
      </c>
      <c r="D55" s="51"/>
      <c r="E55" s="39">
        <v>2.0</v>
      </c>
      <c r="F55" s="50">
        <f>IF(E55&gt;E53,1,0)</f>
        <v>0</v>
      </c>
      <c r="G55" s="51"/>
      <c r="H55" s="42"/>
      <c r="I55" s="26">
        <f>IF(H55&gt;H53,1,0)</f>
        <v>0</v>
      </c>
      <c r="J55" s="26">
        <f>IF(B55="",0,1)</f>
        <v>1</v>
      </c>
      <c r="K55" s="26">
        <f>IF(C55+F55=2,3,IF(C55+F55=1,1,0))</f>
        <v>0</v>
      </c>
      <c r="L55" s="26">
        <f>IF(K55=3,3,IF(I55+K55=2,2,IF(K55=1,1,0)))</f>
        <v>0</v>
      </c>
      <c r="M55" s="26">
        <f>B55+E55</f>
        <v>3</v>
      </c>
      <c r="N55" s="26">
        <f>C55+F55+I55</f>
        <v>0</v>
      </c>
      <c r="O55" s="26"/>
      <c r="P55" s="49" t="str">
        <f>AE55</f>
        <v>Daniel Falzon</v>
      </c>
      <c r="Q55" s="39">
        <v>1.0</v>
      </c>
      <c r="R55" s="50">
        <f>IF(Q55&gt;Q53,1,0)</f>
        <v>0</v>
      </c>
      <c r="S55" s="51"/>
      <c r="T55" s="39">
        <v>1.0</v>
      </c>
      <c r="U55" s="50">
        <f>IF(T55&gt;T53,1,0)</f>
        <v>0</v>
      </c>
      <c r="V55" s="51"/>
      <c r="W55" s="42"/>
      <c r="X55" s="26">
        <f>IF(W55&gt;W53,1,0)</f>
        <v>0</v>
      </c>
      <c r="Y55" s="26">
        <f>IF(Q55="",0,1)</f>
        <v>1</v>
      </c>
      <c r="Z55" s="26">
        <f>IF(R55+U55=2,3,IF(R55+U55=1,1,0))</f>
        <v>0</v>
      </c>
      <c r="AA55" s="26">
        <f>IF(Z55=3,3,IF(X55+Z55=2,2,IF(Z55=1,1,0)))</f>
        <v>0</v>
      </c>
      <c r="AB55" s="26">
        <f>Q55+T55</f>
        <v>2</v>
      </c>
      <c r="AC55" s="26">
        <f>R55+U55+X55</f>
        <v>0</v>
      </c>
      <c r="AD55" s="26"/>
      <c r="AE55" s="64" t="str">
        <f>'Players - Men'!E11</f>
        <v>Daniel Falzon</v>
      </c>
      <c r="AF55" s="44">
        <f>Y55+Y63+Y71+J55+J67</f>
        <v>5</v>
      </c>
      <c r="AG55" s="44">
        <f t="shared" ref="AG55:AI55" si="12">AA55+AA63+AA71+L55+L67</f>
        <v>0</v>
      </c>
      <c r="AH55" s="44">
        <f t="shared" si="12"/>
        <v>19</v>
      </c>
      <c r="AI55" s="45">
        <f t="shared" si="12"/>
        <v>0</v>
      </c>
      <c r="AJ55" s="26"/>
      <c r="AK55" s="33"/>
      <c r="AL55" s="26"/>
    </row>
    <row r="56" ht="15.0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ht="15.0" customHeight="1">
      <c r="A57" s="38" t="str">
        <f>AE47</f>
        <v>Matthew Pace</v>
      </c>
      <c r="B57" s="39">
        <v>6.0</v>
      </c>
      <c r="C57" s="40">
        <f>IF(B57&gt;B59,1,0)</f>
        <v>1</v>
      </c>
      <c r="D57" s="41"/>
      <c r="E57" s="39">
        <v>6.0</v>
      </c>
      <c r="F57" s="40">
        <f>IF(E57&gt;E59,1,0)</f>
        <v>1</v>
      </c>
      <c r="G57" s="41"/>
      <c r="H57" s="42"/>
      <c r="I57" s="26">
        <f>IF(H57&gt;H59,1,0)</f>
        <v>0</v>
      </c>
      <c r="J57" s="26">
        <f>IF(B57="",0,1)</f>
        <v>1</v>
      </c>
      <c r="K57" s="26">
        <f>IF(C57+F57=2,3,IF(C57+F57=1,1,0))</f>
        <v>3</v>
      </c>
      <c r="L57" s="26">
        <f>IF(K57=3,3,IF(I57+K57=2,2,IF(K57=1,1,0)))</f>
        <v>3</v>
      </c>
      <c r="M57" s="26">
        <f>B57+E57</f>
        <v>12</v>
      </c>
      <c r="N57" s="26">
        <f>C57+F57+I57</f>
        <v>2</v>
      </c>
      <c r="O57" s="26"/>
      <c r="P57" s="38" t="str">
        <f>AE47</f>
        <v>Matthew Pace</v>
      </c>
      <c r="Q57" s="39">
        <v>6.0</v>
      </c>
      <c r="R57" s="40">
        <f>IF(Q57&gt;Q59,1,0)</f>
        <v>1</v>
      </c>
      <c r="S57" s="41"/>
      <c r="T57" s="39">
        <v>6.0</v>
      </c>
      <c r="U57" s="40">
        <f>IF(T57&gt;T59,1,0)</f>
        <v>1</v>
      </c>
      <c r="V57" s="41"/>
      <c r="W57" s="42"/>
      <c r="X57" s="26">
        <f>IF(W57&gt;W59,1,0)</f>
        <v>0</v>
      </c>
      <c r="Y57" s="26">
        <f>IF(Q57="",0,1)</f>
        <v>1</v>
      </c>
      <c r="Z57" s="26">
        <f>IF(R57+U57=2,3,IF(R57+U57=1,1,0))</f>
        <v>3</v>
      </c>
      <c r="AA57" s="26">
        <f>IF(Z57=3,3,IF(X57+Z57=2,2,IF(Z57=1,1,0)))</f>
        <v>3</v>
      </c>
      <c r="AB57" s="26">
        <f>Q57+T57</f>
        <v>12</v>
      </c>
      <c r="AC57" s="26">
        <f>R57+U57+X57</f>
        <v>2</v>
      </c>
      <c r="AD57" s="26"/>
      <c r="AE57" s="59" t="s">
        <v>75</v>
      </c>
      <c r="AF57" s="29"/>
      <c r="AG57" s="29"/>
      <c r="AH57" s="29"/>
      <c r="AI57" s="30"/>
      <c r="AJ57" s="26"/>
      <c r="AK57" s="26"/>
      <c r="AL57" s="26"/>
    </row>
    <row r="58" ht="15.0" customHeight="1">
      <c r="A58" s="46" t="s">
        <v>71</v>
      </c>
      <c r="H58" s="47"/>
      <c r="I58" s="48"/>
      <c r="J58" s="26"/>
      <c r="K58" s="26"/>
      <c r="L58" s="26"/>
      <c r="M58" s="26"/>
      <c r="N58" s="26"/>
      <c r="O58" s="26"/>
      <c r="P58" s="46" t="s">
        <v>71</v>
      </c>
      <c r="W58" s="47"/>
      <c r="X58" s="48"/>
      <c r="Y58" s="26"/>
      <c r="Z58" s="26"/>
      <c r="AA58" s="26"/>
      <c r="AB58" s="26"/>
      <c r="AC58" s="26"/>
      <c r="AD58" s="26"/>
      <c r="AE58" s="65" t="str">
        <f>IF(AK45=30,AL45,"")</f>
        <v>Matthew Pace</v>
      </c>
      <c r="AF58" s="29"/>
      <c r="AG58" s="29"/>
      <c r="AH58" s="29"/>
      <c r="AI58" s="30"/>
      <c r="AJ58" s="26"/>
      <c r="AK58" s="26"/>
      <c r="AL58" s="26"/>
    </row>
    <row r="59" ht="15.0" customHeight="1">
      <c r="A59" s="49" t="str">
        <f>AE49</f>
        <v>Andrew Pule'</v>
      </c>
      <c r="B59" s="39">
        <v>2.0</v>
      </c>
      <c r="C59" s="50">
        <f>IF(B59&gt;B57,1,0)</f>
        <v>0</v>
      </c>
      <c r="D59" s="51"/>
      <c r="E59" s="39">
        <v>0.0</v>
      </c>
      <c r="F59" s="50">
        <f>IF(E59&gt;E57,1,0)</f>
        <v>0</v>
      </c>
      <c r="G59" s="51"/>
      <c r="H59" s="42"/>
      <c r="I59" s="26">
        <f>IF(H59&gt;H57,1,0)</f>
        <v>0</v>
      </c>
      <c r="J59" s="26">
        <f>IF(B59="",0,1)</f>
        <v>1</v>
      </c>
      <c r="K59" s="26">
        <f>IF(C59+F59=2,3,IF(C59+F59=1,1,0))</f>
        <v>0</v>
      </c>
      <c r="L59" s="26">
        <f>IF(K59=3,3,IF(I59+K59=2,2,IF(K59=1,1,0)))</f>
        <v>0</v>
      </c>
      <c r="M59" s="26">
        <f>B59+E59</f>
        <v>2</v>
      </c>
      <c r="N59" s="26">
        <f>C59+F59+I59</f>
        <v>0</v>
      </c>
      <c r="O59" s="26"/>
      <c r="P59" s="49" t="str">
        <f>AE51</f>
        <v>Fotios Evangelou</v>
      </c>
      <c r="Q59" s="39">
        <v>3.0</v>
      </c>
      <c r="R59" s="50">
        <f>IF(Q59&gt;Q57,1,0)</f>
        <v>0</v>
      </c>
      <c r="S59" s="51"/>
      <c r="T59" s="39">
        <v>2.0</v>
      </c>
      <c r="U59" s="50">
        <f>IF(T59&gt;T57,1,0)</f>
        <v>0</v>
      </c>
      <c r="V59" s="51"/>
      <c r="W59" s="42"/>
      <c r="X59" s="26">
        <f>IF(W59&gt;W57,1,0)</f>
        <v>0</v>
      </c>
      <c r="Y59" s="26">
        <f>IF(Q59="",0,1)</f>
        <v>1</v>
      </c>
      <c r="Z59" s="26">
        <f>IF(R59+U59=2,3,IF(R59+U59=1,1,0))</f>
        <v>0</v>
      </c>
      <c r="AA59" s="26">
        <f>IF(Z59=3,3,IF(X59+Z59=2,2,IF(Z59=1,1,0)))</f>
        <v>0</v>
      </c>
      <c r="AB59" s="26">
        <f>Q59+T59</f>
        <v>5</v>
      </c>
      <c r="AC59" s="26">
        <f>R59+U59+X59</f>
        <v>0</v>
      </c>
      <c r="AD59" s="26"/>
      <c r="AE59" s="26"/>
      <c r="AF59" s="26"/>
      <c r="AG59" s="26"/>
      <c r="AH59" s="26"/>
      <c r="AI59" s="26"/>
      <c r="AJ59" s="26"/>
      <c r="AK59" s="26"/>
      <c r="AL59" s="26"/>
    </row>
    <row r="60" ht="15.0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ht="15.0" customHeight="1">
      <c r="A61" s="38" t="str">
        <f>AE47</f>
        <v>Matthew Pace</v>
      </c>
      <c r="B61" s="39">
        <v>6.0</v>
      </c>
      <c r="C61" s="40">
        <f>IF(B61&gt;B63,1,0)</f>
        <v>1</v>
      </c>
      <c r="D61" s="41"/>
      <c r="E61" s="39">
        <v>6.0</v>
      </c>
      <c r="F61" s="40">
        <f>IF(E61&gt;E63,1,0)</f>
        <v>0</v>
      </c>
      <c r="G61" s="41"/>
      <c r="H61" s="39">
        <v>10.0</v>
      </c>
      <c r="I61" s="26">
        <f>IF(H61&gt;H63,1,0)</f>
        <v>1</v>
      </c>
      <c r="J61" s="26">
        <f>IF(B61="",0,1)</f>
        <v>1</v>
      </c>
      <c r="K61" s="26">
        <f>IF(C61+F61=2,3,IF(C61+F61=1,1,0))</f>
        <v>1</v>
      </c>
      <c r="L61" s="26">
        <f>IF(K61=3,3,IF(I61+K61=2,2,IF(K61=1,1,0)))</f>
        <v>2</v>
      </c>
      <c r="M61" s="26">
        <f>B61+E61</f>
        <v>12</v>
      </c>
      <c r="N61" s="26">
        <f>C61+F61+I61</f>
        <v>2</v>
      </c>
      <c r="O61" s="26"/>
      <c r="P61" s="38" t="str">
        <f>AE47</f>
        <v>Matthew Pace</v>
      </c>
      <c r="Q61" s="39">
        <v>6.0</v>
      </c>
      <c r="R61" s="40">
        <f>IF(Q61&gt;Q63,1,0)</f>
        <v>1</v>
      </c>
      <c r="S61" s="41"/>
      <c r="T61" s="39">
        <v>6.0</v>
      </c>
      <c r="U61" s="40">
        <f>IF(T61&gt;T63,1,0)</f>
        <v>1</v>
      </c>
      <c r="V61" s="41"/>
      <c r="W61" s="42"/>
      <c r="X61" s="26">
        <f>IF(W61&gt;W63,1,0)</f>
        <v>0</v>
      </c>
      <c r="Y61" s="26">
        <f>IF(Q61="",0,1)</f>
        <v>1</v>
      </c>
      <c r="Z61" s="26">
        <f>IF(R61+U61=2,3,IF(R61+U61=1,1,0))</f>
        <v>3</v>
      </c>
      <c r="AA61" s="26">
        <f>IF(Z61=3,3,IF(X61+Z61=2,2,IF(Z61=1,1,0)))</f>
        <v>3</v>
      </c>
      <c r="AB61" s="26">
        <f>Q61+T61</f>
        <v>12</v>
      </c>
      <c r="AC61" s="26">
        <f>R61+U61+X61</f>
        <v>2</v>
      </c>
      <c r="AD61" s="26"/>
      <c r="AE61" s="66" t="s">
        <v>76</v>
      </c>
      <c r="AF61" s="29"/>
      <c r="AG61" s="29"/>
      <c r="AH61" s="29"/>
      <c r="AI61" s="29"/>
      <c r="AJ61" s="29"/>
      <c r="AK61" s="29"/>
      <c r="AL61" s="67"/>
    </row>
    <row r="62" ht="15.0" customHeight="1">
      <c r="A62" s="46" t="s">
        <v>71</v>
      </c>
      <c r="H62" s="47"/>
      <c r="I62" s="48"/>
      <c r="J62" s="26"/>
      <c r="K62" s="26"/>
      <c r="L62" s="26"/>
      <c r="M62" s="26"/>
      <c r="N62" s="26"/>
      <c r="O62" s="26"/>
      <c r="P62" s="46" t="s">
        <v>71</v>
      </c>
      <c r="W62" s="47"/>
      <c r="X62" s="48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ht="15.0" customHeight="1">
      <c r="A63" s="49" t="str">
        <f>AE53</f>
        <v>Marco Mercieca</v>
      </c>
      <c r="B63" s="39">
        <v>3.0</v>
      </c>
      <c r="C63" s="50">
        <f>IF(B63&gt;B61,1,0)</f>
        <v>0</v>
      </c>
      <c r="D63" s="51"/>
      <c r="E63" s="39">
        <v>7.0</v>
      </c>
      <c r="F63" s="50">
        <f>IF(E63&gt;E61,1,0)</f>
        <v>1</v>
      </c>
      <c r="G63" s="51"/>
      <c r="H63" s="39">
        <v>4.0</v>
      </c>
      <c r="I63" s="26">
        <f>IF(H63&gt;H61,1,0)</f>
        <v>0</v>
      </c>
      <c r="J63" s="26">
        <f>IF(B63="",0,1)</f>
        <v>1</v>
      </c>
      <c r="K63" s="26">
        <f>IF(C63+F63=2,3,IF(C63+F63=1,1,0))</f>
        <v>1</v>
      </c>
      <c r="L63" s="26">
        <f>IF(K63=3,3,IF(I63+K63=2,2,IF(K63=1,1,0)))</f>
        <v>1</v>
      </c>
      <c r="M63" s="26">
        <f>B63+E63</f>
        <v>10</v>
      </c>
      <c r="N63" s="26">
        <f>C63+F63+I63</f>
        <v>1</v>
      </c>
      <c r="O63" s="26"/>
      <c r="P63" s="49" t="str">
        <f>AE55</f>
        <v>Daniel Falzon</v>
      </c>
      <c r="Q63" s="39">
        <v>1.0</v>
      </c>
      <c r="R63" s="50">
        <f>IF(Q63&gt;Q61,1,0)</f>
        <v>0</v>
      </c>
      <c r="S63" s="51"/>
      <c r="T63" s="39">
        <v>0.0</v>
      </c>
      <c r="U63" s="50">
        <f>IF(T63&gt;T61,1,0)</f>
        <v>0</v>
      </c>
      <c r="V63" s="51"/>
      <c r="W63" s="42"/>
      <c r="X63" s="26">
        <f>IF(W63&gt;W61,1,0)</f>
        <v>0</v>
      </c>
      <c r="Y63" s="26">
        <f>IF(Q63="",0,1)</f>
        <v>1</v>
      </c>
      <c r="Z63" s="26">
        <f>IF(R63+U63=2,3,IF(R63+U63=1,1,0))</f>
        <v>0</v>
      </c>
      <c r="AA63" s="26">
        <f>IF(Z63=3,3,IF(X63+Z63=2,2,IF(Z63=1,1,0)))</f>
        <v>0</v>
      </c>
      <c r="AB63" s="26">
        <f>Q63+T63</f>
        <v>1</v>
      </c>
      <c r="AC63" s="26">
        <f>R63+U63+X63</f>
        <v>0</v>
      </c>
      <c r="AD63" s="26"/>
      <c r="AE63" s="68" t="s">
        <v>51</v>
      </c>
      <c r="AF63" s="66" t="s">
        <v>52</v>
      </c>
      <c r="AG63" s="29"/>
      <c r="AH63" s="29"/>
      <c r="AI63" s="30"/>
      <c r="AJ63" s="69"/>
      <c r="AK63" s="70"/>
      <c r="AL63" s="68" t="s">
        <v>53</v>
      </c>
    </row>
    <row r="64" ht="15.0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34" t="s">
        <v>59</v>
      </c>
      <c r="AG64" s="34" t="s">
        <v>60</v>
      </c>
      <c r="AH64" s="34"/>
      <c r="AI64" s="34" t="s">
        <v>59</v>
      </c>
      <c r="AJ64" s="34" t="s">
        <v>61</v>
      </c>
      <c r="AK64" s="34"/>
      <c r="AL64" s="34" t="s">
        <v>59</v>
      </c>
    </row>
    <row r="65" ht="15.0" customHeight="1">
      <c r="A65" s="38" t="str">
        <f>AE51</f>
        <v>Fotios Evangelou</v>
      </c>
      <c r="B65" s="39">
        <v>6.0</v>
      </c>
      <c r="C65" s="40">
        <f>IF(B65&gt;B67,1,0)</f>
        <v>1</v>
      </c>
      <c r="D65" s="41"/>
      <c r="E65" s="39">
        <v>6.0</v>
      </c>
      <c r="F65" s="40">
        <f>IF(E65&gt;E67,1,0)</f>
        <v>1</v>
      </c>
      <c r="G65" s="41"/>
      <c r="H65" s="42"/>
      <c r="I65" s="26">
        <f>IF(H65&gt;H67,1,0)</f>
        <v>0</v>
      </c>
      <c r="J65" s="26">
        <f>IF(B65="",0,1)</f>
        <v>1</v>
      </c>
      <c r="K65" s="26">
        <f>IF(C65+F65=2,3,IF(C65+F65=1,1,0))</f>
        <v>3</v>
      </c>
      <c r="L65" s="26">
        <f>IF(K65=3,3,IF(I65+K65=2,2,IF(K65=1,1,0)))</f>
        <v>3</v>
      </c>
      <c r="M65" s="26">
        <f>B65+E65</f>
        <v>12</v>
      </c>
      <c r="N65" s="26">
        <f>C65+F65+I65</f>
        <v>2</v>
      </c>
      <c r="O65" s="26"/>
      <c r="P65" s="38" t="str">
        <f>AE49</f>
        <v>Andrew Pule'</v>
      </c>
      <c r="Q65" s="39">
        <v>6.0</v>
      </c>
      <c r="R65" s="40">
        <f>IF(Q65&gt;Q67,1,0)</f>
        <v>1</v>
      </c>
      <c r="S65" s="41"/>
      <c r="T65" s="39">
        <v>3.0</v>
      </c>
      <c r="U65" s="40">
        <f>IF(T65&gt;T67,1,0)</f>
        <v>0</v>
      </c>
      <c r="V65" s="41"/>
      <c r="W65" s="39">
        <v>6.0</v>
      </c>
      <c r="X65" s="26">
        <f>IF(W65&gt;W67,1,0)</f>
        <v>0</v>
      </c>
      <c r="Y65" s="26">
        <f>IF(Q65="",0,1)</f>
        <v>1</v>
      </c>
      <c r="Z65" s="26">
        <f>IF(R65+U65=2,3,IF(R65+U65=1,1,0))</f>
        <v>1</v>
      </c>
      <c r="AA65" s="26">
        <f>IF(Z65=3,3,IF(X65+Z65=2,2,IF(Z65=1,1,0)))</f>
        <v>1</v>
      </c>
      <c r="AB65" s="26">
        <f>Q65+T65</f>
        <v>9</v>
      </c>
      <c r="AC65" s="26">
        <f>R65+U65+X65</f>
        <v>1</v>
      </c>
      <c r="AD65" s="26"/>
      <c r="AE65" s="38" t="str">
        <f>AE22</f>
        <v>Melchior Farrugia</v>
      </c>
      <c r="AF65" s="39">
        <v>4.0</v>
      </c>
      <c r="AG65" s="40">
        <f>IF(AF65&gt;AF67,1,0)</f>
        <v>0</v>
      </c>
      <c r="AH65" s="41"/>
      <c r="AI65" s="39">
        <v>4.0</v>
      </c>
      <c r="AJ65" s="40">
        <f>IF(AI65&gt;AI67,1,0)</f>
        <v>0</v>
      </c>
      <c r="AK65" s="41"/>
      <c r="AL65" s="42"/>
    </row>
    <row r="66" ht="15.0" customHeight="1">
      <c r="A66" s="46" t="s">
        <v>71</v>
      </c>
      <c r="H66" s="47"/>
      <c r="I66" s="48"/>
      <c r="J66" s="26"/>
      <c r="K66" s="26"/>
      <c r="L66" s="26"/>
      <c r="M66" s="26"/>
      <c r="N66" s="26"/>
      <c r="O66" s="26"/>
      <c r="P66" s="46" t="s">
        <v>71</v>
      </c>
      <c r="W66" s="47"/>
      <c r="X66" s="48"/>
      <c r="Y66" s="26"/>
      <c r="Z66" s="26"/>
      <c r="AA66" s="26"/>
      <c r="AB66" s="26"/>
      <c r="AC66" s="26"/>
      <c r="AD66" s="26"/>
      <c r="AE66" s="46" t="s">
        <v>71</v>
      </c>
      <c r="AL66" s="47"/>
    </row>
    <row r="67" ht="15.0" customHeight="1">
      <c r="A67" s="49" t="str">
        <f>AE55</f>
        <v>Daniel Falzon</v>
      </c>
      <c r="B67" s="39">
        <v>4.0</v>
      </c>
      <c r="C67" s="50">
        <f>IF(B67&gt;B65,1,0)</f>
        <v>0</v>
      </c>
      <c r="D67" s="51"/>
      <c r="E67" s="39">
        <v>1.0</v>
      </c>
      <c r="F67" s="50">
        <f>IF(E67&gt;E65,1,0)</f>
        <v>0</v>
      </c>
      <c r="G67" s="51"/>
      <c r="H67" s="42"/>
      <c r="I67" s="26">
        <f>IF(H67&gt;H65,1,0)</f>
        <v>0</v>
      </c>
      <c r="J67" s="26">
        <f>IF(B67="",0,1)</f>
        <v>1</v>
      </c>
      <c r="K67" s="26">
        <f>IF(C67+F67=2,3,IF(C67+F67=1,1,0))</f>
        <v>0</v>
      </c>
      <c r="L67" s="26">
        <f>IF(K67=3,3,IF(I67+K67=2,2,IF(K67=1,1,0)))</f>
        <v>0</v>
      </c>
      <c r="M67" s="26">
        <f>B67+E67</f>
        <v>5</v>
      </c>
      <c r="N67" s="26">
        <f>C67+F67+I67</f>
        <v>0</v>
      </c>
      <c r="O67" s="26"/>
      <c r="P67" s="49" t="str">
        <f>AE51</f>
        <v>Fotios Evangelou</v>
      </c>
      <c r="Q67" s="39">
        <v>2.0</v>
      </c>
      <c r="R67" s="50">
        <f>IF(Q67&gt;Q65,1,0)</f>
        <v>0</v>
      </c>
      <c r="S67" s="51"/>
      <c r="T67" s="39">
        <v>6.0</v>
      </c>
      <c r="U67" s="50">
        <f>IF(T67&gt;T65,1,0)</f>
        <v>1</v>
      </c>
      <c r="V67" s="51"/>
      <c r="W67" s="39">
        <v>10.0</v>
      </c>
      <c r="X67" s="26">
        <f>IF(W67&gt;W65,1,0)</f>
        <v>1</v>
      </c>
      <c r="Y67" s="26">
        <f>IF(Q67="",0,1)</f>
        <v>1</v>
      </c>
      <c r="Z67" s="26">
        <f>IF(R67+U67=2,3,IF(R67+U67=1,1,0))</f>
        <v>1</v>
      </c>
      <c r="AA67" s="26">
        <f>IF(Z67=3,3,IF(X67+Z67=2,2,IF(Z67=1,1,0)))</f>
        <v>2</v>
      </c>
      <c r="AB67" s="26">
        <f>Q67+T67</f>
        <v>8</v>
      </c>
      <c r="AC67" s="26">
        <f>R67+U67+X67</f>
        <v>2</v>
      </c>
      <c r="AD67" s="26"/>
      <c r="AE67" s="49" t="str">
        <f>AE58</f>
        <v>Matthew Pace</v>
      </c>
      <c r="AF67" s="39">
        <v>6.0</v>
      </c>
      <c r="AG67" s="50">
        <f>IF(AF67&gt;AF65,1,0)</f>
        <v>1</v>
      </c>
      <c r="AH67" s="51"/>
      <c r="AI67" s="39">
        <v>6.0</v>
      </c>
      <c r="AJ67" s="50">
        <f>IF(AI67&gt;AI65,1,0)</f>
        <v>1</v>
      </c>
      <c r="AK67" s="51"/>
      <c r="AL67" s="42"/>
    </row>
    <row r="68" ht="15.0" customHeight="1">
      <c r="A68" s="26"/>
      <c r="B68" s="26"/>
      <c r="C68" s="26"/>
      <c r="D68" s="26"/>
      <c r="E68" s="33"/>
      <c r="F68" s="26"/>
      <c r="G68" s="26"/>
      <c r="H68" s="33"/>
      <c r="I68" s="26"/>
      <c r="J68" s="33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33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ht="15.0" customHeight="1">
      <c r="A69" s="38" t="str">
        <f>AE49</f>
        <v>Andrew Pule'</v>
      </c>
      <c r="B69" s="39">
        <v>1.0</v>
      </c>
      <c r="C69" s="40">
        <f>IF(B69&gt;B71,1,0)</f>
        <v>0</v>
      </c>
      <c r="D69" s="41"/>
      <c r="E69" s="39">
        <v>3.0</v>
      </c>
      <c r="F69" s="40">
        <f>IF(E69&gt;E71,1,0)</f>
        <v>0</v>
      </c>
      <c r="G69" s="41"/>
      <c r="H69" s="42"/>
      <c r="I69" s="26">
        <f>IF(H69&gt;H71,1,0)</f>
        <v>0</v>
      </c>
      <c r="J69" s="26">
        <f>IF(B69="",0,1)</f>
        <v>1</v>
      </c>
      <c r="K69" s="26">
        <f>IF(C69+F69=2,3,IF(C69+F69=1,1,0))</f>
        <v>0</v>
      </c>
      <c r="L69" s="26">
        <f>IF(K69=3,3,IF(I69+K69=2,2,IF(K69=1,1,0)))</f>
        <v>0</v>
      </c>
      <c r="M69" s="26">
        <f>B69+E69</f>
        <v>4</v>
      </c>
      <c r="N69" s="26">
        <f>C69+F69+I69</f>
        <v>0</v>
      </c>
      <c r="O69" s="26"/>
      <c r="P69" s="38" t="str">
        <f>AE49</f>
        <v>Andrew Pule'</v>
      </c>
      <c r="Q69" s="39">
        <v>6.0</v>
      </c>
      <c r="R69" s="40">
        <f>IF(Q69&gt;Q71,1,0)</f>
        <v>1</v>
      </c>
      <c r="S69" s="41"/>
      <c r="T69" s="39">
        <v>7.0</v>
      </c>
      <c r="U69" s="40">
        <f>IF(T69&gt;T71,1,0)</f>
        <v>1</v>
      </c>
      <c r="V69" s="41"/>
      <c r="W69" s="42"/>
      <c r="X69" s="26">
        <f>IF(W69&gt;W71,1,0)</f>
        <v>0</v>
      </c>
      <c r="Y69" s="26">
        <f>IF(Q69="",0,1)</f>
        <v>1</v>
      </c>
      <c r="Z69" s="26">
        <f>IF(R69+U69=2,3,IF(R69+U69=1,1,0))</f>
        <v>3</v>
      </c>
      <c r="AA69" s="26">
        <f>IF(Z69=3,3,IF(X69+Z69=2,2,IF(Z69=1,1,0)))</f>
        <v>3</v>
      </c>
      <c r="AB69" s="26">
        <f>Q69+T69</f>
        <v>13</v>
      </c>
      <c r="AC69" s="26">
        <f>R69+U69+X69</f>
        <v>2</v>
      </c>
      <c r="AD69" s="26"/>
      <c r="AE69" s="66" t="s">
        <v>77</v>
      </c>
      <c r="AF69" s="29"/>
      <c r="AG69" s="29"/>
      <c r="AH69" s="29"/>
      <c r="AI69" s="29"/>
      <c r="AJ69" s="29"/>
      <c r="AK69" s="29"/>
      <c r="AL69" s="30"/>
    </row>
    <row r="70" ht="15.0" customHeight="1">
      <c r="A70" s="46" t="s">
        <v>71</v>
      </c>
      <c r="H70" s="47"/>
      <c r="I70" s="48"/>
      <c r="J70" s="26"/>
      <c r="K70" s="26"/>
      <c r="L70" s="26"/>
      <c r="M70" s="26"/>
      <c r="N70" s="26"/>
      <c r="O70" s="26"/>
      <c r="P70" s="46" t="s">
        <v>71</v>
      </c>
      <c r="W70" s="47"/>
      <c r="X70" s="48"/>
      <c r="Y70" s="26"/>
      <c r="Z70" s="26"/>
      <c r="AA70" s="26"/>
      <c r="AB70" s="26"/>
      <c r="AC70" s="26"/>
      <c r="AD70" s="26"/>
      <c r="AE70" s="71" t="str">
        <f>IF(AA81&gt;AA83,AE65,AE67)</f>
        <v>Matthew Pace</v>
      </c>
      <c r="AF70" s="72"/>
      <c r="AG70" s="72"/>
      <c r="AH70" s="72"/>
      <c r="AI70" s="72"/>
      <c r="AJ70" s="72"/>
      <c r="AK70" s="72"/>
      <c r="AL70" s="73"/>
    </row>
    <row r="71" ht="15.0" customHeight="1">
      <c r="A71" s="49" t="str">
        <f>AE53</f>
        <v>Marco Mercieca</v>
      </c>
      <c r="B71" s="39">
        <v>6.0</v>
      </c>
      <c r="C71" s="50">
        <f>IF(B71&gt;B69,1,0)</f>
        <v>1</v>
      </c>
      <c r="D71" s="51"/>
      <c r="E71" s="39">
        <v>6.0</v>
      </c>
      <c r="F71" s="50">
        <f>IF(E71&gt;E69,1,0)</f>
        <v>1</v>
      </c>
      <c r="G71" s="51"/>
      <c r="H71" s="42"/>
      <c r="I71" s="26">
        <f>IF(H71&gt;H69,1,0)</f>
        <v>0</v>
      </c>
      <c r="J71" s="26">
        <f>IF(B71="",0,1)</f>
        <v>1</v>
      </c>
      <c r="K71" s="26">
        <f>IF(C71+F71=2,3,IF(C71+F71=1,1,0))</f>
        <v>3</v>
      </c>
      <c r="L71" s="26">
        <f>IF(K71=3,3,IF(I71+K71=2,2,IF(K71=1,1,0)))</f>
        <v>3</v>
      </c>
      <c r="M71" s="26">
        <f>B71+E71</f>
        <v>12</v>
      </c>
      <c r="N71" s="26">
        <f>C71+F71+I71</f>
        <v>2</v>
      </c>
      <c r="O71" s="26"/>
      <c r="P71" s="49" t="str">
        <f>AE55</f>
        <v>Daniel Falzon</v>
      </c>
      <c r="Q71" s="39">
        <v>2.0</v>
      </c>
      <c r="R71" s="50">
        <f>IF(Q71&gt;Q69,1,0)</f>
        <v>0</v>
      </c>
      <c r="S71" s="51"/>
      <c r="T71" s="39">
        <v>6.0</v>
      </c>
      <c r="U71" s="50">
        <f>IF(T71&gt;T69,1,0)</f>
        <v>0</v>
      </c>
      <c r="V71" s="51"/>
      <c r="W71" s="42"/>
      <c r="X71" s="26">
        <f>IF(W71&gt;W69,1,0)</f>
        <v>0</v>
      </c>
      <c r="Y71" s="26">
        <f>IF(Q71="",0,1)</f>
        <v>1</v>
      </c>
      <c r="Z71" s="26">
        <f>IF(R71+U71=2,3,IF(R71+U71=1,1,0))</f>
        <v>0</v>
      </c>
      <c r="AA71" s="26">
        <f>IF(Z71=3,3,IF(X71+Z71=2,2,IF(Z71=1,1,0)))</f>
        <v>0</v>
      </c>
      <c r="AB71" s="26">
        <f>Q71+T71</f>
        <v>8</v>
      </c>
      <c r="AC71" s="26">
        <f>R71+U71+X71</f>
        <v>0</v>
      </c>
      <c r="AD71" s="26"/>
      <c r="AE71" s="26"/>
      <c r="AF71" s="26"/>
      <c r="AG71" s="26"/>
      <c r="AH71" s="26"/>
      <c r="AI71" s="26"/>
      <c r="AJ71" s="26"/>
      <c r="AK71" s="26"/>
      <c r="AL71" s="26"/>
    </row>
    <row r="72" ht="15.0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ht="15.0" customHeight="1">
      <c r="A73" s="38" t="str">
        <f>AE51</f>
        <v>Fotios Evangelou</v>
      </c>
      <c r="B73" s="39">
        <v>3.0</v>
      </c>
      <c r="C73" s="40">
        <f>IF(B73&gt;B75,1,0)</f>
        <v>0</v>
      </c>
      <c r="D73" s="41"/>
      <c r="E73" s="39">
        <v>1.0</v>
      </c>
      <c r="F73" s="40">
        <f>IF(E73&gt;E75,1,0)</f>
        <v>0</v>
      </c>
      <c r="G73" s="41"/>
      <c r="H73" s="42"/>
      <c r="I73" s="26">
        <f>IF(H73&gt;H75,1,0)</f>
        <v>0</v>
      </c>
      <c r="J73" s="26">
        <f>IF(B73="",0,1)</f>
        <v>1</v>
      </c>
      <c r="K73" s="26">
        <f>IF(C73+F73=2,3,IF(C73+F73=1,1,0))</f>
        <v>0</v>
      </c>
      <c r="L73" s="26">
        <f>IF(K73=3,3,IF(I73+K73=2,2,IF(K73=1,1,0)))</f>
        <v>0</v>
      </c>
      <c r="M73" s="26">
        <f>B73+E73</f>
        <v>4</v>
      </c>
      <c r="N73" s="26">
        <f>C73+F73+I73</f>
        <v>0</v>
      </c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66" t="s">
        <v>78</v>
      </c>
      <c r="AF73" s="29"/>
      <c r="AG73" s="29"/>
      <c r="AH73" s="29"/>
      <c r="AI73" s="29"/>
      <c r="AJ73" s="29"/>
      <c r="AK73" s="29"/>
      <c r="AL73" s="30"/>
    </row>
    <row r="74" ht="15.0" customHeight="1">
      <c r="A74" s="46" t="s">
        <v>71</v>
      </c>
      <c r="H74" s="47"/>
      <c r="I74" s="48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71" t="str">
        <f>IF(AA81&lt;AA83,AE65,AE67)</f>
        <v>Melchior Farrugia</v>
      </c>
      <c r="AF74" s="72"/>
      <c r="AG74" s="72"/>
      <c r="AH74" s="72"/>
      <c r="AI74" s="72"/>
      <c r="AJ74" s="72"/>
      <c r="AK74" s="72"/>
      <c r="AL74" s="73"/>
    </row>
    <row r="75" ht="15.0" customHeight="1">
      <c r="A75" s="49" t="str">
        <f>AE53</f>
        <v>Marco Mercieca</v>
      </c>
      <c r="B75" s="39">
        <v>6.0</v>
      </c>
      <c r="C75" s="50">
        <f>IF(B75&gt;B73,1,0)</f>
        <v>1</v>
      </c>
      <c r="D75" s="51"/>
      <c r="E75" s="39">
        <v>6.0</v>
      </c>
      <c r="F75" s="50">
        <f>IF(E75&gt;E73,1,0)</f>
        <v>1</v>
      </c>
      <c r="G75" s="51"/>
      <c r="H75" s="42"/>
      <c r="I75" s="26">
        <f>IF(H75&gt;H73,1,0)</f>
        <v>0</v>
      </c>
      <c r="J75" s="26">
        <f>IF(B75="",0,1)</f>
        <v>1</v>
      </c>
      <c r="K75" s="26">
        <f>IF(C75+F75=2,3,IF(C75+F75=1,1,0))</f>
        <v>3</v>
      </c>
      <c r="L75" s="26">
        <f>IF(K75=3,3,IF(I75+K75=2,2,IF(K75=1,1,0)))</f>
        <v>3</v>
      </c>
      <c r="M75" s="26">
        <f>B75+E75</f>
        <v>12</v>
      </c>
      <c r="N75" s="26">
        <f>C75+F75+I75</f>
        <v>2</v>
      </c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ht="13.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ht="13.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ht="13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ht="30.0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ht="15.75" hidden="1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X80" s="34" t="s">
        <v>62</v>
      </c>
      <c r="Y80" s="34" t="s">
        <v>63</v>
      </c>
      <c r="Z80" s="34" t="s">
        <v>64</v>
      </c>
      <c r="AA80" s="34" t="s">
        <v>65</v>
      </c>
      <c r="AB80" s="34" t="s">
        <v>66</v>
      </c>
      <c r="AC80" s="34" t="s">
        <v>67</v>
      </c>
      <c r="AD80" s="26"/>
      <c r="AE80" s="26"/>
      <c r="AF80" s="26"/>
      <c r="AG80" s="26"/>
      <c r="AH80" s="26"/>
      <c r="AI80" s="26"/>
      <c r="AJ80" s="26"/>
      <c r="AK80" s="26"/>
      <c r="AL80" s="26"/>
    </row>
    <row r="81" ht="13.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X81" s="26">
        <f>IF(AL65&gt;AL67,1,0)</f>
        <v>0</v>
      </c>
      <c r="Y81" s="26">
        <f>IF(AF65="",0,1)</f>
        <v>1</v>
      </c>
      <c r="Z81" s="26">
        <f>IF(AG65+AJ65=2,3,IF(AG65+AJ65=1,1,0))</f>
        <v>0</v>
      </c>
      <c r="AA81" s="26">
        <f>IF(Z81=3,3,IF(X81+Z81=2,2,IF(Z81=1,1,0)))</f>
        <v>0</v>
      </c>
      <c r="AB81" s="26">
        <f>AF65+AI65</f>
        <v>8</v>
      </c>
      <c r="AC81" s="26">
        <f>AG65+AJ65+X81</f>
        <v>0</v>
      </c>
      <c r="AD81" s="26"/>
      <c r="AE81" s="26"/>
      <c r="AF81" s="26"/>
      <c r="AG81" s="26"/>
      <c r="AH81" s="26"/>
      <c r="AI81" s="26"/>
      <c r="AJ81" s="26"/>
      <c r="AK81" s="26"/>
      <c r="AL81" s="26"/>
    </row>
    <row r="82" ht="13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X82" s="48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ht="13.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X83" s="26">
        <f>IF(AL67&gt;AL65,1,0)</f>
        <v>0</v>
      </c>
      <c r="Y83" s="26">
        <f>IF(AF67="",0,1)</f>
        <v>1</v>
      </c>
      <c r="Z83" s="26">
        <f>IF(AG67+AJ67=2,3,IF(AG67+AJ67=1,1,0))</f>
        <v>3</v>
      </c>
      <c r="AA83" s="26">
        <f>IF(Z83=3,3,IF(X83+Z83=2,2,IF(Z83=1,1,0)))</f>
        <v>3</v>
      </c>
      <c r="AB83" s="26">
        <f>AF67+AI67</f>
        <v>12</v>
      </c>
      <c r="AC83" s="26">
        <f>AG67+AJ67+X83</f>
        <v>2</v>
      </c>
      <c r="AD83" s="26"/>
      <c r="AE83" s="26"/>
      <c r="AF83" s="26"/>
      <c r="AG83" s="26"/>
      <c r="AH83" s="26"/>
      <c r="AI83" s="26"/>
      <c r="AJ83" s="26"/>
      <c r="AK83" s="26"/>
      <c r="AL83" s="26"/>
    </row>
    <row r="84" ht="13.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ht="13.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ht="13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ht="13.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ht="13.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ht="13.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ht="13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ht="13.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ht="13.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ht="13.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ht="13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ht="13.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ht="13.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ht="13.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ht="13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ht="13.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ht="13.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ht="13.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ht="13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ht="13.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ht="13.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ht="13.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ht="13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33"/>
      <c r="R106" s="33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ht="13.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ht="13.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ht="13.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ht="13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ht="13.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ht="13.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ht="13.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ht="13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ht="13.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ht="13.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ht="13.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ht="13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ht="13.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ht="13.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ht="13.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ht="13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ht="13.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ht="13.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ht="13.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ht="13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ht="13.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ht="13.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ht="13.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ht="13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ht="13.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ht="13.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ht="13.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ht="13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ht="13.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ht="13.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ht="13.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ht="13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ht="13.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ht="13.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ht="13.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ht="13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ht="13.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ht="13.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ht="13.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ht="13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ht="13.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ht="13.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ht="13.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ht="13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ht="13.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ht="13.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ht="13.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ht="13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ht="13.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ht="13.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ht="13.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ht="13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ht="13.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ht="13.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ht="13.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ht="13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ht="13.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ht="13.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ht="13.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ht="13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ht="13.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ht="13.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ht="13.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ht="13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ht="13.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ht="13.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ht="13.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ht="13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ht="13.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ht="13.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ht="13.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ht="13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ht="13.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ht="13.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ht="13.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ht="13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ht="13.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ht="13.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ht="13.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ht="13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ht="13.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ht="13.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ht="13.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ht="13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ht="13.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ht="13.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ht="13.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ht="13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ht="13.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ht="13.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ht="13.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ht="13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ht="13.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ht="13.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ht="13.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ht="13.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ht="13.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ht="13.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ht="13.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ht="13.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ht="13.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ht="13.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ht="13.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ht="13.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ht="13.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ht="13.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ht="13.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ht="13.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ht="13.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ht="13.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ht="13.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ht="13.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ht="13.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ht="13.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ht="13.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ht="13.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ht="13.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ht="13.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ht="13.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ht="13.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ht="13.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ht="13.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ht="13.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ht="13.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ht="13.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ht="13.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ht="13.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ht="13.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ht="13.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ht="13.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ht="13.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ht="13.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ht="13.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ht="13.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ht="13.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ht="13.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ht="13.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ht="13.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ht="13.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ht="13.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ht="13.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ht="13.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ht="13.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ht="13.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ht="13.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ht="13.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</row>
    <row r="253" ht="13.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</row>
    <row r="254" ht="13.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</row>
    <row r="255" ht="13.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</row>
    <row r="256" ht="13.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</row>
    <row r="257" ht="13.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</row>
    <row r="258" ht="13.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</row>
    <row r="259" ht="13.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</row>
    <row r="260" ht="13.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</row>
    <row r="261" ht="13.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</row>
    <row r="262" ht="13.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</row>
    <row r="263" ht="13.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</row>
    <row r="264" ht="13.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</row>
    <row r="265" ht="13.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</row>
    <row r="266" ht="13.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</row>
    <row r="267" ht="13.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</row>
    <row r="268" ht="13.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</row>
    <row r="269" ht="13.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</row>
    <row r="270" ht="13.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</row>
    <row r="271" ht="13.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</row>
    <row r="272" ht="13.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</row>
    <row r="273" ht="13.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</row>
    <row r="274" ht="13.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</row>
    <row r="275" ht="13.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</row>
    <row r="276" ht="13.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</row>
    <row r="277" ht="13.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</row>
    <row r="278" ht="13.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</row>
    <row r="279" ht="13.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</row>
    <row r="280" ht="13.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</row>
    <row r="281" ht="13.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</row>
    <row r="282" ht="13.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</row>
    <row r="283" ht="13.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</row>
    <row r="284" ht="13.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</row>
    <row r="285" ht="13.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</row>
    <row r="286" ht="13.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</row>
    <row r="287" ht="13.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</row>
    <row r="288" ht="13.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</row>
    <row r="289" ht="13.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</row>
    <row r="290" ht="13.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</sheetData>
  <mergeCells count="48">
    <mergeCell ref="AE61:AL61"/>
    <mergeCell ref="AF63:AI63"/>
    <mergeCell ref="Q43:T43"/>
    <mergeCell ref="P46:W46"/>
    <mergeCell ref="P50:W50"/>
    <mergeCell ref="P54:W54"/>
    <mergeCell ref="AE57:AI57"/>
    <mergeCell ref="P58:W58"/>
    <mergeCell ref="AE58:AI58"/>
    <mergeCell ref="A1:AI2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E21:AI21"/>
    <mergeCell ref="A22:H22"/>
    <mergeCell ref="P22:W22"/>
    <mergeCell ref="AE22:AI22"/>
    <mergeCell ref="A26:H26"/>
    <mergeCell ref="P26:W26"/>
    <mergeCell ref="A30:H30"/>
    <mergeCell ref="P30:W30"/>
    <mergeCell ref="A34:H34"/>
    <mergeCell ref="P34:W34"/>
    <mergeCell ref="A41:AI41"/>
    <mergeCell ref="A66:H66"/>
    <mergeCell ref="A70:H70"/>
    <mergeCell ref="A74:H74"/>
    <mergeCell ref="AE70:AL70"/>
    <mergeCell ref="AE73:AL73"/>
    <mergeCell ref="AE74:AL74"/>
    <mergeCell ref="AE66:AL66"/>
    <mergeCell ref="AE69:AL69"/>
    <mergeCell ref="A38:H38"/>
    <mergeCell ref="B43:E43"/>
    <mergeCell ref="A46:H46"/>
    <mergeCell ref="A50:H50"/>
    <mergeCell ref="A54:H54"/>
    <mergeCell ref="A58:H58"/>
    <mergeCell ref="A62:H62"/>
    <mergeCell ref="P62:W62"/>
    <mergeCell ref="P66:W66"/>
    <mergeCell ref="P70:W70"/>
  </mergeCells>
  <printOptions/>
  <pageMargins bottom="0.75" footer="0.0" header="0.0" left="0.25" right="0.25" top="0.75"/>
  <pageSetup paperSize="9" scale="7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11.38"/>
    <col customWidth="1" hidden="1" min="13" max="13" width="8.0"/>
    <col customWidth="1" hidden="1" min="14" max="14" width="6.13"/>
    <col customWidth="1" min="15" max="15" width="5.38"/>
    <col customWidth="1" min="16" max="16" width="17.5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11.38"/>
    <col customWidth="1" hidden="1" min="28" max="28" width="8.0"/>
    <col customWidth="1" hidden="1" min="29" max="29" width="6.13"/>
    <col customWidth="1" min="30" max="30" width="5.38"/>
    <col customWidth="1" min="31" max="31" width="17.63"/>
    <col customWidth="1" min="32" max="35" width="8.63"/>
    <col customWidth="1" hidden="1" min="36" max="36" width="9.38"/>
    <col customWidth="1" hidden="1" min="37" max="37" width="8.0"/>
    <col customWidth="1" hidden="1" min="38" max="38" width="41.13"/>
  </cols>
  <sheetData>
    <row r="1" ht="21.0" customHeight="1">
      <c r="A1" s="1" t="s">
        <v>0</v>
      </c>
      <c r="AJ1" s="4"/>
      <c r="AK1" s="4"/>
      <c r="AL1" s="4"/>
    </row>
    <row r="2" ht="21.0" customHeight="1">
      <c r="AJ2" s="4"/>
      <c r="AK2" s="4"/>
      <c r="AL2" s="4"/>
    </row>
    <row r="3" ht="15.0" customHeight="1">
      <c r="A3" s="7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ht="15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ht="15.0" customHeight="1">
      <c r="A5" s="75" t="s">
        <v>79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5"/>
      <c r="AJ5" s="26"/>
      <c r="AK5" s="26"/>
      <c r="AL5" s="26"/>
    </row>
    <row r="6" ht="15.0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</row>
    <row r="7">
      <c r="A7" s="76" t="s">
        <v>51</v>
      </c>
      <c r="B7" s="77" t="s">
        <v>52</v>
      </c>
      <c r="C7" s="29"/>
      <c r="D7" s="29"/>
      <c r="E7" s="30"/>
      <c r="F7" s="78"/>
      <c r="G7" s="61"/>
      <c r="H7" s="76" t="s">
        <v>53</v>
      </c>
      <c r="I7" s="26"/>
      <c r="J7" s="26"/>
      <c r="K7" s="26"/>
      <c r="L7" s="26"/>
      <c r="M7" s="33"/>
      <c r="N7" s="33"/>
      <c r="O7" s="33"/>
      <c r="P7" s="76" t="s">
        <v>51</v>
      </c>
      <c r="Q7" s="77" t="s">
        <v>52</v>
      </c>
      <c r="R7" s="29"/>
      <c r="S7" s="29"/>
      <c r="T7" s="30"/>
      <c r="U7" s="78"/>
      <c r="V7" s="61"/>
      <c r="W7" s="76" t="s">
        <v>53</v>
      </c>
      <c r="X7" s="26"/>
      <c r="Y7" s="33"/>
      <c r="Z7" s="33"/>
      <c r="AA7" s="33"/>
      <c r="AB7" s="33"/>
      <c r="AC7" s="33"/>
      <c r="AD7" s="33"/>
      <c r="AE7" s="76" t="s">
        <v>54</v>
      </c>
      <c r="AF7" s="76" t="s">
        <v>55</v>
      </c>
      <c r="AG7" s="76" t="s">
        <v>56</v>
      </c>
      <c r="AH7" s="76" t="s">
        <v>57</v>
      </c>
      <c r="AI7" s="76" t="s">
        <v>58</v>
      </c>
      <c r="AJ7" s="33"/>
      <c r="AK7" s="33"/>
      <c r="AL7" s="26"/>
    </row>
    <row r="8" hidden="1">
      <c r="A8" s="26"/>
      <c r="B8" s="34" t="s">
        <v>59</v>
      </c>
      <c r="C8" s="34" t="s">
        <v>60</v>
      </c>
      <c r="D8" s="34"/>
      <c r="E8" s="34" t="s">
        <v>59</v>
      </c>
      <c r="F8" s="34" t="s">
        <v>61</v>
      </c>
      <c r="G8" s="34"/>
      <c r="H8" s="34" t="s">
        <v>59</v>
      </c>
      <c r="I8" s="34" t="s">
        <v>62</v>
      </c>
      <c r="J8" s="34" t="s">
        <v>63</v>
      </c>
      <c r="K8" s="34" t="s">
        <v>64</v>
      </c>
      <c r="L8" s="34" t="s">
        <v>65</v>
      </c>
      <c r="M8" s="34" t="s">
        <v>66</v>
      </c>
      <c r="N8" s="34" t="s">
        <v>67</v>
      </c>
      <c r="O8" s="26"/>
      <c r="P8" s="26"/>
      <c r="Q8" s="34" t="s">
        <v>59</v>
      </c>
      <c r="R8" s="34" t="s">
        <v>60</v>
      </c>
      <c r="S8" s="34"/>
      <c r="T8" s="34" t="s">
        <v>59</v>
      </c>
      <c r="U8" s="34" t="s">
        <v>61</v>
      </c>
      <c r="V8" s="34"/>
      <c r="W8" s="34" t="s">
        <v>59</v>
      </c>
      <c r="X8" s="34" t="s">
        <v>62</v>
      </c>
      <c r="Y8" s="34" t="s">
        <v>63</v>
      </c>
      <c r="Z8" s="34" t="s">
        <v>64</v>
      </c>
      <c r="AA8" s="34" t="s">
        <v>65</v>
      </c>
      <c r="AB8" s="34" t="s">
        <v>66</v>
      </c>
      <c r="AC8" s="34" t="s">
        <v>67</v>
      </c>
      <c r="AD8" s="26"/>
      <c r="AE8" s="33"/>
      <c r="AF8" s="33"/>
      <c r="AG8" s="33"/>
      <c r="AH8" s="33"/>
      <c r="AI8" s="33"/>
      <c r="AJ8" s="34" t="s">
        <v>68</v>
      </c>
      <c r="AK8" s="36" t="s">
        <v>69</v>
      </c>
      <c r="AL8" s="37" t="s">
        <v>70</v>
      </c>
    </row>
    <row r="9" ht="15.0" customHeight="1">
      <c r="A9" s="38" t="str">
        <f>AE9</f>
        <v>Andre' Farrugia</v>
      </c>
      <c r="B9" s="39">
        <v>6.0</v>
      </c>
      <c r="C9" s="40">
        <f>IF(B9&gt;B11,1,0)</f>
        <v>1</v>
      </c>
      <c r="D9" s="41"/>
      <c r="E9" s="39">
        <v>6.0</v>
      </c>
      <c r="F9" s="40">
        <f>IF(E9&gt;E11,1,0)</f>
        <v>1</v>
      </c>
      <c r="G9" s="41"/>
      <c r="H9" s="42"/>
      <c r="I9" s="26">
        <f>IF(H9&gt;H11,1,0)</f>
        <v>0</v>
      </c>
      <c r="J9" s="26">
        <f>IF(B9="",0,1)</f>
        <v>1</v>
      </c>
      <c r="K9" s="26">
        <f>IF(C9+F9=2,3,IF(C9+F9=1,1,0))</f>
        <v>3</v>
      </c>
      <c r="L9" s="26">
        <f>IF(K9=3,3,IF(I9+K9=2,2,IF(K9=1,1,0)))</f>
        <v>3</v>
      </c>
      <c r="M9" s="26">
        <f>B9+E9</f>
        <v>12</v>
      </c>
      <c r="N9" s="26">
        <f>C9+F9+I9</f>
        <v>2</v>
      </c>
      <c r="O9" s="26"/>
      <c r="P9" s="38" t="str">
        <f>AE9</f>
        <v>Andre' Farrugia</v>
      </c>
      <c r="Q9" s="39">
        <v>6.0</v>
      </c>
      <c r="R9" s="40">
        <f>IF(Q9&gt;Q11,1,0)</f>
        <v>0</v>
      </c>
      <c r="S9" s="41"/>
      <c r="T9" s="39">
        <v>6.0</v>
      </c>
      <c r="U9" s="40">
        <f>IF(T9&gt;T11,1,0)</f>
        <v>1</v>
      </c>
      <c r="V9" s="41"/>
      <c r="W9" s="39">
        <v>14.0</v>
      </c>
      <c r="X9" s="26">
        <f>IF(W9&gt;W11,1,0)</f>
        <v>1</v>
      </c>
      <c r="Y9" s="26">
        <f>IF(Q9="",0,1)</f>
        <v>1</v>
      </c>
      <c r="Z9" s="26">
        <f>IF(R9+U9=2,3,IF(R9+U9=1,1,0))</f>
        <v>1</v>
      </c>
      <c r="AA9" s="26">
        <f>IF(Z9=3,3,IF(X9+Z9=2,2,IF(Z9=1,1,0)))</f>
        <v>2</v>
      </c>
      <c r="AB9" s="26">
        <f>Q9+T9</f>
        <v>12</v>
      </c>
      <c r="AC9" s="26">
        <f>R9+U9+X9</f>
        <v>2</v>
      </c>
      <c r="AD9" s="26"/>
      <c r="AE9" s="79" t="str">
        <f>'Players - Men'!B14</f>
        <v>Andre' Farrugia</v>
      </c>
      <c r="AF9" s="44">
        <f>J9+Y9+J13+Y13+J17</f>
        <v>5</v>
      </c>
      <c r="AG9" s="44">
        <f t="shared" ref="AG9:AI9" si="1">L9+AA9+L13+AA13+L17</f>
        <v>12</v>
      </c>
      <c r="AH9" s="44">
        <f t="shared" si="1"/>
        <v>53</v>
      </c>
      <c r="AI9" s="45">
        <f t="shared" si="1"/>
        <v>10</v>
      </c>
      <c r="AJ9" s="26">
        <f>MAX(AG9:AG19)</f>
        <v>12</v>
      </c>
      <c r="AK9" s="26">
        <f>SUM(AF9:AF19)</f>
        <v>30</v>
      </c>
      <c r="AL9" s="26" t="str">
        <f>IF(AG9=$AJ$9,AE9,IF(AG11=$AJ$9,AE11,IF(AG13=$AJ$9,AE13,IF(AG15=$AJ$9,AE15,IF(AG17=$AJ$9,AE17,IF(AG19=$AJ$9,AE19,""))))))</f>
        <v>Andre' Farrugia</v>
      </c>
    </row>
    <row r="10" ht="15.0" customHeight="1">
      <c r="A10" s="46" t="s">
        <v>71</v>
      </c>
      <c r="H10" s="47"/>
      <c r="I10" s="48"/>
      <c r="J10" s="26"/>
      <c r="K10" s="26"/>
      <c r="L10" s="26"/>
      <c r="M10" s="26"/>
      <c r="N10" s="26"/>
      <c r="O10" s="26"/>
      <c r="P10" s="46" t="s">
        <v>71</v>
      </c>
      <c r="W10" s="47"/>
      <c r="X10" s="48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33"/>
      <c r="AL10" s="26"/>
    </row>
    <row r="11" ht="15.0" customHeight="1">
      <c r="A11" s="49" t="str">
        <f>AE11</f>
        <v>Liam Dixon</v>
      </c>
      <c r="B11" s="39">
        <v>3.0</v>
      </c>
      <c r="C11" s="50">
        <f>IF(B11&gt;B9,1,0)</f>
        <v>0</v>
      </c>
      <c r="D11" s="51"/>
      <c r="E11" s="39">
        <v>2.0</v>
      </c>
      <c r="F11" s="50">
        <f>IF(E11&gt;E9,1,0)</f>
        <v>0</v>
      </c>
      <c r="G11" s="51"/>
      <c r="H11" s="42"/>
      <c r="I11" s="26">
        <f>IF(H11&gt;H9,1,0)</f>
        <v>0</v>
      </c>
      <c r="J11" s="26">
        <f>IF(B11="",0,1)</f>
        <v>1</v>
      </c>
      <c r="K11" s="26">
        <f>IF(C11+F11=2,3,IF(C11+F11=1,1,0))</f>
        <v>0</v>
      </c>
      <c r="L11" s="26">
        <f>IF(K11=3,3,IF(I11+K11=2,2,IF(K11=1,1,0)))</f>
        <v>0</v>
      </c>
      <c r="M11" s="26">
        <f>B11+E11</f>
        <v>5</v>
      </c>
      <c r="N11" s="26">
        <f>C11+F11+I11</f>
        <v>0</v>
      </c>
      <c r="O11" s="26"/>
      <c r="P11" s="49" t="str">
        <f>AE13</f>
        <v>Tobias Kristensen</v>
      </c>
      <c r="Q11" s="39">
        <v>7.0</v>
      </c>
      <c r="R11" s="50">
        <f>IF(Q11&gt;Q9,1,0)</f>
        <v>1</v>
      </c>
      <c r="S11" s="51"/>
      <c r="T11" s="39">
        <v>0.0</v>
      </c>
      <c r="U11" s="50">
        <f>IF(T11&gt;T9,1,0)</f>
        <v>0</v>
      </c>
      <c r="V11" s="51"/>
      <c r="W11" s="39">
        <v>12.0</v>
      </c>
      <c r="X11" s="26">
        <f>IF(W11&gt;W9,1,0)</f>
        <v>0</v>
      </c>
      <c r="Y11" s="26">
        <f>IF(Q11="",0,1)</f>
        <v>1</v>
      </c>
      <c r="Z11" s="26">
        <f>IF(R11+U11=2,3,IF(R11+U11=1,1,0))</f>
        <v>1</v>
      </c>
      <c r="AA11" s="26">
        <f>IF(Z11=3,3,IF(X11+Z11=2,2,IF(Z11=1,1,0)))</f>
        <v>1</v>
      </c>
      <c r="AB11" s="26">
        <f>Q11+T11</f>
        <v>7</v>
      </c>
      <c r="AC11" s="26">
        <f>R11+U11+X11</f>
        <v>1</v>
      </c>
      <c r="AD11" s="26"/>
      <c r="AE11" s="79" t="str">
        <f>'Players - Men'!B15</f>
        <v>Liam Dixon</v>
      </c>
      <c r="AF11" s="44">
        <f>J11+Y25+J25+Y21+J21</f>
        <v>5</v>
      </c>
      <c r="AG11" s="44">
        <f t="shared" ref="AG11:AI11" si="2">L11+AA25+L25+AA21+L21</f>
        <v>9</v>
      </c>
      <c r="AH11" s="44">
        <f t="shared" si="2"/>
        <v>49</v>
      </c>
      <c r="AI11" s="45">
        <f t="shared" si="2"/>
        <v>7</v>
      </c>
      <c r="AJ11" s="33"/>
      <c r="AK11" s="33"/>
      <c r="AL11" s="26"/>
    </row>
    <row r="12" ht="15.0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33"/>
      <c r="AG12" s="33"/>
      <c r="AH12" s="33"/>
      <c r="AI12" s="33"/>
      <c r="AJ12" s="33"/>
      <c r="AK12" s="33"/>
      <c r="AL12" s="26"/>
    </row>
    <row r="13" ht="15.0" customHeight="1">
      <c r="A13" s="38" t="str">
        <f>AE9</f>
        <v>Andre' Farrugia</v>
      </c>
      <c r="B13" s="39">
        <v>6.0</v>
      </c>
      <c r="C13" s="40">
        <f>IF(B13&gt;B15,1,0)</f>
        <v>1</v>
      </c>
      <c r="D13" s="41"/>
      <c r="E13" s="39">
        <v>6.0</v>
      </c>
      <c r="F13" s="40">
        <f>IF(E13&gt;E15,1,0)</f>
        <v>1</v>
      </c>
      <c r="G13" s="41"/>
      <c r="H13" s="42"/>
      <c r="I13" s="26">
        <f>IF(H13&gt;H15,1,0)</f>
        <v>0</v>
      </c>
      <c r="J13" s="26">
        <f>IF(B13="",0,1)</f>
        <v>1</v>
      </c>
      <c r="K13" s="26">
        <f>IF(C13+F13=2,3,IF(C13+F13=1,1,0))</f>
        <v>3</v>
      </c>
      <c r="L13" s="26">
        <f>IF(K13=3,3,IF(I13+K13=2,2,IF(K13=1,1,0)))</f>
        <v>3</v>
      </c>
      <c r="M13" s="26">
        <f>B13+E13</f>
        <v>12</v>
      </c>
      <c r="N13" s="26">
        <f>C13+F13+I13</f>
        <v>2</v>
      </c>
      <c r="O13" s="26"/>
      <c r="P13" s="38" t="str">
        <f>AE9</f>
        <v>Andre' Farrugia</v>
      </c>
      <c r="Q13" s="39">
        <v>6.0</v>
      </c>
      <c r="R13" s="40">
        <f>IF(Q13&gt;Q15,1,0)</f>
        <v>1</v>
      </c>
      <c r="S13" s="41"/>
      <c r="T13" s="39">
        <v>2.0</v>
      </c>
      <c r="U13" s="40">
        <f>IF(T13&gt;T15,1,0)</f>
        <v>0</v>
      </c>
      <c r="V13" s="41"/>
      <c r="W13" s="39">
        <v>11.0</v>
      </c>
      <c r="X13" s="26">
        <f>IF(W13&gt;W15,1,0)</f>
        <v>1</v>
      </c>
      <c r="Y13" s="26">
        <f>IF(Q13="",0,1)</f>
        <v>1</v>
      </c>
      <c r="Z13" s="26">
        <f>IF(R13+U13=2,3,IF(R13+U13=1,1,0))</f>
        <v>1</v>
      </c>
      <c r="AA13" s="26">
        <f>IF(Z13=3,3,IF(X13+Z13=2,2,IF(Z13=1,1,0)))</f>
        <v>2</v>
      </c>
      <c r="AB13" s="26">
        <f>Q13+T13</f>
        <v>8</v>
      </c>
      <c r="AC13" s="26">
        <f>R13+U13+X13</f>
        <v>2</v>
      </c>
      <c r="AD13" s="26"/>
      <c r="AE13" s="79" t="str">
        <f>'Players - Men'!B16</f>
        <v>Tobias Kristensen</v>
      </c>
      <c r="AF13" s="44">
        <f>Y29+Y11+Y33+J33+J23</f>
        <v>5</v>
      </c>
      <c r="AG13" s="44">
        <f t="shared" ref="AG13:AI13" si="3">AA29+AA11+AA33+L33+L23</f>
        <v>6</v>
      </c>
      <c r="AH13" s="44">
        <f t="shared" si="3"/>
        <v>52</v>
      </c>
      <c r="AI13" s="45">
        <f t="shared" si="3"/>
        <v>6</v>
      </c>
      <c r="AJ13" s="33"/>
      <c r="AK13" s="33"/>
      <c r="AL13" s="26"/>
    </row>
    <row r="14" ht="15.0" customHeight="1">
      <c r="A14" s="46" t="s">
        <v>71</v>
      </c>
      <c r="H14" s="47"/>
      <c r="I14" s="48"/>
      <c r="J14" s="26"/>
      <c r="K14" s="26"/>
      <c r="L14" s="26"/>
      <c r="M14" s="26"/>
      <c r="N14" s="26"/>
      <c r="O14" s="26"/>
      <c r="P14" s="46" t="s">
        <v>71</v>
      </c>
      <c r="W14" s="47"/>
      <c r="X14" s="48"/>
      <c r="Y14" s="26"/>
      <c r="Z14" s="26"/>
      <c r="AA14" s="26"/>
      <c r="AB14" s="26"/>
      <c r="AC14" s="26"/>
      <c r="AD14" s="26"/>
      <c r="AE14" s="26"/>
      <c r="AF14" s="33"/>
      <c r="AG14" s="33"/>
      <c r="AH14" s="33"/>
      <c r="AI14" s="33"/>
      <c r="AJ14" s="33"/>
      <c r="AK14" s="33"/>
      <c r="AL14" s="26"/>
    </row>
    <row r="15" ht="15.0" customHeight="1">
      <c r="A15" s="49" t="str">
        <f>AE15</f>
        <v>Gabriel Pace</v>
      </c>
      <c r="B15" s="39">
        <v>3.0</v>
      </c>
      <c r="C15" s="50">
        <f>IF(B15&gt;B13,1,0)</f>
        <v>0</v>
      </c>
      <c r="D15" s="51"/>
      <c r="E15" s="39">
        <v>1.0</v>
      </c>
      <c r="F15" s="50">
        <f>IF(E15&gt;E13,1,0)</f>
        <v>0</v>
      </c>
      <c r="G15" s="51"/>
      <c r="H15" s="42"/>
      <c r="I15" s="26">
        <f>IF(H15&gt;H13,1,0)</f>
        <v>0</v>
      </c>
      <c r="J15" s="26">
        <f>IF(B15="",0,1)</f>
        <v>1</v>
      </c>
      <c r="K15" s="26">
        <f>IF(C15+F15=2,3,IF(C15+F15=1,1,0))</f>
        <v>0</v>
      </c>
      <c r="L15" s="26">
        <f>IF(K15=3,3,IF(I15+K15=2,2,IF(K15=1,1,0)))</f>
        <v>0</v>
      </c>
      <c r="M15" s="26">
        <f>B15+E15</f>
        <v>4</v>
      </c>
      <c r="N15" s="26">
        <f>C15+F15+I15</f>
        <v>0</v>
      </c>
      <c r="O15" s="26"/>
      <c r="P15" s="49" t="str">
        <f>AE17</f>
        <v>Chi Chi Canonce</v>
      </c>
      <c r="Q15" s="39">
        <v>4.0</v>
      </c>
      <c r="R15" s="50">
        <f>IF(Q15&gt;Q13,1,0)</f>
        <v>0</v>
      </c>
      <c r="S15" s="51"/>
      <c r="T15" s="39">
        <v>6.0</v>
      </c>
      <c r="U15" s="50">
        <f>IF(T15&gt;T13,1,0)</f>
        <v>1</v>
      </c>
      <c r="V15" s="51"/>
      <c r="W15" s="39">
        <v>9.0</v>
      </c>
      <c r="X15" s="26">
        <f>IF(W15&gt;W13,1,0)</f>
        <v>0</v>
      </c>
      <c r="Y15" s="26">
        <f>IF(Q15="",0,1)</f>
        <v>1</v>
      </c>
      <c r="Z15" s="26">
        <f>IF(R15+U15=2,3,IF(R15+U15=1,1,0))</f>
        <v>1</v>
      </c>
      <c r="AA15" s="26">
        <f>IF(Z15=3,3,IF(X15+Z15=2,2,IF(Z15=1,1,0)))</f>
        <v>1</v>
      </c>
      <c r="AB15" s="26">
        <f>Q15+T15</f>
        <v>10</v>
      </c>
      <c r="AC15" s="26">
        <f>R15+U15+X15</f>
        <v>1</v>
      </c>
      <c r="AD15" s="26"/>
      <c r="AE15" s="79" t="str">
        <f>'Players - Men'!B17</f>
        <v>Gabriel Pace</v>
      </c>
      <c r="AF15" s="44">
        <f>Y31+J37+J15+Y23+J29</f>
        <v>5</v>
      </c>
      <c r="AG15" s="44">
        <f t="shared" ref="AG15:AI15" si="4">AA31+L37+L15+AA23+L29</f>
        <v>3</v>
      </c>
      <c r="AH15" s="44">
        <f t="shared" si="4"/>
        <v>37</v>
      </c>
      <c r="AI15" s="45">
        <f t="shared" si="4"/>
        <v>3</v>
      </c>
      <c r="AJ15" s="33"/>
      <c r="AK15" s="33"/>
      <c r="AL15" s="26"/>
    </row>
    <row r="16" ht="15.0" customHeight="1">
      <c r="A16" s="26"/>
      <c r="B16" s="33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33"/>
      <c r="AG16" s="33"/>
      <c r="AH16" s="33"/>
      <c r="AI16" s="33"/>
      <c r="AJ16" s="33"/>
      <c r="AK16" s="33"/>
      <c r="AL16" s="26"/>
    </row>
    <row r="17" ht="15.0" customHeight="1">
      <c r="A17" s="38" t="str">
        <f>AE9</f>
        <v>Andre' Farrugia</v>
      </c>
      <c r="B17" s="39">
        <v>6.0</v>
      </c>
      <c r="C17" s="40">
        <f>IF(B17&gt;B19,1,0)</f>
        <v>1</v>
      </c>
      <c r="D17" s="41"/>
      <c r="E17" s="39">
        <v>3.0</v>
      </c>
      <c r="F17" s="40">
        <f>IF(E17&gt;E19,1,0)</f>
        <v>0</v>
      </c>
      <c r="G17" s="41"/>
      <c r="H17" s="39">
        <v>10.0</v>
      </c>
      <c r="I17" s="26">
        <f>IF(H17&gt;H19,1,0)</f>
        <v>1</v>
      </c>
      <c r="J17" s="26">
        <f>IF(B17="",0,1)</f>
        <v>1</v>
      </c>
      <c r="K17" s="26">
        <f>IF(C17+F17=2,3,IF(C17+F17=1,1,0))</f>
        <v>1</v>
      </c>
      <c r="L17" s="26">
        <f>IF(K17=3,3,IF(I17+K17=2,2,IF(K17=1,1,0)))</f>
        <v>2</v>
      </c>
      <c r="M17" s="26">
        <f>B17+E17</f>
        <v>9</v>
      </c>
      <c r="N17" s="26">
        <f>C17+F17+I17</f>
        <v>2</v>
      </c>
      <c r="O17" s="26"/>
      <c r="P17" s="38" t="str">
        <f>AE17</f>
        <v>Chi Chi Canonce</v>
      </c>
      <c r="Q17" s="39">
        <v>4.0</v>
      </c>
      <c r="R17" s="40">
        <f>IF(Q17&gt;Q19,1,0)</f>
        <v>0</v>
      </c>
      <c r="S17" s="41"/>
      <c r="T17" s="39">
        <v>6.0</v>
      </c>
      <c r="U17" s="40">
        <f>IF(T17&gt;T19,1,0)</f>
        <v>1</v>
      </c>
      <c r="V17" s="41"/>
      <c r="W17" s="39">
        <v>10.0</v>
      </c>
      <c r="X17" s="26">
        <f>IF(W17&gt;W19,1,0)</f>
        <v>1</v>
      </c>
      <c r="Y17" s="26">
        <f>IF(Q17="",0,1)</f>
        <v>1</v>
      </c>
      <c r="Z17" s="26">
        <f>IF(R17+U17=2,3,IF(R17+U17=1,1,0))</f>
        <v>1</v>
      </c>
      <c r="AA17" s="26">
        <f>IF(Z17=3,3,IF(X17+Z17=2,2,IF(Z17=1,1,0)))</f>
        <v>2</v>
      </c>
      <c r="AB17" s="26">
        <f>Q17+T17</f>
        <v>10</v>
      </c>
      <c r="AC17" s="26">
        <f>R17+U17+X17</f>
        <v>2</v>
      </c>
      <c r="AD17" s="26"/>
      <c r="AE17" s="79" t="str">
        <f>'Players - Men'!B18</f>
        <v>Chi Chi Canonce</v>
      </c>
      <c r="AF17" s="44">
        <f>Y17+J39+J27+Y15+J35</f>
        <v>5</v>
      </c>
      <c r="AG17" s="44">
        <f t="shared" ref="AG17:AI17" si="5">AA17+L39+L27+AA15+L35</f>
        <v>10</v>
      </c>
      <c r="AH17" s="44">
        <f t="shared" si="5"/>
        <v>51</v>
      </c>
      <c r="AI17" s="45">
        <f t="shared" si="5"/>
        <v>9</v>
      </c>
      <c r="AJ17" s="33"/>
      <c r="AK17" s="33"/>
      <c r="AL17" s="26"/>
    </row>
    <row r="18" ht="15.0" customHeight="1">
      <c r="A18" s="46" t="s">
        <v>71</v>
      </c>
      <c r="H18" s="47"/>
      <c r="I18" s="48"/>
      <c r="J18" s="26"/>
      <c r="K18" s="26"/>
      <c r="L18" s="26"/>
      <c r="M18" s="26"/>
      <c r="N18" s="26"/>
      <c r="O18" s="26"/>
      <c r="P18" s="46" t="s">
        <v>71</v>
      </c>
      <c r="W18" s="47"/>
      <c r="X18" s="48"/>
      <c r="Y18" s="26"/>
      <c r="Z18" s="26"/>
      <c r="AA18" s="26"/>
      <c r="AB18" s="26"/>
      <c r="AC18" s="26"/>
      <c r="AD18" s="26"/>
      <c r="AE18" s="26"/>
      <c r="AF18" s="33"/>
      <c r="AG18" s="33"/>
      <c r="AH18" s="33"/>
      <c r="AI18" s="33"/>
      <c r="AJ18" s="33"/>
      <c r="AK18" s="33"/>
      <c r="AL18" s="26"/>
    </row>
    <row r="19" ht="15.0" customHeight="1">
      <c r="A19" s="49" t="str">
        <f>AE19</f>
        <v>Eric Micallef</v>
      </c>
      <c r="B19" s="39">
        <v>1.0</v>
      </c>
      <c r="C19" s="50">
        <f>IF(B19&gt;B17,1,0)</f>
        <v>0</v>
      </c>
      <c r="D19" s="51"/>
      <c r="E19" s="39">
        <v>6.0</v>
      </c>
      <c r="F19" s="50">
        <f>IF(E19&gt;E17,1,0)</f>
        <v>1</v>
      </c>
      <c r="G19" s="51"/>
      <c r="H19" s="39">
        <v>4.0</v>
      </c>
      <c r="I19" s="26">
        <f>IF(H19&gt;H17,1,0)</f>
        <v>0</v>
      </c>
      <c r="J19" s="26">
        <f>IF(B19="",0,1)</f>
        <v>1</v>
      </c>
      <c r="K19" s="26">
        <f>IF(C19+F19=2,3,IF(C19+F19=1,1,0))</f>
        <v>1</v>
      </c>
      <c r="L19" s="26">
        <f>IF(K19=3,3,IF(I19+K19=2,2,IF(K19=1,1,0)))</f>
        <v>1</v>
      </c>
      <c r="M19" s="26">
        <f>B19+E19</f>
        <v>7</v>
      </c>
      <c r="N19" s="26">
        <f>C19+F19+I19</f>
        <v>1</v>
      </c>
      <c r="O19" s="26"/>
      <c r="P19" s="49" t="str">
        <f>AE19</f>
        <v>Eric Micallef</v>
      </c>
      <c r="Q19" s="39">
        <v>6.0</v>
      </c>
      <c r="R19" s="50">
        <f>IF(Q19&gt;Q17,1,0)</f>
        <v>1</v>
      </c>
      <c r="S19" s="51"/>
      <c r="T19" s="39">
        <v>3.0</v>
      </c>
      <c r="U19" s="50">
        <f>IF(T19&gt;T17,1,0)</f>
        <v>0</v>
      </c>
      <c r="V19" s="51"/>
      <c r="W19" s="39">
        <v>4.0</v>
      </c>
      <c r="X19" s="26">
        <f>IF(W19&gt;W17,1,0)</f>
        <v>0</v>
      </c>
      <c r="Y19" s="26">
        <f>IF(Q19="",0,1)</f>
        <v>1</v>
      </c>
      <c r="Z19" s="26">
        <f>IF(R19+U19=2,3,IF(R19+U19=1,1,0))</f>
        <v>1</v>
      </c>
      <c r="AA19" s="26">
        <f>IF(Z19=3,3,IF(X19+Z19=2,2,IF(Z19=1,1,0)))</f>
        <v>1</v>
      </c>
      <c r="AB19" s="26">
        <f>Q19+T19</f>
        <v>9</v>
      </c>
      <c r="AC19" s="26">
        <f>R19+U19+X19</f>
        <v>1</v>
      </c>
      <c r="AD19" s="26"/>
      <c r="AE19" s="79" t="str">
        <f>'Players - Men'!B19</f>
        <v>Eric Micallef</v>
      </c>
      <c r="AF19" s="44">
        <f>Y19+Y27+Y35+J19+J31</f>
        <v>5</v>
      </c>
      <c r="AG19" s="44">
        <f>AA19+AA35+L31+AA27+L19</f>
        <v>5</v>
      </c>
      <c r="AH19" s="44">
        <f t="shared" ref="AH19:AI19" si="6">AB19+AB27+AB35+M19+M31</f>
        <v>47</v>
      </c>
      <c r="AI19" s="45">
        <f t="shared" si="6"/>
        <v>5</v>
      </c>
      <c r="AJ19" s="26"/>
      <c r="AK19" s="33"/>
      <c r="AL19" s="26"/>
    </row>
    <row r="20" ht="15.0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 ht="15.0" customHeight="1">
      <c r="A21" s="38" t="str">
        <f>AE11</f>
        <v>Liam Dixon</v>
      </c>
      <c r="B21" s="39">
        <v>4.0</v>
      </c>
      <c r="C21" s="40">
        <f>IF(B21&gt;B23,1,0)</f>
        <v>0</v>
      </c>
      <c r="D21" s="41"/>
      <c r="E21" s="39">
        <v>6.0</v>
      </c>
      <c r="F21" s="40">
        <f>IF(E21&gt;E23,1,0)</f>
        <v>1</v>
      </c>
      <c r="G21" s="41"/>
      <c r="H21" s="39">
        <v>10.0</v>
      </c>
      <c r="I21" s="26">
        <f>IF(H21&gt;H23,1,0)</f>
        <v>1</v>
      </c>
      <c r="J21" s="26">
        <f>IF(B21="",0,1)</f>
        <v>1</v>
      </c>
      <c r="K21" s="26">
        <f>IF(C21+F21=2,3,IF(C21+F21=1,1,0))</f>
        <v>1</v>
      </c>
      <c r="L21" s="26">
        <f>IF(K21=3,3,IF(I21+K21=2,2,IF(K21=1,1,0)))</f>
        <v>2</v>
      </c>
      <c r="M21" s="26">
        <f>B21+E21</f>
        <v>10</v>
      </c>
      <c r="N21" s="26">
        <f>C21+F21+I21</f>
        <v>2</v>
      </c>
      <c r="O21" s="26"/>
      <c r="P21" s="38" t="str">
        <f>AE11</f>
        <v>Liam Dixon</v>
      </c>
      <c r="Q21" s="39">
        <v>6.0</v>
      </c>
      <c r="R21" s="40">
        <f>IF(Q21&gt;Q23,1,0)</f>
        <v>1</v>
      </c>
      <c r="S21" s="41"/>
      <c r="T21" s="39">
        <v>6.0</v>
      </c>
      <c r="U21" s="40">
        <f>IF(T21&gt;T23,1,0)</f>
        <v>1</v>
      </c>
      <c r="V21" s="41"/>
      <c r="W21" s="42"/>
      <c r="X21" s="26">
        <f>IF(W21&gt;W23,1,0)</f>
        <v>0</v>
      </c>
      <c r="Y21" s="26">
        <f>IF(Q21="",0,1)</f>
        <v>1</v>
      </c>
      <c r="Z21" s="26">
        <f>IF(R21+U21=2,3,IF(R21+U21=1,1,0))</f>
        <v>3</v>
      </c>
      <c r="AA21" s="26">
        <f>IF(Z21=3,3,IF(X21+Z21=2,2,IF(Z21=1,1,0)))</f>
        <v>3</v>
      </c>
      <c r="AB21" s="26">
        <f>Q21+T21</f>
        <v>12</v>
      </c>
      <c r="AC21" s="26">
        <f>R21+U21+X21</f>
        <v>2</v>
      </c>
      <c r="AD21" s="26"/>
      <c r="AE21" s="77" t="s">
        <v>72</v>
      </c>
      <c r="AF21" s="29"/>
      <c r="AG21" s="29"/>
      <c r="AH21" s="29"/>
      <c r="AI21" s="30"/>
      <c r="AJ21" s="26"/>
      <c r="AK21" s="26"/>
      <c r="AL21" s="26"/>
    </row>
    <row r="22" ht="15.0" customHeight="1">
      <c r="A22" s="46" t="s">
        <v>71</v>
      </c>
      <c r="H22" s="47"/>
      <c r="I22" s="48"/>
      <c r="J22" s="26"/>
      <c r="K22" s="26"/>
      <c r="L22" s="26"/>
      <c r="M22" s="26"/>
      <c r="N22" s="26"/>
      <c r="O22" s="26"/>
      <c r="P22" s="46" t="s">
        <v>71</v>
      </c>
      <c r="W22" s="47"/>
      <c r="X22" s="48"/>
      <c r="Y22" s="26"/>
      <c r="Z22" s="26"/>
      <c r="AA22" s="26"/>
      <c r="AB22" s="26"/>
      <c r="AC22" s="26"/>
      <c r="AD22" s="26"/>
      <c r="AE22" s="53" t="s">
        <v>17</v>
      </c>
      <c r="AF22" s="29"/>
      <c r="AG22" s="29"/>
      <c r="AH22" s="29"/>
      <c r="AI22" s="30"/>
      <c r="AJ22" s="26"/>
      <c r="AK22" s="26"/>
      <c r="AL22" s="26"/>
    </row>
    <row r="23" ht="15.0" customHeight="1">
      <c r="A23" s="49" t="str">
        <f>AE13</f>
        <v>Tobias Kristensen</v>
      </c>
      <c r="B23" s="39">
        <v>6.0</v>
      </c>
      <c r="C23" s="50">
        <f>IF(B23&gt;B21,1,0)</f>
        <v>1</v>
      </c>
      <c r="D23" s="51"/>
      <c r="E23" s="39">
        <v>4.0</v>
      </c>
      <c r="F23" s="50">
        <f>IF(E23&gt;E21,1,0)</f>
        <v>0</v>
      </c>
      <c r="G23" s="51"/>
      <c r="H23" s="39">
        <v>5.0</v>
      </c>
      <c r="I23" s="26">
        <f>IF(H23&gt;H21,1,0)</f>
        <v>0</v>
      </c>
      <c r="J23" s="26">
        <f>IF(B23="",0,1)</f>
        <v>1</v>
      </c>
      <c r="K23" s="26">
        <f>IF(C23+F23=2,3,IF(C23+F23=1,1,0))</f>
        <v>1</v>
      </c>
      <c r="L23" s="26">
        <f>IF(K23=3,3,IF(I23+K23=2,2,IF(K23=1,1,0)))</f>
        <v>1</v>
      </c>
      <c r="M23" s="26">
        <f>B23+E23</f>
        <v>10</v>
      </c>
      <c r="N23" s="26">
        <f>C23+F23+I23</f>
        <v>1</v>
      </c>
      <c r="O23" s="26"/>
      <c r="P23" s="49" t="str">
        <f>AE15</f>
        <v>Gabriel Pace</v>
      </c>
      <c r="Q23" s="39">
        <v>3.0</v>
      </c>
      <c r="R23" s="50">
        <f>IF(Q23&gt;Q21,1,0)</f>
        <v>0</v>
      </c>
      <c r="S23" s="51"/>
      <c r="T23" s="39">
        <v>4.0</v>
      </c>
      <c r="U23" s="50">
        <f>IF(T23&gt;T21,1,0)</f>
        <v>0</v>
      </c>
      <c r="V23" s="51"/>
      <c r="W23" s="42"/>
      <c r="X23" s="26">
        <f>IF(W23&gt;W21,1,0)</f>
        <v>0</v>
      </c>
      <c r="Y23" s="26">
        <f>IF(Q23="",0,1)</f>
        <v>1</v>
      </c>
      <c r="Z23" s="26">
        <f>IF(R23+U23=2,3,IF(R23+U23=1,1,0))</f>
        <v>0</v>
      </c>
      <c r="AA23" s="26">
        <f>IF(Z23=3,3,IF(X23+Z23=2,2,IF(Z23=1,1,0)))</f>
        <v>0</v>
      </c>
      <c r="AB23" s="26">
        <f>Q23+T23</f>
        <v>7</v>
      </c>
      <c r="AC23" s="26">
        <f>R23+U23+X23</f>
        <v>0</v>
      </c>
      <c r="AD23" s="26"/>
      <c r="AE23" s="26"/>
      <c r="AF23" s="26"/>
      <c r="AG23" s="26"/>
      <c r="AH23" s="26"/>
      <c r="AI23" s="26"/>
      <c r="AJ23" s="26"/>
      <c r="AK23" s="26"/>
      <c r="AL23" s="26"/>
    </row>
    <row r="24" ht="15.0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ht="15.0" customHeight="1">
      <c r="A25" s="38" t="str">
        <f>AE11</f>
        <v>Liam Dixon</v>
      </c>
      <c r="B25" s="39">
        <v>4.0</v>
      </c>
      <c r="C25" s="40">
        <f>IF(B25&gt;B27,1,0)</f>
        <v>0</v>
      </c>
      <c r="D25" s="41"/>
      <c r="E25" s="39">
        <v>6.0</v>
      </c>
      <c r="F25" s="40">
        <f>IF(E25&gt;E27,1,0)</f>
        <v>1</v>
      </c>
      <c r="G25" s="41"/>
      <c r="H25" s="39">
        <v>8.0</v>
      </c>
      <c r="I25" s="26">
        <f>IF(H25&gt;H27,1,0)</f>
        <v>0</v>
      </c>
      <c r="J25" s="26">
        <f>IF(B25="",0,1)</f>
        <v>1</v>
      </c>
      <c r="K25" s="26">
        <f>IF(C25+F25=2,3,IF(C25+F25=1,1,0))</f>
        <v>1</v>
      </c>
      <c r="L25" s="26">
        <f>IF(K25=3,3,IF(I25+K25=2,2,IF(K25=1,1,0)))</f>
        <v>1</v>
      </c>
      <c r="M25" s="26">
        <f>B25+E25</f>
        <v>10</v>
      </c>
      <c r="N25" s="26">
        <f>C25+F25+I25</f>
        <v>1</v>
      </c>
      <c r="O25" s="26"/>
      <c r="P25" s="38" t="str">
        <f>AE11</f>
        <v>Liam Dixon</v>
      </c>
      <c r="Q25" s="39">
        <v>6.0</v>
      </c>
      <c r="R25" s="40">
        <f>IF(Q25&gt;Q27,1,0)</f>
        <v>1</v>
      </c>
      <c r="S25" s="41"/>
      <c r="T25" s="39">
        <v>6.0</v>
      </c>
      <c r="U25" s="40">
        <f>IF(T25&gt;T27,1,0)</f>
        <v>1</v>
      </c>
      <c r="V25" s="41"/>
      <c r="W25" s="42"/>
      <c r="X25" s="26">
        <f>IF(W25&gt;W27,1,0)</f>
        <v>0</v>
      </c>
      <c r="Y25" s="26">
        <f>IF(Q25="",0,1)</f>
        <v>1</v>
      </c>
      <c r="Z25" s="26">
        <f>IF(R25+U25=2,3,IF(R25+U25=1,1,0))</f>
        <v>3</v>
      </c>
      <c r="AA25" s="26">
        <f>IF(Z25=3,3,IF(X25+Z25=2,2,IF(Z25=1,1,0)))</f>
        <v>3</v>
      </c>
      <c r="AB25" s="26">
        <f>Q25+T25</f>
        <v>12</v>
      </c>
      <c r="AC25" s="26">
        <f>R25+U25+X25</f>
        <v>2</v>
      </c>
      <c r="AD25" s="26"/>
      <c r="AE25" s="26"/>
      <c r="AF25" s="26"/>
      <c r="AG25" s="26"/>
      <c r="AH25" s="26"/>
      <c r="AI25" s="26"/>
      <c r="AJ25" s="26"/>
      <c r="AK25" s="26"/>
      <c r="AL25" s="26"/>
    </row>
    <row r="26" ht="15.0" customHeight="1">
      <c r="A26" s="46" t="s">
        <v>71</v>
      </c>
      <c r="H26" s="47"/>
      <c r="I26" s="48"/>
      <c r="J26" s="26"/>
      <c r="K26" s="26"/>
      <c r="L26" s="26"/>
      <c r="M26" s="26"/>
      <c r="N26" s="26"/>
      <c r="O26" s="26"/>
      <c r="P26" s="46" t="s">
        <v>71</v>
      </c>
      <c r="W26" s="47"/>
      <c r="X26" s="48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ht="15.0" customHeight="1">
      <c r="A27" s="49" t="str">
        <f>AE17</f>
        <v>Chi Chi Canonce</v>
      </c>
      <c r="B27" s="39">
        <v>6.0</v>
      </c>
      <c r="C27" s="50">
        <f>IF(B27&gt;B25,1,0)</f>
        <v>1</v>
      </c>
      <c r="D27" s="51"/>
      <c r="E27" s="39">
        <v>3.0</v>
      </c>
      <c r="F27" s="50">
        <f>IF(E27&gt;E25,1,0)</f>
        <v>0</v>
      </c>
      <c r="G27" s="51"/>
      <c r="H27" s="39">
        <v>10.0</v>
      </c>
      <c r="I27" s="26">
        <f>IF(H27&gt;H25,1,0)</f>
        <v>1</v>
      </c>
      <c r="J27" s="26">
        <f>IF(B27="",0,1)</f>
        <v>1</v>
      </c>
      <c r="K27" s="26">
        <f>IF(C27+F27=2,3,IF(C27+F27=1,1,0))</f>
        <v>1</v>
      </c>
      <c r="L27" s="26">
        <f>IF(K27=3,3,IF(I27+K27=2,2,IF(K27=1,1,0)))</f>
        <v>2</v>
      </c>
      <c r="M27" s="26">
        <f>B27+E27</f>
        <v>9</v>
      </c>
      <c r="N27" s="26">
        <f>C27+F27+I27</f>
        <v>2</v>
      </c>
      <c r="O27" s="26"/>
      <c r="P27" s="49" t="str">
        <f>AE19</f>
        <v>Eric Micallef</v>
      </c>
      <c r="Q27" s="39">
        <v>3.0</v>
      </c>
      <c r="R27" s="50">
        <f>IF(Q27&gt;Q25,1,0)</f>
        <v>0</v>
      </c>
      <c r="S27" s="51"/>
      <c r="T27" s="39">
        <v>3.0</v>
      </c>
      <c r="U27" s="50">
        <f>IF(T27&gt;T25,1,0)</f>
        <v>0</v>
      </c>
      <c r="V27" s="51"/>
      <c r="W27" s="42"/>
      <c r="X27" s="26">
        <f>IF(W27&gt;W25,1,0)</f>
        <v>0</v>
      </c>
      <c r="Y27" s="26">
        <f>IF(Q27="",0,1)</f>
        <v>1</v>
      </c>
      <c r="Z27" s="26">
        <f>IF(R27+U27=2,3,IF(R27+U27=1,1,0))</f>
        <v>0</v>
      </c>
      <c r="AA27" s="26">
        <f>IF(Z27=3,3,IF(X27+Z27=2,2,IF(Z27=1,1,0)))</f>
        <v>0</v>
      </c>
      <c r="AB27" s="26">
        <f>Q27+T27</f>
        <v>6</v>
      </c>
      <c r="AC27" s="26">
        <f>R27+U27+X27</f>
        <v>0</v>
      </c>
      <c r="AD27" s="26"/>
      <c r="AE27" s="26"/>
      <c r="AF27" s="26"/>
      <c r="AG27" s="26"/>
      <c r="AH27" s="26"/>
      <c r="AI27" s="26"/>
      <c r="AJ27" s="26"/>
      <c r="AK27" s="26"/>
      <c r="AL27" s="26"/>
    </row>
    <row r="28" ht="15.0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33"/>
      <c r="AI28" s="26"/>
      <c r="AJ28" s="26"/>
      <c r="AK28" s="26"/>
      <c r="AL28" s="26"/>
    </row>
    <row r="29" ht="15.0" customHeight="1">
      <c r="A29" s="38" t="str">
        <f>AE15</f>
        <v>Gabriel Pace</v>
      </c>
      <c r="B29" s="39">
        <v>7.0</v>
      </c>
      <c r="C29" s="40">
        <f>IF(B29&gt;B31,1,0)</f>
        <v>1</v>
      </c>
      <c r="D29" s="41"/>
      <c r="E29" s="39">
        <v>1.0</v>
      </c>
      <c r="F29" s="40">
        <f>IF(E29&gt;E31,1,0)</f>
        <v>0</v>
      </c>
      <c r="G29" s="41"/>
      <c r="H29" s="39">
        <v>6.0</v>
      </c>
      <c r="I29" s="26">
        <f>IF(H29&gt;H31,1,0)</f>
        <v>0</v>
      </c>
      <c r="J29" s="26">
        <f>IF(B29="",0,1)</f>
        <v>1</v>
      </c>
      <c r="K29" s="26">
        <f>IF(C29+F29=2,3,IF(C29+F29=1,1,0))</f>
        <v>1</v>
      </c>
      <c r="L29" s="26">
        <f>IF(K29=3,3,IF(I29+K29=2,2,IF(K29=1,1,0)))</f>
        <v>1</v>
      </c>
      <c r="M29" s="26">
        <f>B29+E29</f>
        <v>8</v>
      </c>
      <c r="N29" s="26">
        <f>C29+F29+I29</f>
        <v>1</v>
      </c>
      <c r="O29" s="26"/>
      <c r="P29" s="38" t="str">
        <f>AE13</f>
        <v>Tobias Kristensen</v>
      </c>
      <c r="Q29" s="39">
        <v>4.0</v>
      </c>
      <c r="R29" s="40">
        <f>IF(Q29&gt;Q31,1,0)</f>
        <v>0</v>
      </c>
      <c r="S29" s="41"/>
      <c r="T29" s="39">
        <v>6.0</v>
      </c>
      <c r="U29" s="40">
        <f>IF(T29&gt;T31,1,0)</f>
        <v>1</v>
      </c>
      <c r="V29" s="41"/>
      <c r="W29" s="39">
        <v>10.0</v>
      </c>
      <c r="X29" s="26">
        <f>IF(W29&gt;W31,1,0)</f>
        <v>1</v>
      </c>
      <c r="Y29" s="26">
        <f>IF(Q29="",0,1)</f>
        <v>1</v>
      </c>
      <c r="Z29" s="26">
        <f>IF(R29+U29=2,3,IF(R29+U29=1,1,0))</f>
        <v>1</v>
      </c>
      <c r="AA29" s="26">
        <f>IF(Z29=3,3,IF(X29+Z29=2,2,IF(Z29=1,1,0)))</f>
        <v>2</v>
      </c>
      <c r="AB29" s="26">
        <f>Q29+T29</f>
        <v>10</v>
      </c>
      <c r="AC29" s="26">
        <f>R29+U29+X29</f>
        <v>2</v>
      </c>
      <c r="AD29" s="26"/>
      <c r="AE29" s="26"/>
      <c r="AF29" s="26"/>
      <c r="AG29" s="26"/>
      <c r="AH29" s="26"/>
      <c r="AI29" s="26"/>
      <c r="AJ29" s="26"/>
      <c r="AK29" s="26"/>
      <c r="AL29" s="26"/>
    </row>
    <row r="30" ht="15.0" customHeight="1">
      <c r="A30" s="46" t="s">
        <v>71</v>
      </c>
      <c r="H30" s="47"/>
      <c r="I30" s="48"/>
      <c r="J30" s="26"/>
      <c r="K30" s="26"/>
      <c r="L30" s="26"/>
      <c r="M30" s="26"/>
      <c r="N30" s="26"/>
      <c r="O30" s="26"/>
      <c r="P30" s="46" t="s">
        <v>71</v>
      </c>
      <c r="W30" s="47"/>
      <c r="X30" s="48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54"/>
      <c r="AL30" s="26"/>
    </row>
    <row r="31" ht="15.0" customHeight="1">
      <c r="A31" s="49" t="str">
        <f>AE19</f>
        <v>Eric Micallef</v>
      </c>
      <c r="B31" s="39">
        <v>6.0</v>
      </c>
      <c r="C31" s="50">
        <f>IF(B31&gt;B29,1,0)</f>
        <v>0</v>
      </c>
      <c r="D31" s="51"/>
      <c r="E31" s="39">
        <v>6.0</v>
      </c>
      <c r="F31" s="50">
        <f>IF(E31&gt;E29,1,0)</f>
        <v>1</v>
      </c>
      <c r="G31" s="51"/>
      <c r="H31" s="39">
        <v>10.0</v>
      </c>
      <c r="I31" s="26">
        <f>IF(H31&gt;H29,1,0)</f>
        <v>1</v>
      </c>
      <c r="J31" s="26">
        <f>IF(B31="",0,1)</f>
        <v>1</v>
      </c>
      <c r="K31" s="26">
        <f>IF(C31+F31=2,3,IF(C31+F31=1,1,0))</f>
        <v>1</v>
      </c>
      <c r="L31" s="26">
        <f>IF(K31=3,3,IF(I31+K31=2,2,IF(K31=1,1,0)))</f>
        <v>2</v>
      </c>
      <c r="M31" s="26">
        <f>B31+E31</f>
        <v>12</v>
      </c>
      <c r="N31" s="26">
        <f>C31+F31+I31</f>
        <v>2</v>
      </c>
      <c r="O31" s="26"/>
      <c r="P31" s="49" t="str">
        <f>AE15</f>
        <v>Gabriel Pace</v>
      </c>
      <c r="Q31" s="39">
        <v>6.0</v>
      </c>
      <c r="R31" s="50">
        <f>IF(Q31&gt;Q29,1,0)</f>
        <v>1</v>
      </c>
      <c r="S31" s="51"/>
      <c r="T31" s="39">
        <v>3.0</v>
      </c>
      <c r="U31" s="50">
        <f>IF(T31&gt;T29,1,0)</f>
        <v>0</v>
      </c>
      <c r="V31" s="51"/>
      <c r="W31" s="39">
        <v>1.0</v>
      </c>
      <c r="X31" s="26">
        <f>IF(W31&gt;W29,1,0)</f>
        <v>0</v>
      </c>
      <c r="Y31" s="26">
        <f>IF(Q31="",0,1)</f>
        <v>1</v>
      </c>
      <c r="Z31" s="26">
        <f>IF(R31+U31=2,3,IF(R31+U31=1,1,0))</f>
        <v>1</v>
      </c>
      <c r="AA31" s="26">
        <f>IF(Z31=3,3,IF(X31+Z31=2,2,IF(Z31=1,1,0)))</f>
        <v>1</v>
      </c>
      <c r="AB31" s="26">
        <f>Q31+T31</f>
        <v>9</v>
      </c>
      <c r="AC31" s="26">
        <f>R31+U31+X31</f>
        <v>1</v>
      </c>
      <c r="AD31" s="26"/>
      <c r="AE31" s="26"/>
      <c r="AF31" s="26"/>
      <c r="AG31" s="26"/>
      <c r="AH31" s="26"/>
      <c r="AI31" s="26"/>
      <c r="AJ31" s="26"/>
      <c r="AK31" s="26"/>
      <c r="AL31" s="26"/>
    </row>
    <row r="32" ht="15.0" customHeight="1">
      <c r="A32" s="26"/>
      <c r="B32" s="26"/>
      <c r="C32" s="26"/>
      <c r="D32" s="26"/>
      <c r="E32" s="33"/>
      <c r="F32" s="26"/>
      <c r="G32" s="26"/>
      <c r="H32" s="33"/>
      <c r="I32" s="26"/>
      <c r="J32" s="33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33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54"/>
      <c r="AL32" s="26"/>
    </row>
    <row r="33" ht="15.0" customHeight="1">
      <c r="A33" s="38" t="str">
        <f>AE13</f>
        <v>Tobias Kristensen</v>
      </c>
      <c r="B33" s="39">
        <v>6.0</v>
      </c>
      <c r="C33" s="40">
        <f>IF(B33&gt;B35,1,0)</f>
        <v>0</v>
      </c>
      <c r="D33" s="41"/>
      <c r="E33" s="39">
        <v>6.0</v>
      </c>
      <c r="F33" s="40">
        <f>IF(E33&gt;E35,1,0)</f>
        <v>0</v>
      </c>
      <c r="G33" s="41"/>
      <c r="H33" s="42"/>
      <c r="I33" s="26">
        <f>IF(H33&gt;H35,1,0)</f>
        <v>0</v>
      </c>
      <c r="J33" s="26">
        <f>IF(B33="",0,1)</f>
        <v>1</v>
      </c>
      <c r="K33" s="26">
        <f>IF(C33+F33=2,3,IF(C33+F33=1,1,0))</f>
        <v>0</v>
      </c>
      <c r="L33" s="26">
        <f>IF(K33=3,3,IF(I33+K33=2,2,IF(K33=1,1,0)))</f>
        <v>0</v>
      </c>
      <c r="M33" s="26">
        <f>B33+E33</f>
        <v>12</v>
      </c>
      <c r="N33" s="26">
        <f>C33+F33+I33</f>
        <v>0</v>
      </c>
      <c r="O33" s="26"/>
      <c r="P33" s="38" t="str">
        <f>AE13</f>
        <v>Tobias Kristensen</v>
      </c>
      <c r="Q33" s="39">
        <v>6.0</v>
      </c>
      <c r="R33" s="40">
        <f>IF(Q33&gt;Q35,1,0)</f>
        <v>0</v>
      </c>
      <c r="S33" s="41"/>
      <c r="T33" s="39">
        <v>7.0</v>
      </c>
      <c r="U33" s="40">
        <f>IF(T33&gt;T35,1,0)</f>
        <v>1</v>
      </c>
      <c r="V33" s="41"/>
      <c r="W33" s="39">
        <v>10.0</v>
      </c>
      <c r="X33" s="26">
        <f>IF(W33&gt;W35,1,0)</f>
        <v>1</v>
      </c>
      <c r="Y33" s="26">
        <f>IF(Q33="",0,1)</f>
        <v>1</v>
      </c>
      <c r="Z33" s="26">
        <f>IF(R33+U33=2,3,IF(R33+U33=1,1,0))</f>
        <v>1</v>
      </c>
      <c r="AA33" s="26">
        <f>IF(Z33=3,3,IF(X33+Z33=2,2,IF(Z33=1,1,0)))</f>
        <v>2</v>
      </c>
      <c r="AB33" s="26">
        <f>Q33+T33</f>
        <v>13</v>
      </c>
      <c r="AC33" s="26">
        <f>R33+U33+X33</f>
        <v>2</v>
      </c>
      <c r="AD33" s="26"/>
      <c r="AE33" s="26"/>
      <c r="AF33" s="26"/>
      <c r="AG33" s="26"/>
      <c r="AH33" s="26"/>
      <c r="AI33" s="26"/>
      <c r="AJ33" s="26"/>
      <c r="AK33" s="26"/>
      <c r="AL33" s="26"/>
    </row>
    <row r="34" ht="15.0" customHeight="1">
      <c r="A34" s="46" t="s">
        <v>71</v>
      </c>
      <c r="H34" s="47"/>
      <c r="I34" s="48"/>
      <c r="J34" s="26"/>
      <c r="K34" s="26"/>
      <c r="L34" s="26"/>
      <c r="M34" s="26"/>
      <c r="N34" s="26"/>
      <c r="O34" s="26"/>
      <c r="P34" s="46" t="s">
        <v>71</v>
      </c>
      <c r="W34" s="47"/>
      <c r="X34" s="48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ht="15.0" customHeight="1">
      <c r="A35" s="49" t="str">
        <f>AE17</f>
        <v>Chi Chi Canonce</v>
      </c>
      <c r="B35" s="39">
        <v>7.0</v>
      </c>
      <c r="C35" s="50">
        <f>IF(B35&gt;B33,1,0)</f>
        <v>1</v>
      </c>
      <c r="D35" s="51"/>
      <c r="E35" s="39">
        <v>7.0</v>
      </c>
      <c r="F35" s="50">
        <f>IF(E35&gt;E33,1,0)</f>
        <v>1</v>
      </c>
      <c r="G35" s="51"/>
      <c r="H35" s="42"/>
      <c r="I35" s="26">
        <f>IF(H35&gt;H33,1,0)</f>
        <v>0</v>
      </c>
      <c r="J35" s="26">
        <f>IF(B35="",0,1)</f>
        <v>1</v>
      </c>
      <c r="K35" s="26">
        <f>IF(C35+F35=2,3,IF(C35+F35=1,1,0))</f>
        <v>3</v>
      </c>
      <c r="L35" s="26">
        <f>IF(K35=3,3,IF(I35+K35=2,2,IF(K35=1,1,0)))</f>
        <v>3</v>
      </c>
      <c r="M35" s="26">
        <f>B35+E35</f>
        <v>14</v>
      </c>
      <c r="N35" s="26">
        <f>C35+F35+I35</f>
        <v>2</v>
      </c>
      <c r="O35" s="26"/>
      <c r="P35" s="49" t="str">
        <f>AE19</f>
        <v>Eric Micallef</v>
      </c>
      <c r="Q35" s="39">
        <v>7.0</v>
      </c>
      <c r="R35" s="50">
        <f>IF(Q35&gt;Q33,1,0)</f>
        <v>1</v>
      </c>
      <c r="S35" s="51"/>
      <c r="T35" s="39">
        <v>6.0</v>
      </c>
      <c r="U35" s="50">
        <f>IF(T35&gt;T33,1,0)</f>
        <v>0</v>
      </c>
      <c r="V35" s="51"/>
      <c r="W35" s="39">
        <v>5.0</v>
      </c>
      <c r="X35" s="26">
        <f>IF(W35&gt;W33,1,0)</f>
        <v>0</v>
      </c>
      <c r="Y35" s="26">
        <f>IF(Q35="",0,1)</f>
        <v>1</v>
      </c>
      <c r="Z35" s="26">
        <f>IF(R35+U35=2,3,IF(R35+U35=1,1,0))</f>
        <v>1</v>
      </c>
      <c r="AA35" s="26">
        <f>IF(Z35=3,3,IF(X35+Z35=2,2,IF(Z35=1,1,0)))</f>
        <v>1</v>
      </c>
      <c r="AB35" s="26">
        <f>Q35+T35</f>
        <v>13</v>
      </c>
      <c r="AC35" s="26">
        <f>R35+U35+X35</f>
        <v>1</v>
      </c>
      <c r="AD35" s="26"/>
      <c r="AE35" s="26"/>
      <c r="AF35" s="26"/>
      <c r="AG35" s="26"/>
      <c r="AH35" s="26"/>
      <c r="AI35" s="26"/>
      <c r="AJ35" s="26"/>
      <c r="AK35" s="26"/>
      <c r="AL35" s="26"/>
    </row>
    <row r="36" ht="15.0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33"/>
      <c r="AI36" s="26"/>
      <c r="AJ36" s="26"/>
      <c r="AK36" s="26"/>
      <c r="AL36" s="26"/>
    </row>
    <row r="37" ht="15.0" customHeight="1">
      <c r="A37" s="38" t="str">
        <f>AE15</f>
        <v>Gabriel Pace</v>
      </c>
      <c r="B37" s="39">
        <v>3.0</v>
      </c>
      <c r="C37" s="40">
        <f>IF(B37&gt;B39,1,0)</f>
        <v>0</v>
      </c>
      <c r="D37" s="41"/>
      <c r="E37" s="39">
        <v>6.0</v>
      </c>
      <c r="F37" s="40">
        <f>IF(E37&gt;E39,1,0)</f>
        <v>1</v>
      </c>
      <c r="G37" s="41"/>
      <c r="H37" s="39">
        <v>4.0</v>
      </c>
      <c r="I37" s="26">
        <f>IF(H37&gt;H39,1,0)</f>
        <v>0</v>
      </c>
      <c r="J37" s="26">
        <f>IF(B37="",0,1)</f>
        <v>1</v>
      </c>
      <c r="K37" s="26">
        <f>IF(C37+F37=2,3,IF(C37+F37=1,1,0))</f>
        <v>1</v>
      </c>
      <c r="L37" s="26">
        <f>IF(K37=3,3,IF(I37+K37=2,2,IF(K37=1,1,0)))</f>
        <v>1</v>
      </c>
      <c r="M37" s="26">
        <f>B37+E37</f>
        <v>9</v>
      </c>
      <c r="N37" s="26">
        <f>C37+F37+I37</f>
        <v>1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ht="15.0" customHeight="1">
      <c r="A38" s="46" t="s">
        <v>71</v>
      </c>
      <c r="H38" s="47"/>
      <c r="I38" s="48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56"/>
      <c r="AK38" s="26"/>
      <c r="AL38" s="26"/>
    </row>
    <row r="39" ht="15.0" customHeight="1">
      <c r="A39" s="49" t="str">
        <f>AE17</f>
        <v>Chi Chi Canonce</v>
      </c>
      <c r="B39" s="39">
        <v>6.0</v>
      </c>
      <c r="C39" s="50">
        <f>IF(B39&gt;B37,1,0)</f>
        <v>1</v>
      </c>
      <c r="D39" s="51"/>
      <c r="E39" s="39">
        <v>2.0</v>
      </c>
      <c r="F39" s="50">
        <f>IF(E39&gt;E37,1,0)</f>
        <v>0</v>
      </c>
      <c r="G39" s="51"/>
      <c r="H39" s="39">
        <v>10.0</v>
      </c>
      <c r="I39" s="26">
        <f>IF(H39&gt;H37,1,0)</f>
        <v>1</v>
      </c>
      <c r="J39" s="26">
        <f>IF(B39="",0,1)</f>
        <v>1</v>
      </c>
      <c r="K39" s="26">
        <f>IF(C39+F39=2,3,IF(C39+F39=1,1,0))</f>
        <v>1</v>
      </c>
      <c r="L39" s="26">
        <f>IF(K39=3,3,IF(I39+K39=2,2,IF(K39=1,1,0)))</f>
        <v>2</v>
      </c>
      <c r="M39" s="26">
        <f>B39+E39</f>
        <v>8</v>
      </c>
      <c r="N39" s="26">
        <f>C39+F39+I39</f>
        <v>2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ht="15.0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ht="15.0" customHeight="1">
      <c r="A41" s="80" t="s">
        <v>80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5"/>
      <c r="AJ41" s="26"/>
      <c r="AK41" s="26"/>
      <c r="AL41" s="26"/>
    </row>
    <row r="42" ht="15.0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ht="15.75" customHeight="1">
      <c r="A43" s="81" t="s">
        <v>51</v>
      </c>
      <c r="B43" s="82" t="s">
        <v>52</v>
      </c>
      <c r="C43" s="29"/>
      <c r="D43" s="29"/>
      <c r="E43" s="30"/>
      <c r="F43" s="62"/>
      <c r="G43" s="61"/>
      <c r="H43" s="81" t="s">
        <v>53</v>
      </c>
      <c r="I43" s="26"/>
      <c r="J43" s="26"/>
      <c r="K43" s="26"/>
      <c r="L43" s="26"/>
      <c r="M43" s="33"/>
      <c r="N43" s="33"/>
      <c r="O43" s="33"/>
      <c r="P43" s="81" t="s">
        <v>51</v>
      </c>
      <c r="Q43" s="82" t="s">
        <v>52</v>
      </c>
      <c r="R43" s="29"/>
      <c r="S43" s="29"/>
      <c r="T43" s="30"/>
      <c r="U43" s="62"/>
      <c r="V43" s="61"/>
      <c r="W43" s="81" t="s">
        <v>53</v>
      </c>
      <c r="X43" s="26"/>
      <c r="Y43" s="33"/>
      <c r="Z43" s="33"/>
      <c r="AA43" s="33"/>
      <c r="AB43" s="33"/>
      <c r="AC43" s="33"/>
      <c r="AD43" s="33"/>
      <c r="AE43" s="81" t="s">
        <v>54</v>
      </c>
      <c r="AF43" s="81" t="s">
        <v>55</v>
      </c>
      <c r="AG43" s="81" t="s">
        <v>56</v>
      </c>
      <c r="AH43" s="81" t="s">
        <v>57</v>
      </c>
      <c r="AI43" s="81" t="s">
        <v>58</v>
      </c>
      <c r="AJ43" s="83"/>
      <c r="AK43" s="83"/>
      <c r="AL43" s="26"/>
    </row>
    <row r="44" ht="15.75" hidden="1" customHeight="1">
      <c r="A44" s="26"/>
      <c r="B44" s="34" t="s">
        <v>59</v>
      </c>
      <c r="C44" s="34" t="s">
        <v>60</v>
      </c>
      <c r="D44" s="34"/>
      <c r="E44" s="34" t="s">
        <v>59</v>
      </c>
      <c r="F44" s="34" t="s">
        <v>61</v>
      </c>
      <c r="G44" s="34"/>
      <c r="H44" s="34" t="s">
        <v>59</v>
      </c>
      <c r="I44" s="34" t="s">
        <v>62</v>
      </c>
      <c r="J44" s="34" t="s">
        <v>63</v>
      </c>
      <c r="K44" s="34" t="s">
        <v>64</v>
      </c>
      <c r="L44" s="34" t="s">
        <v>65</v>
      </c>
      <c r="M44" s="34" t="s">
        <v>66</v>
      </c>
      <c r="N44" s="34" t="s">
        <v>67</v>
      </c>
      <c r="O44" s="26"/>
      <c r="P44" s="26"/>
      <c r="Q44" s="34" t="s">
        <v>59</v>
      </c>
      <c r="R44" s="34" t="s">
        <v>60</v>
      </c>
      <c r="S44" s="34"/>
      <c r="T44" s="34" t="s">
        <v>59</v>
      </c>
      <c r="U44" s="34" t="s">
        <v>61</v>
      </c>
      <c r="V44" s="34"/>
      <c r="W44" s="34" t="s">
        <v>59</v>
      </c>
      <c r="X44" s="34" t="s">
        <v>62</v>
      </c>
      <c r="Y44" s="34" t="s">
        <v>63</v>
      </c>
      <c r="Z44" s="34" t="s">
        <v>64</v>
      </c>
      <c r="AA44" s="34" t="s">
        <v>65</v>
      </c>
      <c r="AB44" s="34" t="s">
        <v>66</v>
      </c>
      <c r="AC44" s="34" t="s">
        <v>67</v>
      </c>
      <c r="AD44" s="26"/>
      <c r="AE44" s="33"/>
      <c r="AF44" s="33"/>
      <c r="AG44" s="33"/>
      <c r="AH44" s="33"/>
      <c r="AI44" s="33"/>
      <c r="AJ44" s="34" t="s">
        <v>68</v>
      </c>
      <c r="AK44" s="36" t="s">
        <v>69</v>
      </c>
      <c r="AL44" s="37" t="s">
        <v>70</v>
      </c>
    </row>
    <row r="45" ht="15.0" customHeight="1">
      <c r="A45" s="38" t="str">
        <f>AE45</f>
        <v>Roderick Spiteri</v>
      </c>
      <c r="B45" s="39">
        <v>1.0</v>
      </c>
      <c r="C45" s="40">
        <f>IF(B45&gt;B47,1,0)</f>
        <v>0</v>
      </c>
      <c r="D45" s="41"/>
      <c r="E45" s="39">
        <v>3.0</v>
      </c>
      <c r="F45" s="40">
        <f>IF(E45&gt;E47,1,0)</f>
        <v>0</v>
      </c>
      <c r="G45" s="41"/>
      <c r="H45" s="42"/>
      <c r="I45" s="26">
        <f>IF(H45&gt;H47,1,0)</f>
        <v>0</v>
      </c>
      <c r="J45" s="26">
        <f>IF(B45="",0,1)</f>
        <v>1</v>
      </c>
      <c r="K45" s="26">
        <f>IF(C45+F45=2,3,IF(C45+F45=1,1,0))</f>
        <v>0</v>
      </c>
      <c r="L45" s="26">
        <f>IF(K45=3,3,IF(I45+K45=2,2,IF(K45=1,1,0)))</f>
        <v>0</v>
      </c>
      <c r="M45" s="26">
        <f>B45+E45</f>
        <v>4</v>
      </c>
      <c r="N45" s="26">
        <f>C45+F45+I45</f>
        <v>0</v>
      </c>
      <c r="O45" s="26"/>
      <c r="P45" s="38" t="str">
        <f>AE45</f>
        <v>Roderick Spiteri</v>
      </c>
      <c r="Q45" s="39">
        <v>2.0</v>
      </c>
      <c r="R45" s="40">
        <f>IF(Q45&gt;Q47,1,0)</f>
        <v>0</v>
      </c>
      <c r="S45" s="41"/>
      <c r="T45" s="39">
        <v>6.0</v>
      </c>
      <c r="U45" s="40">
        <f>IF(T45&gt;T47,1,0)</f>
        <v>1</v>
      </c>
      <c r="V45" s="41"/>
      <c r="W45" s="39">
        <v>8.0</v>
      </c>
      <c r="X45" s="26">
        <f>IF(W45&gt;W47,1,0)</f>
        <v>0</v>
      </c>
      <c r="Y45" s="26">
        <f>IF(Q45="",0,1)</f>
        <v>1</v>
      </c>
      <c r="Z45" s="26">
        <f>IF(R45+U45=2,3,IF(R45+U45=1,1,0))</f>
        <v>1</v>
      </c>
      <c r="AA45" s="26">
        <f>IF(Z45=3,3,IF(X45+Z45=2,2,IF(Z45=1,1,0)))</f>
        <v>1</v>
      </c>
      <c r="AB45" s="26">
        <f>Q45+T45</f>
        <v>8</v>
      </c>
      <c r="AC45" s="26">
        <f>R45+U45+X45</f>
        <v>1</v>
      </c>
      <c r="AD45" s="26"/>
      <c r="AE45" s="84" t="str">
        <f>'Players - Men'!E14</f>
        <v>Roderick Spiteri</v>
      </c>
      <c r="AF45" s="44">
        <f>J45+Y45+J49+Y49+J53</f>
        <v>5</v>
      </c>
      <c r="AG45" s="44">
        <f t="shared" ref="AG45:AI45" si="7">L45+AA45+L49+AA49+L53</f>
        <v>1</v>
      </c>
      <c r="AH45" s="44">
        <f t="shared" si="7"/>
        <v>25</v>
      </c>
      <c r="AI45" s="45">
        <f t="shared" si="7"/>
        <v>1</v>
      </c>
      <c r="AJ45" s="26">
        <f>MAX(AG45:AG55)</f>
        <v>13</v>
      </c>
      <c r="AK45" s="26">
        <f>SUM(AF45:AF55)</f>
        <v>30</v>
      </c>
      <c r="AL45" s="26" t="str">
        <f>IF(AG45=$AJ$45,AE45,IF(AG47=$AJ$45,AE47,IF(AG49=$AJ$45,AE49,IF(AG51=$AJ$45,AE51,IF(AG53=$AJ$45,AE53,IF(AG55=$AJ$45,AE55,""))))))</f>
        <v>Daniel Farrugia</v>
      </c>
    </row>
    <row r="46" ht="15.0" customHeight="1">
      <c r="A46" s="46" t="s">
        <v>71</v>
      </c>
      <c r="H46" s="47"/>
      <c r="I46" s="48"/>
      <c r="J46" s="26"/>
      <c r="K46" s="26"/>
      <c r="L46" s="26"/>
      <c r="M46" s="26"/>
      <c r="N46" s="26"/>
      <c r="O46" s="26"/>
      <c r="P46" s="46" t="s">
        <v>71</v>
      </c>
      <c r="W46" s="47"/>
      <c r="X46" s="48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33"/>
      <c r="AL46" s="26"/>
    </row>
    <row r="47" ht="15.0" customHeight="1">
      <c r="A47" s="49" t="str">
        <f>AE47</f>
        <v>Daniel Farrugia</v>
      </c>
      <c r="B47" s="39">
        <v>6.0</v>
      </c>
      <c r="C47" s="50">
        <f>IF(B47&gt;B45,1,0)</f>
        <v>1</v>
      </c>
      <c r="D47" s="51"/>
      <c r="E47" s="39">
        <v>6.0</v>
      </c>
      <c r="F47" s="50">
        <f>IF(E47&gt;E45,1,0)</f>
        <v>1</v>
      </c>
      <c r="G47" s="51"/>
      <c r="H47" s="42"/>
      <c r="I47" s="26">
        <f>IF(H47&gt;H45,1,0)</f>
        <v>0</v>
      </c>
      <c r="J47" s="26">
        <f>IF(B47="",0,1)</f>
        <v>1</v>
      </c>
      <c r="K47" s="26">
        <f>IF(C47+F47=2,3,IF(C47+F47=1,1,0))</f>
        <v>3</v>
      </c>
      <c r="L47" s="26">
        <f>IF(K47=3,3,IF(I47+K47=2,2,IF(K47=1,1,0)))</f>
        <v>3</v>
      </c>
      <c r="M47" s="26">
        <f>B47+E47</f>
        <v>12</v>
      </c>
      <c r="N47" s="26">
        <f>C47+F47+I47</f>
        <v>2</v>
      </c>
      <c r="O47" s="26"/>
      <c r="P47" s="49" t="str">
        <f>AE49</f>
        <v>Georges Meekers</v>
      </c>
      <c r="Q47" s="39">
        <v>6.0</v>
      </c>
      <c r="R47" s="50">
        <f>IF(Q47&gt;Q45,1,0)</f>
        <v>1</v>
      </c>
      <c r="S47" s="51"/>
      <c r="T47" s="39">
        <v>2.0</v>
      </c>
      <c r="U47" s="50">
        <f>IF(T47&gt;T45,1,0)</f>
        <v>0</v>
      </c>
      <c r="V47" s="51"/>
      <c r="W47" s="39">
        <v>10.0</v>
      </c>
      <c r="X47" s="26">
        <f>IF(W47&gt;W45,1,0)</f>
        <v>1</v>
      </c>
      <c r="Y47" s="26">
        <f>IF(Q47="",0,1)</f>
        <v>1</v>
      </c>
      <c r="Z47" s="26">
        <f>IF(R47+U47=2,3,IF(R47+U47=1,1,0))</f>
        <v>1</v>
      </c>
      <c r="AA47" s="26">
        <f>IF(Z47=3,3,IF(X47+Z47=2,2,IF(Z47=1,1,0)))</f>
        <v>2</v>
      </c>
      <c r="AB47" s="26">
        <f>Q47+T47</f>
        <v>8</v>
      </c>
      <c r="AC47" s="26">
        <f>R47+U47+X47</f>
        <v>2</v>
      </c>
      <c r="AD47" s="26"/>
      <c r="AE47" s="84" t="str">
        <f>'Players - Men'!E15</f>
        <v>Daniel Farrugia</v>
      </c>
      <c r="AF47" s="44">
        <f>J47+Y61+J61+Y57+J57</f>
        <v>5</v>
      </c>
      <c r="AG47" s="44">
        <f t="shared" ref="AG47:AI47" si="8">L47+AA61+L61+AA57+L57</f>
        <v>13</v>
      </c>
      <c r="AH47" s="44">
        <f t="shared" si="8"/>
        <v>57</v>
      </c>
      <c r="AI47" s="45">
        <f t="shared" si="8"/>
        <v>10</v>
      </c>
      <c r="AJ47" s="33"/>
      <c r="AK47" s="33"/>
      <c r="AL47" s="26"/>
    </row>
    <row r="48" ht="15.0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33"/>
      <c r="AG48" s="33"/>
      <c r="AH48" s="33"/>
      <c r="AI48" s="33"/>
      <c r="AJ48" s="33"/>
      <c r="AK48" s="33"/>
      <c r="AL48" s="26"/>
    </row>
    <row r="49" ht="15.0" customHeight="1">
      <c r="A49" s="38" t="str">
        <f>AE45</f>
        <v>Roderick Spiteri</v>
      </c>
      <c r="B49" s="39">
        <v>3.0</v>
      </c>
      <c r="C49" s="40">
        <f>IF(B49&gt;B51,1,0)</f>
        <v>0</v>
      </c>
      <c r="D49" s="41"/>
      <c r="E49" s="39">
        <v>5.0</v>
      </c>
      <c r="F49" s="40">
        <f>IF(E49&gt;E51,1,0)</f>
        <v>0</v>
      </c>
      <c r="G49" s="41"/>
      <c r="H49" s="42"/>
      <c r="I49" s="26">
        <f>IF(H49&gt;H51,1,0)</f>
        <v>0</v>
      </c>
      <c r="J49" s="26">
        <f>IF(B49="",0,1)</f>
        <v>1</v>
      </c>
      <c r="K49" s="26">
        <f>IF(C49+F49=2,3,IF(C49+F49=1,1,0))</f>
        <v>0</v>
      </c>
      <c r="L49" s="26">
        <f>IF(K49=3,3,IF(I49+K49=2,2,IF(K49=1,1,0)))</f>
        <v>0</v>
      </c>
      <c r="M49" s="26">
        <f>B49+E49</f>
        <v>8</v>
      </c>
      <c r="N49" s="26">
        <f>C49+F49+I49</f>
        <v>0</v>
      </c>
      <c r="O49" s="26"/>
      <c r="P49" s="38" t="str">
        <f>AE45</f>
        <v>Roderick Spiteri</v>
      </c>
      <c r="Q49" s="39">
        <v>1.0</v>
      </c>
      <c r="R49" s="40">
        <f>IF(Q49&gt;Q51,1,0)</f>
        <v>0</v>
      </c>
      <c r="S49" s="41"/>
      <c r="T49" s="39">
        <v>2.0</v>
      </c>
      <c r="U49" s="40">
        <f>IF(T49&gt;T51,1,0)</f>
        <v>0</v>
      </c>
      <c r="V49" s="41"/>
      <c r="W49" s="42"/>
      <c r="X49" s="26">
        <f>IF(W49&gt;W51,1,0)</f>
        <v>0</v>
      </c>
      <c r="Y49" s="26">
        <f>IF(Q49="",0,1)</f>
        <v>1</v>
      </c>
      <c r="Z49" s="26">
        <f>IF(R49+U49=2,3,IF(R49+U49=1,1,0))</f>
        <v>0</v>
      </c>
      <c r="AA49" s="26">
        <f>IF(Z49=3,3,IF(X49+Z49=2,2,IF(Z49=1,1,0)))</f>
        <v>0</v>
      </c>
      <c r="AB49" s="26">
        <f>Q49+T49</f>
        <v>3</v>
      </c>
      <c r="AC49" s="26">
        <f>R49+U49+X49</f>
        <v>0</v>
      </c>
      <c r="AD49" s="26"/>
      <c r="AE49" s="84" t="str">
        <f>'Players - Men'!E16</f>
        <v>Georges Meekers</v>
      </c>
      <c r="AF49" s="44">
        <f>Y65+Y47+Y69+J69+J59</f>
        <v>5</v>
      </c>
      <c r="AG49" s="44">
        <f t="shared" ref="AG49:AI49" si="9">AA65+AA47+AA69+L69+L59</f>
        <v>2</v>
      </c>
      <c r="AH49" s="44">
        <f t="shared" si="9"/>
        <v>28</v>
      </c>
      <c r="AI49" s="45">
        <f t="shared" si="9"/>
        <v>2</v>
      </c>
      <c r="AJ49" s="33"/>
      <c r="AK49" s="33"/>
      <c r="AL49" s="26"/>
    </row>
    <row r="50" ht="15.0" customHeight="1">
      <c r="A50" s="46" t="s">
        <v>71</v>
      </c>
      <c r="H50" s="47"/>
      <c r="I50" s="48"/>
      <c r="J50" s="26"/>
      <c r="K50" s="26"/>
      <c r="L50" s="26"/>
      <c r="M50" s="26"/>
      <c r="N50" s="26"/>
      <c r="O50" s="26"/>
      <c r="P50" s="46" t="s">
        <v>71</v>
      </c>
      <c r="W50" s="47"/>
      <c r="X50" s="48"/>
      <c r="Y50" s="26"/>
      <c r="Z50" s="26"/>
      <c r="AA50" s="26"/>
      <c r="AB50" s="26"/>
      <c r="AC50" s="26"/>
      <c r="AD50" s="26"/>
      <c r="AE50" s="26"/>
      <c r="AF50" s="33"/>
      <c r="AG50" s="33"/>
      <c r="AH50" s="33"/>
      <c r="AI50" s="33"/>
      <c r="AJ50" s="33"/>
      <c r="AK50" s="33"/>
      <c r="AL50" s="26"/>
    </row>
    <row r="51" ht="15.0" customHeight="1">
      <c r="A51" s="49" t="str">
        <f>AE51</f>
        <v>Jay Boy Lastimosa</v>
      </c>
      <c r="B51" s="39">
        <v>6.0</v>
      </c>
      <c r="C51" s="50">
        <f>IF(B51&gt;B49,1,0)</f>
        <v>1</v>
      </c>
      <c r="D51" s="51"/>
      <c r="E51" s="39">
        <v>7.0</v>
      </c>
      <c r="F51" s="50">
        <f>IF(E51&gt;E49,1,0)</f>
        <v>1</v>
      </c>
      <c r="G51" s="51"/>
      <c r="H51" s="42"/>
      <c r="I51" s="26">
        <f>IF(H51&gt;H49,1,0)</f>
        <v>0</v>
      </c>
      <c r="J51" s="26">
        <f>IF(B51="",0,1)</f>
        <v>1</v>
      </c>
      <c r="K51" s="26">
        <f>IF(C51+F51=2,3,IF(C51+F51=1,1,0))</f>
        <v>3</v>
      </c>
      <c r="L51" s="26">
        <f>IF(K51=3,3,IF(I51+K51=2,2,IF(K51=1,1,0)))</f>
        <v>3</v>
      </c>
      <c r="M51" s="26">
        <f>B51+E51</f>
        <v>13</v>
      </c>
      <c r="N51" s="26">
        <f>C51+F51+I51</f>
        <v>2</v>
      </c>
      <c r="O51" s="26"/>
      <c r="P51" s="49" t="str">
        <f>AE53</f>
        <v>Emman Xuereb</v>
      </c>
      <c r="Q51" s="39">
        <v>6.0</v>
      </c>
      <c r="R51" s="50">
        <f>IF(Q51&gt;Q49,1,0)</f>
        <v>1</v>
      </c>
      <c r="S51" s="51"/>
      <c r="T51" s="39">
        <v>6.0</v>
      </c>
      <c r="U51" s="50">
        <f>IF(T51&gt;T49,1,0)</f>
        <v>1</v>
      </c>
      <c r="V51" s="51"/>
      <c r="W51" s="42"/>
      <c r="X51" s="26">
        <f>IF(W51&gt;W49,1,0)</f>
        <v>0</v>
      </c>
      <c r="Y51" s="26">
        <f>IF(Q51="",0,1)</f>
        <v>1</v>
      </c>
      <c r="Z51" s="26">
        <f>IF(R51+U51=2,3,IF(R51+U51=1,1,0))</f>
        <v>3</v>
      </c>
      <c r="AA51" s="26">
        <f>IF(Z51=3,3,IF(X51+Z51=2,2,IF(Z51=1,1,0)))</f>
        <v>3</v>
      </c>
      <c r="AB51" s="26">
        <f>Q51+T51</f>
        <v>12</v>
      </c>
      <c r="AC51" s="26">
        <f>R51+U51+X51</f>
        <v>2</v>
      </c>
      <c r="AD51" s="26"/>
      <c r="AE51" s="84" t="str">
        <f>'Players - Men'!E17</f>
        <v>Jay Boy Lastimosa</v>
      </c>
      <c r="AF51" s="44">
        <f>Y67+J73+J51+Y59+J65</f>
        <v>5</v>
      </c>
      <c r="AG51" s="44">
        <f t="shared" ref="AG51:AI51" si="10">AA67+L73+L51+AA59+L65</f>
        <v>9</v>
      </c>
      <c r="AH51" s="44">
        <f t="shared" si="10"/>
        <v>52</v>
      </c>
      <c r="AI51" s="45">
        <f t="shared" si="10"/>
        <v>6</v>
      </c>
      <c r="AJ51" s="33"/>
      <c r="AK51" s="33"/>
      <c r="AL51" s="26"/>
    </row>
    <row r="52" ht="15.0" customHeight="1">
      <c r="A52" s="26"/>
      <c r="B52" s="33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33"/>
      <c r="AG52" s="33"/>
      <c r="AH52" s="33"/>
      <c r="AI52" s="33"/>
      <c r="AJ52" s="33"/>
      <c r="AK52" s="33"/>
      <c r="AL52" s="26"/>
    </row>
    <row r="53" ht="15.0" customHeight="1">
      <c r="A53" s="38" t="str">
        <f>AE45</f>
        <v>Roderick Spiteri</v>
      </c>
      <c r="B53" s="39">
        <v>1.0</v>
      </c>
      <c r="C53" s="40">
        <f>IF(B53&gt;B55,1,0)</f>
        <v>0</v>
      </c>
      <c r="D53" s="41"/>
      <c r="E53" s="39">
        <v>1.0</v>
      </c>
      <c r="F53" s="40">
        <f>IF(E53&gt;E55,1,0)</f>
        <v>0</v>
      </c>
      <c r="G53" s="41"/>
      <c r="H53" s="42"/>
      <c r="I53" s="26">
        <f>IF(H53&gt;H55,1,0)</f>
        <v>0</v>
      </c>
      <c r="J53" s="26">
        <f>IF(B53="",0,1)</f>
        <v>1</v>
      </c>
      <c r="K53" s="26">
        <f>IF(C53+F53=2,3,IF(C53+F53=1,1,0))</f>
        <v>0</v>
      </c>
      <c r="L53" s="26">
        <f>IF(K53=3,3,IF(I53+K53=2,2,IF(K53=1,1,0)))</f>
        <v>0</v>
      </c>
      <c r="M53" s="26">
        <f>B53+E53</f>
        <v>2</v>
      </c>
      <c r="N53" s="26">
        <f>C53+F53+I53</f>
        <v>0</v>
      </c>
      <c r="O53" s="26"/>
      <c r="P53" s="38" t="str">
        <f>AE53</f>
        <v>Emman Xuereb</v>
      </c>
      <c r="Q53" s="39">
        <v>6.0</v>
      </c>
      <c r="R53" s="40">
        <f>IF(Q53&gt;Q55,1,0)</f>
        <v>1</v>
      </c>
      <c r="S53" s="41"/>
      <c r="T53" s="39">
        <v>6.0</v>
      </c>
      <c r="U53" s="40">
        <f>IF(T53&gt;T55,1,0)</f>
        <v>1</v>
      </c>
      <c r="V53" s="41"/>
      <c r="W53" s="42"/>
      <c r="X53" s="26">
        <f>IF(W53&gt;W55,1,0)</f>
        <v>0</v>
      </c>
      <c r="Y53" s="26">
        <f>IF(Q53="",0,1)</f>
        <v>1</v>
      </c>
      <c r="Z53" s="26">
        <f>IF(R53+U53=2,3,IF(R53+U53=1,1,0))</f>
        <v>3</v>
      </c>
      <c r="AA53" s="26">
        <f>IF(Z53=3,3,IF(X53+Z53=2,2,IF(Z53=1,1,0)))</f>
        <v>3</v>
      </c>
      <c r="AB53" s="26">
        <f>Q53+T53</f>
        <v>12</v>
      </c>
      <c r="AC53" s="26">
        <f>R53+U53+X53</f>
        <v>2</v>
      </c>
      <c r="AD53" s="26"/>
      <c r="AE53" s="84" t="str">
        <f>'Players - Men'!E18</f>
        <v>Emman Xuereb</v>
      </c>
      <c r="AF53" s="44">
        <f>Y53+J75+J63+Y51+J71</f>
        <v>5</v>
      </c>
      <c r="AG53" s="44">
        <f t="shared" ref="AG53:AI53" si="11">AA53+L75+L63+AA51+L71</f>
        <v>13</v>
      </c>
      <c r="AH53" s="44">
        <f t="shared" si="11"/>
        <v>56</v>
      </c>
      <c r="AI53" s="45">
        <f t="shared" si="11"/>
        <v>9</v>
      </c>
      <c r="AJ53" s="33"/>
      <c r="AK53" s="33"/>
      <c r="AL53" s="26"/>
    </row>
    <row r="54" ht="15.0" customHeight="1">
      <c r="A54" s="46" t="s">
        <v>71</v>
      </c>
      <c r="H54" s="47"/>
      <c r="I54" s="48"/>
      <c r="J54" s="26"/>
      <c r="K54" s="26"/>
      <c r="L54" s="26"/>
      <c r="M54" s="26"/>
      <c r="N54" s="26"/>
      <c r="O54" s="26"/>
      <c r="P54" s="46" t="s">
        <v>71</v>
      </c>
      <c r="W54" s="47"/>
      <c r="X54" s="48"/>
      <c r="Y54" s="26"/>
      <c r="Z54" s="26"/>
      <c r="AA54" s="26"/>
      <c r="AB54" s="26"/>
      <c r="AC54" s="26"/>
      <c r="AD54" s="26"/>
      <c r="AE54" s="26"/>
      <c r="AF54" s="33"/>
      <c r="AG54" s="33"/>
      <c r="AH54" s="33"/>
      <c r="AI54" s="33"/>
      <c r="AJ54" s="33"/>
      <c r="AK54" s="33"/>
      <c r="AL54" s="26"/>
    </row>
    <row r="55" ht="15.0" customHeight="1">
      <c r="A55" s="49" t="str">
        <f>AE55</f>
        <v>Cyril Lastimosa</v>
      </c>
      <c r="B55" s="39">
        <v>6.0</v>
      </c>
      <c r="C55" s="50">
        <f>IF(B55&gt;B53,1,0)</f>
        <v>1</v>
      </c>
      <c r="D55" s="51"/>
      <c r="E55" s="39">
        <v>6.0</v>
      </c>
      <c r="F55" s="50">
        <f>IF(E55&gt;E53,1,0)</f>
        <v>1</v>
      </c>
      <c r="G55" s="51"/>
      <c r="H55" s="42"/>
      <c r="I55" s="26">
        <f>IF(H55&gt;H53,1,0)</f>
        <v>0</v>
      </c>
      <c r="J55" s="26">
        <f>IF(B55="",0,1)</f>
        <v>1</v>
      </c>
      <c r="K55" s="26">
        <f>IF(C55+F55=2,3,IF(C55+F55=1,1,0))</f>
        <v>3</v>
      </c>
      <c r="L55" s="26">
        <f>IF(K55=3,3,IF(I55+K55=2,2,IF(K55=1,1,0)))</f>
        <v>3</v>
      </c>
      <c r="M55" s="26">
        <f>B55+E55</f>
        <v>12</v>
      </c>
      <c r="N55" s="26">
        <f>C55+F55+I55</f>
        <v>2</v>
      </c>
      <c r="O55" s="26"/>
      <c r="P55" s="49" t="str">
        <f>AE55</f>
        <v>Cyril Lastimosa</v>
      </c>
      <c r="Q55" s="39">
        <v>3.0</v>
      </c>
      <c r="R55" s="50">
        <f>IF(Q55&gt;Q53,1,0)</f>
        <v>0</v>
      </c>
      <c r="S55" s="51"/>
      <c r="T55" s="39">
        <v>2.0</v>
      </c>
      <c r="U55" s="50">
        <f>IF(T55&gt;T53,1,0)</f>
        <v>0</v>
      </c>
      <c r="V55" s="51"/>
      <c r="W55" s="42"/>
      <c r="X55" s="26">
        <f>IF(W55&gt;W53,1,0)</f>
        <v>0</v>
      </c>
      <c r="Y55" s="26">
        <f>IF(Q55="",0,1)</f>
        <v>1</v>
      </c>
      <c r="Z55" s="26">
        <f>IF(R55+U55=2,3,IF(R55+U55=1,1,0))</f>
        <v>0</v>
      </c>
      <c r="AA55" s="26">
        <f>IF(Z55=3,3,IF(X55+Z55=2,2,IF(Z55=1,1,0)))</f>
        <v>0</v>
      </c>
      <c r="AB55" s="26">
        <f>Q55+T55</f>
        <v>5</v>
      </c>
      <c r="AC55" s="26">
        <f>R55+U55+X55</f>
        <v>0</v>
      </c>
      <c r="AD55" s="26"/>
      <c r="AE55" s="84" t="str">
        <f>'Players - Men'!E19</f>
        <v>Cyril Lastimosa</v>
      </c>
      <c r="AF55" s="44">
        <f>Y55+Y63+Y71+J55+J67</f>
        <v>5</v>
      </c>
      <c r="AG55" s="44">
        <f t="shared" ref="AG55:AI55" si="12">AA55+AA63+AA71+L55+L67</f>
        <v>7</v>
      </c>
      <c r="AH55" s="44">
        <f t="shared" si="12"/>
        <v>48</v>
      </c>
      <c r="AI55" s="45">
        <f t="shared" si="12"/>
        <v>5</v>
      </c>
      <c r="AJ55" s="26"/>
      <c r="AK55" s="33"/>
      <c r="AL55" s="26"/>
    </row>
    <row r="56" ht="15.0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ht="15.0" customHeight="1">
      <c r="A57" s="38" t="str">
        <f>AE47</f>
        <v>Daniel Farrugia</v>
      </c>
      <c r="B57" s="39">
        <v>6.0</v>
      </c>
      <c r="C57" s="40">
        <f>IF(B57&gt;B59,1,0)</f>
        <v>1</v>
      </c>
      <c r="D57" s="41"/>
      <c r="E57" s="39">
        <v>6.0</v>
      </c>
      <c r="F57" s="40">
        <f>IF(E57&gt;E59,1,0)</f>
        <v>1</v>
      </c>
      <c r="G57" s="41"/>
      <c r="H57" s="42"/>
      <c r="I57" s="26">
        <f>IF(H57&gt;H59,1,0)</f>
        <v>0</v>
      </c>
      <c r="J57" s="26">
        <f>IF(B57="",0,1)</f>
        <v>1</v>
      </c>
      <c r="K57" s="26">
        <f>IF(C57+F57=2,3,IF(C57+F57=1,1,0))</f>
        <v>3</v>
      </c>
      <c r="L57" s="26">
        <f>IF(K57=3,3,IF(I57+K57=2,2,IF(K57=1,1,0)))</f>
        <v>3</v>
      </c>
      <c r="M57" s="26">
        <f>B57+E57</f>
        <v>12</v>
      </c>
      <c r="N57" s="26">
        <f>C57+F57+I57</f>
        <v>2</v>
      </c>
      <c r="O57" s="26"/>
      <c r="P57" s="38" t="str">
        <f>AE47</f>
        <v>Daniel Farrugia</v>
      </c>
      <c r="Q57" s="39">
        <v>6.0</v>
      </c>
      <c r="R57" s="40">
        <f>IF(Q57&gt;Q59,1,0)</f>
        <v>1</v>
      </c>
      <c r="S57" s="41"/>
      <c r="T57" s="39">
        <v>6.0</v>
      </c>
      <c r="U57" s="40">
        <f>IF(T57&gt;T59,1,0)</f>
        <v>1</v>
      </c>
      <c r="V57" s="41"/>
      <c r="W57" s="42"/>
      <c r="X57" s="26">
        <f>IF(W57&gt;W59,1,0)</f>
        <v>0</v>
      </c>
      <c r="Y57" s="26">
        <f>IF(Q57="",0,1)</f>
        <v>1</v>
      </c>
      <c r="Z57" s="26">
        <f>IF(R57+U57=2,3,IF(R57+U57=1,1,0))</f>
        <v>3</v>
      </c>
      <c r="AA57" s="26">
        <f>IF(Z57=3,3,IF(X57+Z57=2,2,IF(Z57=1,1,0)))</f>
        <v>3</v>
      </c>
      <c r="AB57" s="26">
        <f>Q57+T57</f>
        <v>12</v>
      </c>
      <c r="AC57" s="26">
        <f>R57+U57+X57</f>
        <v>2</v>
      </c>
      <c r="AD57" s="26"/>
      <c r="AE57" s="82" t="s">
        <v>75</v>
      </c>
      <c r="AF57" s="29"/>
      <c r="AG57" s="29"/>
      <c r="AH57" s="29"/>
      <c r="AI57" s="30"/>
      <c r="AJ57" s="26"/>
      <c r="AK57" s="26"/>
      <c r="AL57" s="26"/>
    </row>
    <row r="58" ht="15.0" customHeight="1">
      <c r="A58" s="46" t="s">
        <v>71</v>
      </c>
      <c r="H58" s="47"/>
      <c r="I58" s="48"/>
      <c r="J58" s="26"/>
      <c r="K58" s="26"/>
      <c r="L58" s="26"/>
      <c r="M58" s="26"/>
      <c r="N58" s="26"/>
      <c r="O58" s="26"/>
      <c r="P58" s="46" t="s">
        <v>71</v>
      </c>
      <c r="W58" s="47"/>
      <c r="X58" s="48"/>
      <c r="Y58" s="26"/>
      <c r="Z58" s="26"/>
      <c r="AA58" s="26"/>
      <c r="AB58" s="26"/>
      <c r="AC58" s="26"/>
      <c r="AD58" s="26"/>
      <c r="AE58" s="53" t="s">
        <v>20</v>
      </c>
      <c r="AF58" s="29"/>
      <c r="AG58" s="29"/>
      <c r="AH58" s="29"/>
      <c r="AI58" s="30"/>
      <c r="AJ58" s="26"/>
      <c r="AK58" s="26"/>
      <c r="AL58" s="26"/>
    </row>
    <row r="59" ht="15.0" customHeight="1">
      <c r="A59" s="49" t="str">
        <f>AE49</f>
        <v>Georges Meekers</v>
      </c>
      <c r="B59" s="39">
        <v>2.0</v>
      </c>
      <c r="C59" s="50">
        <f>IF(B59&gt;B57,1,0)</f>
        <v>0</v>
      </c>
      <c r="D59" s="51"/>
      <c r="E59" s="39">
        <v>2.0</v>
      </c>
      <c r="F59" s="50">
        <f>IF(E59&gt;E57,1,0)</f>
        <v>0</v>
      </c>
      <c r="G59" s="51"/>
      <c r="H59" s="42"/>
      <c r="I59" s="26">
        <f>IF(H59&gt;H57,1,0)</f>
        <v>0</v>
      </c>
      <c r="J59" s="26">
        <f>IF(B59="",0,1)</f>
        <v>1</v>
      </c>
      <c r="K59" s="26">
        <f>IF(C59+F59=2,3,IF(C59+F59=1,1,0))</f>
        <v>0</v>
      </c>
      <c r="L59" s="26">
        <f>IF(K59=3,3,IF(I59+K59=2,2,IF(K59=1,1,0)))</f>
        <v>0</v>
      </c>
      <c r="M59" s="26">
        <f>B59+E59</f>
        <v>4</v>
      </c>
      <c r="N59" s="26">
        <f>C59+F59+I59</f>
        <v>0</v>
      </c>
      <c r="O59" s="26"/>
      <c r="P59" s="49" t="str">
        <f>AE51</f>
        <v>Jay Boy Lastimosa</v>
      </c>
      <c r="Q59" s="39">
        <v>4.0</v>
      </c>
      <c r="R59" s="50">
        <f>IF(Q59&gt;Q57,1,0)</f>
        <v>0</v>
      </c>
      <c r="S59" s="51"/>
      <c r="T59" s="39">
        <v>3.0</v>
      </c>
      <c r="U59" s="50">
        <f>IF(T59&gt;T57,1,0)</f>
        <v>0</v>
      </c>
      <c r="V59" s="51"/>
      <c r="W59" s="42"/>
      <c r="X59" s="26">
        <f>IF(W59&gt;W57,1,0)</f>
        <v>0</v>
      </c>
      <c r="Y59" s="26">
        <f>IF(Q59="",0,1)</f>
        <v>1</v>
      </c>
      <c r="Z59" s="26">
        <f>IF(R59+U59=2,3,IF(R59+U59=1,1,0))</f>
        <v>0</v>
      </c>
      <c r="AA59" s="26">
        <f>IF(Z59=3,3,IF(X59+Z59=2,2,IF(Z59=1,1,0)))</f>
        <v>0</v>
      </c>
      <c r="AB59" s="26">
        <f>Q59+T59</f>
        <v>7</v>
      </c>
      <c r="AC59" s="26">
        <f>R59+U59+X59</f>
        <v>0</v>
      </c>
      <c r="AD59" s="26"/>
      <c r="AE59" s="26"/>
      <c r="AF59" s="26"/>
      <c r="AG59" s="26"/>
      <c r="AH59" s="26"/>
      <c r="AI59" s="26"/>
      <c r="AJ59" s="26"/>
      <c r="AK59" s="26"/>
      <c r="AL59" s="26"/>
    </row>
    <row r="60" ht="15.0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ht="15.0" customHeight="1">
      <c r="A61" s="38" t="str">
        <f>AE47</f>
        <v>Daniel Farrugia</v>
      </c>
      <c r="B61" s="39">
        <v>6.0</v>
      </c>
      <c r="C61" s="40">
        <f>IF(B61&gt;B63,1,0)</f>
        <v>0</v>
      </c>
      <c r="D61" s="41"/>
      <c r="E61" s="39">
        <v>6.0</v>
      </c>
      <c r="F61" s="40">
        <f>IF(E61&gt;E63,1,0)</f>
        <v>1</v>
      </c>
      <c r="G61" s="41"/>
      <c r="H61" s="39">
        <v>10.0</v>
      </c>
      <c r="I61" s="26">
        <f>IF(H61&gt;H63,1,0)</f>
        <v>1</v>
      </c>
      <c r="J61" s="26">
        <f>IF(B61="",0,1)</f>
        <v>1</v>
      </c>
      <c r="K61" s="26">
        <f>IF(C61+F61=2,3,IF(C61+F61=1,1,0))</f>
        <v>1</v>
      </c>
      <c r="L61" s="26">
        <f>IF(K61=3,3,IF(I61+K61=2,2,IF(K61=1,1,0)))</f>
        <v>2</v>
      </c>
      <c r="M61" s="26">
        <f>B61+E61</f>
        <v>12</v>
      </c>
      <c r="N61" s="26">
        <f>C61+F61+I61</f>
        <v>2</v>
      </c>
      <c r="O61" s="26"/>
      <c r="P61" s="38" t="str">
        <f>AE47</f>
        <v>Daniel Farrugia</v>
      </c>
      <c r="Q61" s="39">
        <v>3.0</v>
      </c>
      <c r="R61" s="40">
        <f>IF(Q61&gt;Q63,1,0)</f>
        <v>0</v>
      </c>
      <c r="S61" s="41"/>
      <c r="T61" s="39">
        <v>6.0</v>
      </c>
      <c r="U61" s="40">
        <f>IF(T61&gt;T63,1,0)</f>
        <v>1</v>
      </c>
      <c r="V61" s="41"/>
      <c r="W61" s="39">
        <v>10.0</v>
      </c>
      <c r="X61" s="26">
        <f>IF(W61&gt;W63,1,0)</f>
        <v>1</v>
      </c>
      <c r="Y61" s="26">
        <f>IF(Q61="",0,1)</f>
        <v>1</v>
      </c>
      <c r="Z61" s="26">
        <f>IF(R61+U61=2,3,IF(R61+U61=1,1,0))</f>
        <v>1</v>
      </c>
      <c r="AA61" s="26">
        <f>IF(Z61=3,3,IF(X61+Z61=2,2,IF(Z61=1,1,0)))</f>
        <v>2</v>
      </c>
      <c r="AB61" s="26">
        <f>Q61+T61</f>
        <v>9</v>
      </c>
      <c r="AC61" s="26">
        <f>R61+U61+X61</f>
        <v>2</v>
      </c>
      <c r="AD61" s="26"/>
      <c r="AE61" s="66" t="s">
        <v>76</v>
      </c>
      <c r="AF61" s="29"/>
      <c r="AG61" s="29"/>
      <c r="AH61" s="29"/>
      <c r="AI61" s="29"/>
      <c r="AJ61" s="29"/>
      <c r="AK61" s="29"/>
      <c r="AL61" s="67"/>
    </row>
    <row r="62" ht="15.0" customHeight="1">
      <c r="A62" s="46" t="s">
        <v>71</v>
      </c>
      <c r="H62" s="47"/>
      <c r="I62" s="48"/>
      <c r="J62" s="26"/>
      <c r="K62" s="26"/>
      <c r="L62" s="26"/>
      <c r="M62" s="26"/>
      <c r="N62" s="26"/>
      <c r="O62" s="26"/>
      <c r="P62" s="46" t="s">
        <v>71</v>
      </c>
      <c r="W62" s="47"/>
      <c r="X62" s="48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ht="15.0" customHeight="1">
      <c r="A63" s="49" t="str">
        <f>AE53</f>
        <v>Emman Xuereb</v>
      </c>
      <c r="B63" s="39">
        <v>7.0</v>
      </c>
      <c r="C63" s="50">
        <f>IF(B63&gt;B61,1,0)</f>
        <v>1</v>
      </c>
      <c r="D63" s="51"/>
      <c r="E63" s="39">
        <v>1.0</v>
      </c>
      <c r="F63" s="50">
        <f>IF(E63&gt;E61,1,0)</f>
        <v>0</v>
      </c>
      <c r="G63" s="51"/>
      <c r="H63" s="39">
        <v>3.0</v>
      </c>
      <c r="I63" s="26">
        <f>IF(H63&gt;H61,1,0)</f>
        <v>0</v>
      </c>
      <c r="J63" s="26">
        <f>IF(B63="",0,1)</f>
        <v>1</v>
      </c>
      <c r="K63" s="26">
        <f>IF(C63+F63=2,3,IF(C63+F63=1,1,0))</f>
        <v>1</v>
      </c>
      <c r="L63" s="26">
        <f>IF(K63=3,3,IF(I63+K63=2,2,IF(K63=1,1,0)))</f>
        <v>1</v>
      </c>
      <c r="M63" s="26">
        <f>B63+E63</f>
        <v>8</v>
      </c>
      <c r="N63" s="26">
        <f>C63+F63+I63</f>
        <v>1</v>
      </c>
      <c r="O63" s="26"/>
      <c r="P63" s="49" t="str">
        <f>AE55</f>
        <v>Cyril Lastimosa</v>
      </c>
      <c r="Q63" s="39">
        <v>6.0</v>
      </c>
      <c r="R63" s="50">
        <f>IF(Q63&gt;Q61,1,0)</f>
        <v>1</v>
      </c>
      <c r="S63" s="51"/>
      <c r="T63" s="39">
        <v>3.0</v>
      </c>
      <c r="U63" s="50">
        <f>IF(T63&gt;T61,1,0)</f>
        <v>0</v>
      </c>
      <c r="V63" s="51"/>
      <c r="W63" s="39">
        <v>8.0</v>
      </c>
      <c r="X63" s="26">
        <f>IF(W63&gt;W61,1,0)</f>
        <v>0</v>
      </c>
      <c r="Y63" s="26">
        <f>IF(Q63="",0,1)</f>
        <v>1</v>
      </c>
      <c r="Z63" s="26">
        <f>IF(R63+U63=2,3,IF(R63+U63=1,1,0))</f>
        <v>1</v>
      </c>
      <c r="AA63" s="26">
        <f>IF(Z63=3,3,IF(X63+Z63=2,2,IF(Z63=1,1,0)))</f>
        <v>1</v>
      </c>
      <c r="AB63" s="26">
        <f>Q63+T63</f>
        <v>9</v>
      </c>
      <c r="AC63" s="26">
        <f>R63+U63+X63</f>
        <v>1</v>
      </c>
      <c r="AD63" s="26"/>
      <c r="AE63" s="68" t="s">
        <v>51</v>
      </c>
      <c r="AF63" s="66" t="s">
        <v>52</v>
      </c>
      <c r="AG63" s="29"/>
      <c r="AH63" s="29"/>
      <c r="AI63" s="30"/>
      <c r="AJ63" s="69"/>
      <c r="AK63" s="70"/>
      <c r="AL63" s="68" t="s">
        <v>53</v>
      </c>
    </row>
    <row r="64" ht="15.0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34" t="s">
        <v>59</v>
      </c>
      <c r="AG64" s="34" t="s">
        <v>60</v>
      </c>
      <c r="AH64" s="34"/>
      <c r="AI64" s="34" t="s">
        <v>59</v>
      </c>
      <c r="AJ64" s="34" t="s">
        <v>61</v>
      </c>
      <c r="AK64" s="34"/>
      <c r="AL64" s="34" t="s">
        <v>59</v>
      </c>
    </row>
    <row r="65" ht="15.0" customHeight="1">
      <c r="A65" s="38" t="str">
        <f>AE51</f>
        <v>Jay Boy Lastimosa</v>
      </c>
      <c r="B65" s="39">
        <v>6.0</v>
      </c>
      <c r="C65" s="40">
        <f>IF(B65&gt;B67,1,0)</f>
        <v>1</v>
      </c>
      <c r="D65" s="41"/>
      <c r="E65" s="39">
        <v>7.0</v>
      </c>
      <c r="F65" s="40">
        <f>IF(E65&gt;E67,1,0)</f>
        <v>1</v>
      </c>
      <c r="G65" s="41"/>
      <c r="H65" s="42"/>
      <c r="I65" s="26">
        <f>IF(H65&gt;H67,1,0)</f>
        <v>0</v>
      </c>
      <c r="J65" s="26">
        <f>IF(B65="",0,1)</f>
        <v>1</v>
      </c>
      <c r="K65" s="26">
        <f>IF(C65+F65=2,3,IF(C65+F65=1,1,0))</f>
        <v>3</v>
      </c>
      <c r="L65" s="26">
        <f>IF(K65=3,3,IF(I65+K65=2,2,IF(K65=1,1,0)))</f>
        <v>3</v>
      </c>
      <c r="M65" s="26">
        <f>B65+E65</f>
        <v>13</v>
      </c>
      <c r="N65" s="26">
        <f>C65+F65+I65</f>
        <v>2</v>
      </c>
      <c r="O65" s="26"/>
      <c r="P65" s="38" t="str">
        <f>AE49</f>
        <v>Georges Meekers</v>
      </c>
      <c r="Q65" s="39">
        <v>4.0</v>
      </c>
      <c r="R65" s="40">
        <f>IF(Q65&gt;Q67,1,0)</f>
        <v>0</v>
      </c>
      <c r="S65" s="41"/>
      <c r="T65" s="39">
        <v>5.0</v>
      </c>
      <c r="U65" s="40">
        <f>IF(T65&gt;T67,1,0)</f>
        <v>0</v>
      </c>
      <c r="V65" s="41"/>
      <c r="W65" s="42"/>
      <c r="X65" s="26">
        <f>IF(W65&gt;W67,1,0)</f>
        <v>0</v>
      </c>
      <c r="Y65" s="26">
        <f>IF(Q65="",0,1)</f>
        <v>1</v>
      </c>
      <c r="Z65" s="26">
        <f>IF(R65+U65=2,3,IF(R65+U65=1,1,0))</f>
        <v>0</v>
      </c>
      <c r="AA65" s="26">
        <f>IF(Z65=3,3,IF(X65+Z65=2,2,IF(Z65=1,1,0)))</f>
        <v>0</v>
      </c>
      <c r="AB65" s="26">
        <f>Q65+T65</f>
        <v>9</v>
      </c>
      <c r="AC65" s="26">
        <f>R65+U65+X65</f>
        <v>0</v>
      </c>
      <c r="AD65" s="26"/>
      <c r="AE65" s="38" t="str">
        <f>AE22</f>
        <v>Andre' Farrugia</v>
      </c>
      <c r="AF65" s="39">
        <v>6.0</v>
      </c>
      <c r="AG65" s="40">
        <f>IF(AF65&gt;AF67,1,0)</f>
        <v>1</v>
      </c>
      <c r="AH65" s="41"/>
      <c r="AI65" s="39">
        <v>6.0</v>
      </c>
      <c r="AJ65" s="40">
        <f>IF(AI65&gt;AI67,1,0)</f>
        <v>1</v>
      </c>
      <c r="AK65" s="41"/>
      <c r="AL65" s="42"/>
    </row>
    <row r="66" ht="15.0" customHeight="1">
      <c r="A66" s="46" t="s">
        <v>71</v>
      </c>
      <c r="H66" s="47"/>
      <c r="I66" s="48"/>
      <c r="J66" s="26"/>
      <c r="K66" s="26"/>
      <c r="L66" s="26"/>
      <c r="M66" s="26"/>
      <c r="N66" s="26"/>
      <c r="O66" s="26"/>
      <c r="P66" s="46" t="s">
        <v>71</v>
      </c>
      <c r="W66" s="47"/>
      <c r="X66" s="48"/>
      <c r="Y66" s="26"/>
      <c r="Z66" s="26"/>
      <c r="AA66" s="26"/>
      <c r="AB66" s="26"/>
      <c r="AC66" s="26"/>
      <c r="AD66" s="26"/>
      <c r="AE66" s="46" t="s">
        <v>71</v>
      </c>
      <c r="AL66" s="47"/>
    </row>
    <row r="67" ht="15.0" customHeight="1">
      <c r="A67" s="49" t="str">
        <f>AE55</f>
        <v>Cyril Lastimosa</v>
      </c>
      <c r="B67" s="39">
        <v>4.0</v>
      </c>
      <c r="C67" s="50">
        <f>IF(B67&gt;B65,1,0)</f>
        <v>0</v>
      </c>
      <c r="D67" s="51"/>
      <c r="E67" s="39">
        <v>6.0</v>
      </c>
      <c r="F67" s="50">
        <f>IF(E67&gt;E65,1,0)</f>
        <v>0</v>
      </c>
      <c r="G67" s="51"/>
      <c r="H67" s="42"/>
      <c r="I67" s="26">
        <f>IF(H67&gt;H65,1,0)</f>
        <v>0</v>
      </c>
      <c r="J67" s="26">
        <f>IF(B67="",0,1)</f>
        <v>1</v>
      </c>
      <c r="K67" s="26">
        <f>IF(C67+F67=2,3,IF(C67+F67=1,1,0))</f>
        <v>0</v>
      </c>
      <c r="L67" s="26">
        <f>IF(K67=3,3,IF(I67+K67=2,2,IF(K67=1,1,0)))</f>
        <v>0</v>
      </c>
      <c r="M67" s="26">
        <f>B67+E67</f>
        <v>10</v>
      </c>
      <c r="N67" s="26">
        <f>C67+F67+I67</f>
        <v>0</v>
      </c>
      <c r="O67" s="26"/>
      <c r="P67" s="49" t="str">
        <f>AE51</f>
        <v>Jay Boy Lastimosa</v>
      </c>
      <c r="Q67" s="39">
        <v>6.0</v>
      </c>
      <c r="R67" s="50">
        <f>IF(Q67&gt;Q65,1,0)</f>
        <v>1</v>
      </c>
      <c r="S67" s="51"/>
      <c r="T67" s="39">
        <v>7.0</v>
      </c>
      <c r="U67" s="50">
        <f>IF(T67&gt;T65,1,0)</f>
        <v>1</v>
      </c>
      <c r="V67" s="51"/>
      <c r="W67" s="42"/>
      <c r="X67" s="26">
        <f>IF(W67&gt;W65,1,0)</f>
        <v>0</v>
      </c>
      <c r="Y67" s="26">
        <f>IF(Q67="",0,1)</f>
        <v>1</v>
      </c>
      <c r="Z67" s="26">
        <f>IF(R67+U67=2,3,IF(R67+U67=1,1,0))</f>
        <v>3</v>
      </c>
      <c r="AA67" s="26">
        <f>IF(Z67=3,3,IF(X67+Z67=2,2,IF(Z67=1,1,0)))</f>
        <v>3</v>
      </c>
      <c r="AB67" s="26">
        <f>Q67+T67</f>
        <v>13</v>
      </c>
      <c r="AC67" s="26">
        <f>R67+U67+X67</f>
        <v>2</v>
      </c>
      <c r="AD67" s="26"/>
      <c r="AE67" s="49" t="str">
        <f>AE58</f>
        <v>Daniel Farrugia</v>
      </c>
      <c r="AF67" s="39">
        <v>3.0</v>
      </c>
      <c r="AG67" s="50">
        <f>IF(AF67&gt;AF65,1,0)</f>
        <v>0</v>
      </c>
      <c r="AH67" s="51"/>
      <c r="AI67" s="39">
        <v>3.0</v>
      </c>
      <c r="AJ67" s="50">
        <f>IF(AI67&gt;AI65,1,0)</f>
        <v>0</v>
      </c>
      <c r="AK67" s="51"/>
      <c r="AL67" s="42"/>
    </row>
    <row r="68" ht="15.0" customHeight="1">
      <c r="A68" s="26"/>
      <c r="B68" s="26"/>
      <c r="C68" s="26"/>
      <c r="D68" s="26"/>
      <c r="E68" s="33"/>
      <c r="F68" s="26"/>
      <c r="G68" s="26"/>
      <c r="H68" s="33"/>
      <c r="I68" s="26"/>
      <c r="J68" s="33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33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ht="15.0" customHeight="1">
      <c r="A69" s="38" t="str">
        <f>AE49</f>
        <v>Georges Meekers</v>
      </c>
      <c r="B69" s="39">
        <v>0.0</v>
      </c>
      <c r="C69" s="40">
        <f>IF(B69&gt;B71,1,0)</f>
        <v>0</v>
      </c>
      <c r="D69" s="41"/>
      <c r="E69" s="39">
        <v>3.0</v>
      </c>
      <c r="F69" s="40">
        <f>IF(E69&gt;E71,1,0)</f>
        <v>0</v>
      </c>
      <c r="G69" s="41"/>
      <c r="H69" s="42"/>
      <c r="I69" s="26">
        <f>IF(H69&gt;H71,1,0)</f>
        <v>0</v>
      </c>
      <c r="J69" s="26">
        <f>IF(B69="",0,1)</f>
        <v>1</v>
      </c>
      <c r="K69" s="26">
        <f>IF(C69+F69=2,3,IF(C69+F69=1,1,0))</f>
        <v>0</v>
      </c>
      <c r="L69" s="26">
        <f>IF(K69=3,3,IF(I69+K69=2,2,IF(K69=1,1,0)))</f>
        <v>0</v>
      </c>
      <c r="M69" s="26">
        <f>B69+E69</f>
        <v>3</v>
      </c>
      <c r="N69" s="26">
        <f>C69+F69+I69</f>
        <v>0</v>
      </c>
      <c r="O69" s="26"/>
      <c r="P69" s="38" t="str">
        <f>AE49</f>
        <v>Georges Meekers</v>
      </c>
      <c r="Q69" s="39">
        <v>2.0</v>
      </c>
      <c r="R69" s="40">
        <f>IF(Q69&gt;Q71,1,0)</f>
        <v>0</v>
      </c>
      <c r="S69" s="41"/>
      <c r="T69" s="39">
        <v>2.0</v>
      </c>
      <c r="U69" s="40">
        <f>IF(T69&gt;T71,1,0)</f>
        <v>0</v>
      </c>
      <c r="V69" s="41"/>
      <c r="W69" s="42"/>
      <c r="X69" s="26">
        <f>IF(W69&gt;W71,1,0)</f>
        <v>0</v>
      </c>
      <c r="Y69" s="26">
        <f>IF(Q69="",0,1)</f>
        <v>1</v>
      </c>
      <c r="Z69" s="26">
        <f>IF(R69+U69=2,3,IF(R69+U69=1,1,0))</f>
        <v>0</v>
      </c>
      <c r="AA69" s="26">
        <f>IF(Z69=3,3,IF(X69+Z69=2,2,IF(Z69=1,1,0)))</f>
        <v>0</v>
      </c>
      <c r="AB69" s="26">
        <f>Q69+T69</f>
        <v>4</v>
      </c>
      <c r="AC69" s="26">
        <f>R69+U69+X69</f>
        <v>0</v>
      </c>
      <c r="AD69" s="26"/>
      <c r="AE69" s="66" t="s">
        <v>77</v>
      </c>
      <c r="AF69" s="29"/>
      <c r="AG69" s="29"/>
      <c r="AH69" s="29"/>
      <c r="AI69" s="29"/>
      <c r="AJ69" s="29"/>
      <c r="AK69" s="29"/>
      <c r="AL69" s="30"/>
    </row>
    <row r="70" ht="15.0" customHeight="1">
      <c r="A70" s="46" t="s">
        <v>71</v>
      </c>
      <c r="H70" s="47"/>
      <c r="I70" s="48"/>
      <c r="J70" s="26"/>
      <c r="K70" s="26"/>
      <c r="L70" s="26"/>
      <c r="M70" s="26"/>
      <c r="N70" s="26"/>
      <c r="O70" s="26"/>
      <c r="P70" s="46" t="s">
        <v>71</v>
      </c>
      <c r="W70" s="47"/>
      <c r="X70" s="48"/>
      <c r="Y70" s="26"/>
      <c r="Z70" s="26"/>
      <c r="AA70" s="26"/>
      <c r="AB70" s="26"/>
      <c r="AC70" s="26"/>
      <c r="AD70" s="26"/>
      <c r="AE70" s="71" t="str">
        <f>IF(AA81&gt;AA83,AE65,AE67)</f>
        <v>Andre' Farrugia</v>
      </c>
      <c r="AF70" s="72"/>
      <c r="AG70" s="72"/>
      <c r="AH70" s="72"/>
      <c r="AI70" s="72"/>
      <c r="AJ70" s="72"/>
      <c r="AK70" s="72"/>
      <c r="AL70" s="73"/>
    </row>
    <row r="71" ht="15.0" customHeight="1">
      <c r="A71" s="49" t="str">
        <f>AE53</f>
        <v>Emman Xuereb</v>
      </c>
      <c r="B71" s="39">
        <v>6.0</v>
      </c>
      <c r="C71" s="50">
        <f>IF(B71&gt;B69,1,0)</f>
        <v>1</v>
      </c>
      <c r="D71" s="51"/>
      <c r="E71" s="39">
        <v>6.0</v>
      </c>
      <c r="F71" s="50">
        <f>IF(E71&gt;E69,1,0)</f>
        <v>1</v>
      </c>
      <c r="G71" s="51"/>
      <c r="H71" s="42"/>
      <c r="I71" s="26">
        <f>IF(H71&gt;H69,1,0)</f>
        <v>0</v>
      </c>
      <c r="J71" s="26">
        <f>IF(B71="",0,1)</f>
        <v>1</v>
      </c>
      <c r="K71" s="26">
        <f>IF(C71+F71=2,3,IF(C71+F71=1,1,0))</f>
        <v>3</v>
      </c>
      <c r="L71" s="26">
        <f>IF(K71=3,3,IF(I71+K71=2,2,IF(K71=1,1,0)))</f>
        <v>3</v>
      </c>
      <c r="M71" s="26">
        <f>B71+E71</f>
        <v>12</v>
      </c>
      <c r="N71" s="26">
        <f>C71+F71+I71</f>
        <v>2</v>
      </c>
      <c r="O71" s="26"/>
      <c r="P71" s="49" t="str">
        <f>AE55</f>
        <v>Cyril Lastimosa</v>
      </c>
      <c r="Q71" s="39">
        <v>6.0</v>
      </c>
      <c r="R71" s="50">
        <f>IF(Q71&gt;Q69,1,0)</f>
        <v>1</v>
      </c>
      <c r="S71" s="51"/>
      <c r="T71" s="39">
        <v>6.0</v>
      </c>
      <c r="U71" s="50">
        <f>IF(T71&gt;T69,1,0)</f>
        <v>1</v>
      </c>
      <c r="V71" s="51"/>
      <c r="W71" s="42"/>
      <c r="X71" s="26">
        <f>IF(W71&gt;W69,1,0)</f>
        <v>0</v>
      </c>
      <c r="Y71" s="26">
        <f>IF(Q71="",0,1)</f>
        <v>1</v>
      </c>
      <c r="Z71" s="26">
        <f>IF(R71+U71=2,3,IF(R71+U71=1,1,0))</f>
        <v>3</v>
      </c>
      <c r="AA71" s="26">
        <f>IF(Z71=3,3,IF(X71+Z71=2,2,IF(Z71=1,1,0)))</f>
        <v>3</v>
      </c>
      <c r="AB71" s="26">
        <f>Q71+T71</f>
        <v>12</v>
      </c>
      <c r="AC71" s="26">
        <f>R71+U71+X71</f>
        <v>2</v>
      </c>
      <c r="AD71" s="26"/>
      <c r="AE71" s="26"/>
      <c r="AF71" s="26"/>
      <c r="AG71" s="26"/>
      <c r="AH71" s="26"/>
      <c r="AI71" s="26"/>
      <c r="AJ71" s="26"/>
      <c r="AK71" s="26"/>
      <c r="AL71" s="26"/>
    </row>
    <row r="72" ht="15.0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ht="15.0" customHeight="1">
      <c r="A73" s="38" t="str">
        <f>AE51</f>
        <v>Jay Boy Lastimosa</v>
      </c>
      <c r="B73" s="39">
        <v>2.0</v>
      </c>
      <c r="C73" s="40">
        <f>IF(B73&gt;B75,1,0)</f>
        <v>0</v>
      </c>
      <c r="D73" s="41"/>
      <c r="E73" s="39">
        <v>4.0</v>
      </c>
      <c r="F73" s="40">
        <f>IF(E73&gt;E75,1,0)</f>
        <v>0</v>
      </c>
      <c r="G73" s="41"/>
      <c r="H73" s="42"/>
      <c r="I73" s="26">
        <f>IF(H73&gt;H75,1,0)</f>
        <v>0</v>
      </c>
      <c r="J73" s="26">
        <f>IF(B73="",0,1)</f>
        <v>1</v>
      </c>
      <c r="K73" s="26">
        <f>IF(C73+F73=2,3,IF(C73+F73=1,1,0))</f>
        <v>0</v>
      </c>
      <c r="L73" s="26">
        <f>IF(K73=3,3,IF(I73+K73=2,2,IF(K73=1,1,0)))</f>
        <v>0</v>
      </c>
      <c r="M73" s="26">
        <f>B73+E73</f>
        <v>6</v>
      </c>
      <c r="N73" s="26">
        <f>C73+F73+I73</f>
        <v>0</v>
      </c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66" t="s">
        <v>78</v>
      </c>
      <c r="AF73" s="29"/>
      <c r="AG73" s="29"/>
      <c r="AH73" s="29"/>
      <c r="AI73" s="29"/>
      <c r="AJ73" s="29"/>
      <c r="AK73" s="29"/>
      <c r="AL73" s="30"/>
    </row>
    <row r="74" ht="15.0" customHeight="1">
      <c r="A74" s="46" t="s">
        <v>71</v>
      </c>
      <c r="H74" s="47"/>
      <c r="I74" s="48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71" t="str">
        <f>IF(AA81&lt;AA83,AE65,AE67)</f>
        <v>Daniel Farrugia</v>
      </c>
      <c r="AF74" s="72"/>
      <c r="AG74" s="72"/>
      <c r="AH74" s="72"/>
      <c r="AI74" s="72"/>
      <c r="AJ74" s="72"/>
      <c r="AK74" s="72"/>
      <c r="AL74" s="73"/>
    </row>
    <row r="75" ht="15.0" customHeight="1">
      <c r="A75" s="49" t="str">
        <f>AE53</f>
        <v>Emman Xuereb</v>
      </c>
      <c r="B75" s="39">
        <v>6.0</v>
      </c>
      <c r="C75" s="50">
        <f>IF(B75&gt;B73,1,0)</f>
        <v>1</v>
      </c>
      <c r="D75" s="51"/>
      <c r="E75" s="39">
        <v>6.0</v>
      </c>
      <c r="F75" s="50">
        <f>IF(E75&gt;E73,1,0)</f>
        <v>1</v>
      </c>
      <c r="G75" s="51"/>
      <c r="H75" s="42"/>
      <c r="I75" s="26">
        <f>IF(H75&gt;H73,1,0)</f>
        <v>0</v>
      </c>
      <c r="J75" s="26">
        <f>IF(B75="",0,1)</f>
        <v>1</v>
      </c>
      <c r="K75" s="26">
        <f>IF(C75+F75=2,3,IF(C75+F75=1,1,0))</f>
        <v>3</v>
      </c>
      <c r="L75" s="26">
        <f>IF(K75=3,3,IF(I75+K75=2,2,IF(K75=1,1,0)))</f>
        <v>3</v>
      </c>
      <c r="M75" s="26">
        <f>B75+E75</f>
        <v>12</v>
      </c>
      <c r="N75" s="26">
        <f>C75+F75+I75</f>
        <v>2</v>
      </c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ht="13.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ht="13.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ht="13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ht="30.0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ht="15.75" hidden="1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X80" s="34" t="s">
        <v>62</v>
      </c>
      <c r="Y80" s="34" t="s">
        <v>63</v>
      </c>
      <c r="Z80" s="34" t="s">
        <v>64</v>
      </c>
      <c r="AA80" s="34" t="s">
        <v>65</v>
      </c>
      <c r="AB80" s="34" t="s">
        <v>66</v>
      </c>
      <c r="AC80" s="34" t="s">
        <v>67</v>
      </c>
      <c r="AD80" s="26"/>
      <c r="AE80" s="26"/>
      <c r="AF80" s="26"/>
      <c r="AG80" s="26"/>
      <c r="AH80" s="26"/>
      <c r="AI80" s="26"/>
      <c r="AJ80" s="26"/>
      <c r="AK80" s="26"/>
      <c r="AL80" s="26"/>
    </row>
    <row r="81" ht="13.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X81" s="26">
        <f>IF(AL65&gt;AL67,1,0)</f>
        <v>0</v>
      </c>
      <c r="Y81" s="26">
        <f>IF(AF65="",0,1)</f>
        <v>1</v>
      </c>
      <c r="Z81" s="26">
        <f>IF(AG65+AJ65=2,3,IF(AG65+AJ65=1,1,0))</f>
        <v>3</v>
      </c>
      <c r="AA81" s="26">
        <f>IF(Z81=3,3,IF(X81+Z81=2,2,IF(Z81=1,1,0)))</f>
        <v>3</v>
      </c>
      <c r="AB81" s="26">
        <f>AF65+AI65</f>
        <v>12</v>
      </c>
      <c r="AC81" s="26">
        <f>AG65+AJ65+X81</f>
        <v>2</v>
      </c>
      <c r="AD81" s="26"/>
      <c r="AE81" s="26"/>
      <c r="AF81" s="26"/>
      <c r="AG81" s="26"/>
      <c r="AH81" s="26"/>
      <c r="AI81" s="26"/>
      <c r="AJ81" s="26"/>
      <c r="AK81" s="26"/>
      <c r="AL81" s="26"/>
    </row>
    <row r="82" ht="13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X82" s="48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ht="13.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X83" s="26">
        <f>IF(AL67&gt;AL65,1,0)</f>
        <v>0</v>
      </c>
      <c r="Y83" s="26">
        <f>IF(AF67="",0,1)</f>
        <v>1</v>
      </c>
      <c r="Z83" s="26">
        <f>IF(AG67+AJ67=2,3,IF(AG67+AJ67=1,1,0))</f>
        <v>0</v>
      </c>
      <c r="AA83" s="26">
        <f>IF(Z83=3,3,IF(X83+Z83=2,2,IF(Z83=1,1,0)))</f>
        <v>0</v>
      </c>
      <c r="AB83" s="26">
        <f>AF67+AI67</f>
        <v>6</v>
      </c>
      <c r="AC83" s="26">
        <f>AG67+AJ67+X83</f>
        <v>0</v>
      </c>
      <c r="AD83" s="26"/>
      <c r="AE83" s="26"/>
      <c r="AF83" s="26"/>
      <c r="AG83" s="26"/>
      <c r="AH83" s="26"/>
      <c r="AI83" s="26"/>
      <c r="AJ83" s="26"/>
      <c r="AK83" s="26"/>
      <c r="AL83" s="26"/>
    </row>
    <row r="84" ht="13.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ht="13.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ht="13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ht="13.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ht="13.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ht="13.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ht="13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ht="13.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ht="13.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ht="13.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ht="13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ht="13.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ht="13.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ht="13.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ht="13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ht="13.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ht="13.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ht="13.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ht="13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ht="13.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ht="13.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ht="13.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ht="13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33"/>
      <c r="R106" s="33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ht="13.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ht="13.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ht="13.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ht="13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ht="13.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ht="13.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ht="13.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ht="13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ht="13.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ht="13.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ht="13.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ht="13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ht="13.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ht="13.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ht="13.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ht="13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ht="13.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ht="13.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ht="13.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ht="13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ht="13.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ht="13.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ht="13.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ht="13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ht="13.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ht="13.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ht="13.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ht="13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ht="13.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ht="13.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ht="13.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ht="13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ht="13.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ht="13.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ht="13.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ht="13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ht="13.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ht="13.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ht="13.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ht="13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ht="13.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ht="13.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ht="13.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ht="13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ht="13.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ht="13.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ht="13.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ht="13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ht="13.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ht="13.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ht="13.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ht="13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ht="13.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ht="13.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ht="13.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ht="13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ht="13.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ht="13.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ht="13.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ht="13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ht="13.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ht="13.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ht="13.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ht="13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ht="13.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ht="13.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ht="13.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ht="13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ht="13.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ht="13.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ht="13.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ht="13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ht="13.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ht="13.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ht="13.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ht="13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ht="13.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ht="13.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ht="13.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ht="13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ht="13.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ht="13.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ht="13.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ht="13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ht="13.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ht="13.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ht="13.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ht="13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ht="13.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ht="13.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ht="13.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ht="13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ht="13.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ht="13.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ht="13.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ht="13.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ht="13.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ht="13.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ht="13.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ht="13.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ht="13.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ht="13.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ht="13.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ht="13.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ht="13.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ht="13.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ht="13.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ht="13.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ht="13.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ht="13.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ht="13.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ht="13.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ht="13.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ht="13.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ht="13.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ht="13.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ht="13.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ht="13.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ht="13.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ht="13.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ht="13.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ht="13.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ht="13.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ht="13.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ht="13.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ht="13.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ht="13.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ht="13.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ht="13.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ht="13.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ht="13.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ht="13.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ht="13.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ht="13.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ht="13.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ht="13.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ht="13.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ht="13.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ht="13.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ht="13.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ht="13.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ht="13.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ht="13.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ht="13.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ht="13.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ht="13.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</row>
    <row r="253" ht="13.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</row>
    <row r="254" ht="13.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</row>
    <row r="255" ht="13.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</row>
    <row r="256" ht="13.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</row>
    <row r="257" ht="13.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</row>
    <row r="258" ht="13.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</row>
    <row r="259" ht="13.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</row>
    <row r="260" ht="13.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</row>
    <row r="261" ht="13.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</row>
    <row r="262" ht="13.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</row>
    <row r="263" ht="13.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</row>
    <row r="264" ht="13.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</row>
    <row r="265" ht="13.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</row>
    <row r="266" ht="13.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</row>
    <row r="267" ht="13.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</row>
    <row r="268" ht="13.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</row>
    <row r="269" ht="13.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</row>
    <row r="270" ht="13.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</row>
    <row r="271" ht="13.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</row>
    <row r="272" ht="13.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</row>
    <row r="273" ht="13.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</row>
    <row r="274" ht="13.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</row>
    <row r="275" ht="13.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</row>
    <row r="276" ht="13.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</row>
    <row r="277" ht="13.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</row>
    <row r="278" ht="13.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</row>
    <row r="279" ht="13.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</row>
    <row r="280" ht="13.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</row>
    <row r="281" ht="13.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</row>
    <row r="282" ht="13.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</row>
    <row r="283" ht="13.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</row>
    <row r="284" ht="13.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</row>
    <row r="285" ht="13.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</row>
    <row r="286" ht="13.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</row>
    <row r="287" ht="13.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</row>
    <row r="288" ht="13.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</row>
    <row r="289" ht="13.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</row>
    <row r="290" ht="13.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</sheetData>
  <mergeCells count="48">
    <mergeCell ref="AE61:AL61"/>
    <mergeCell ref="AF63:AI63"/>
    <mergeCell ref="Q43:T43"/>
    <mergeCell ref="P46:W46"/>
    <mergeCell ref="P50:W50"/>
    <mergeCell ref="P54:W54"/>
    <mergeCell ref="AE57:AI57"/>
    <mergeCell ref="P58:W58"/>
    <mergeCell ref="AE58:AI58"/>
    <mergeCell ref="A1:AI2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E21:AI21"/>
    <mergeCell ref="A22:H22"/>
    <mergeCell ref="P22:W22"/>
    <mergeCell ref="AE22:AI22"/>
    <mergeCell ref="A26:H26"/>
    <mergeCell ref="P26:W26"/>
    <mergeCell ref="A30:H30"/>
    <mergeCell ref="P30:W30"/>
    <mergeCell ref="A34:H34"/>
    <mergeCell ref="P34:W34"/>
    <mergeCell ref="A41:AI41"/>
    <mergeCell ref="A66:H66"/>
    <mergeCell ref="A70:H70"/>
    <mergeCell ref="A74:H74"/>
    <mergeCell ref="AE70:AL70"/>
    <mergeCell ref="AE73:AL73"/>
    <mergeCell ref="AE74:AL74"/>
    <mergeCell ref="AE66:AL66"/>
    <mergeCell ref="AE69:AL69"/>
    <mergeCell ref="A38:H38"/>
    <mergeCell ref="B43:E43"/>
    <mergeCell ref="A46:H46"/>
    <mergeCell ref="A50:H50"/>
    <mergeCell ref="A54:H54"/>
    <mergeCell ref="A58:H58"/>
    <mergeCell ref="A62:H62"/>
    <mergeCell ref="P62:W62"/>
    <mergeCell ref="P66:W66"/>
    <mergeCell ref="P70:W70"/>
  </mergeCells>
  <printOptions/>
  <pageMargins bottom="0.75" footer="0.0" header="0.0" left="0.25" right="0.25" top="0.75"/>
  <pageSetup paperSize="9" scale="7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0" width="7.75"/>
    <col customWidth="1" hidden="1" min="11" max="11" width="7.38"/>
    <col customWidth="1" hidden="1" min="12" max="12" width="11.25"/>
    <col customWidth="1" hidden="1" min="13" max="13" width="8.0"/>
    <col customWidth="1" hidden="1" min="14" max="14" width="6.13"/>
    <col customWidth="1" min="15" max="15" width="6.13"/>
    <col customWidth="1" min="16" max="16" width="14.38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7.75"/>
    <col customWidth="1" hidden="1" min="26" max="26" width="7.38"/>
    <col customWidth="1" hidden="1" min="27" max="27" width="11.25"/>
    <col customWidth="1" hidden="1" min="28" max="28" width="8.0"/>
    <col customWidth="1" hidden="1" min="29" max="29" width="6.13"/>
    <col customWidth="1" min="30" max="30" width="5.88"/>
    <col customWidth="1" min="31" max="31" width="18.0"/>
    <col customWidth="1" min="32" max="35" width="8.75"/>
    <col customWidth="1" hidden="1" min="36" max="36" width="9.25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5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5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5.0" customHeight="1">
      <c r="A5" s="85" t="s">
        <v>29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5"/>
      <c r="AJ5" s="26"/>
      <c r="AK5" s="26"/>
      <c r="AL5" s="26"/>
      <c r="AM5" s="26"/>
      <c r="AN5" s="26"/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</row>
    <row r="7" ht="30.0" customHeight="1">
      <c r="A7" s="86" t="s">
        <v>51</v>
      </c>
      <c r="B7" s="87" t="s">
        <v>52</v>
      </c>
      <c r="C7" s="29"/>
      <c r="D7" s="29"/>
      <c r="E7" s="30"/>
      <c r="F7" s="78"/>
      <c r="G7" s="61"/>
      <c r="H7" s="86" t="s">
        <v>53</v>
      </c>
      <c r="I7" s="26"/>
      <c r="J7" s="26"/>
      <c r="K7" s="26"/>
      <c r="L7" s="26"/>
      <c r="M7" s="33"/>
      <c r="N7" s="33"/>
      <c r="O7" s="26"/>
      <c r="P7" s="86" t="s">
        <v>51</v>
      </c>
      <c r="Q7" s="87" t="s">
        <v>52</v>
      </c>
      <c r="R7" s="29"/>
      <c r="S7" s="29"/>
      <c r="T7" s="30"/>
      <c r="U7" s="78"/>
      <c r="V7" s="61"/>
      <c r="W7" s="86" t="s">
        <v>53</v>
      </c>
      <c r="X7" s="26"/>
      <c r="Y7" s="33"/>
      <c r="Z7" s="33"/>
      <c r="AA7" s="33"/>
      <c r="AB7" s="33"/>
      <c r="AC7" s="33"/>
      <c r="AD7" s="26"/>
      <c r="AE7" s="86" t="s">
        <v>54</v>
      </c>
      <c r="AF7" s="86" t="s">
        <v>55</v>
      </c>
      <c r="AG7" s="86" t="s">
        <v>56</v>
      </c>
      <c r="AH7" s="86" t="s">
        <v>57</v>
      </c>
      <c r="AI7" s="86" t="s">
        <v>58</v>
      </c>
      <c r="AJ7" s="33"/>
      <c r="AK7" s="33"/>
      <c r="AL7" s="33"/>
      <c r="AM7" s="26"/>
      <c r="AN7" s="26"/>
    </row>
    <row r="8" ht="15.0" hidden="1" customHeight="1">
      <c r="A8" s="26"/>
      <c r="B8" s="34" t="s">
        <v>59</v>
      </c>
      <c r="C8" s="34" t="s">
        <v>60</v>
      </c>
      <c r="D8" s="34"/>
      <c r="E8" s="34" t="s">
        <v>59</v>
      </c>
      <c r="F8" s="34" t="s">
        <v>61</v>
      </c>
      <c r="G8" s="34"/>
      <c r="H8" s="34" t="s">
        <v>59</v>
      </c>
      <c r="I8" s="34" t="s">
        <v>62</v>
      </c>
      <c r="J8" s="34" t="s">
        <v>63</v>
      </c>
      <c r="K8" s="34" t="s">
        <v>64</v>
      </c>
      <c r="L8" s="34" t="s">
        <v>65</v>
      </c>
      <c r="M8" s="34" t="s">
        <v>66</v>
      </c>
      <c r="N8" s="34" t="s">
        <v>67</v>
      </c>
      <c r="O8" s="26"/>
      <c r="P8" s="26"/>
      <c r="Q8" s="34" t="s">
        <v>59</v>
      </c>
      <c r="R8" s="34" t="s">
        <v>60</v>
      </c>
      <c r="S8" s="34"/>
      <c r="T8" s="34" t="s">
        <v>59</v>
      </c>
      <c r="U8" s="34" t="s">
        <v>61</v>
      </c>
      <c r="V8" s="34"/>
      <c r="W8" s="34" t="s">
        <v>59</v>
      </c>
      <c r="X8" s="34" t="s">
        <v>62</v>
      </c>
      <c r="Y8" s="34" t="s">
        <v>63</v>
      </c>
      <c r="Z8" s="34" t="s">
        <v>64</v>
      </c>
      <c r="AA8" s="34" t="s">
        <v>65</v>
      </c>
      <c r="AB8" s="34" t="s">
        <v>66</v>
      </c>
      <c r="AC8" s="34" t="s">
        <v>67</v>
      </c>
      <c r="AD8" s="26"/>
      <c r="AE8" s="33"/>
      <c r="AF8" s="33"/>
      <c r="AG8" s="33"/>
      <c r="AH8" s="33"/>
      <c r="AI8" s="33"/>
      <c r="AJ8" s="34" t="s">
        <v>68</v>
      </c>
      <c r="AK8" s="34" t="s">
        <v>81</v>
      </c>
      <c r="AL8" s="36" t="s">
        <v>69</v>
      </c>
      <c r="AM8" s="37" t="s">
        <v>70</v>
      </c>
      <c r="AN8" s="37" t="s">
        <v>82</v>
      </c>
    </row>
    <row r="9" ht="15.0" customHeight="1">
      <c r="A9" s="38" t="str">
        <f>AE9</f>
        <v>Mavric Sawyer</v>
      </c>
      <c r="B9" s="39">
        <v>6.0</v>
      </c>
      <c r="C9" s="40">
        <f>IF(B9&gt;B11,1,0)</f>
        <v>1</v>
      </c>
      <c r="D9" s="41"/>
      <c r="E9" s="39">
        <v>5.0</v>
      </c>
      <c r="F9" s="40">
        <f>IF(E9&gt;E11,1,0)</f>
        <v>0</v>
      </c>
      <c r="G9" s="41"/>
      <c r="H9" s="39">
        <v>8.0</v>
      </c>
      <c r="I9" s="26">
        <f>IF(H9&gt;H11,1,0)</f>
        <v>0</v>
      </c>
      <c r="J9" s="26">
        <f>IF(B9="",0,1)</f>
        <v>1</v>
      </c>
      <c r="K9" s="26">
        <f>IF(C9+F9=2,3,IF(C9+F9=1,1,0))</f>
        <v>1</v>
      </c>
      <c r="L9" s="26">
        <f>IF(K9=3,3,IF(I9+K9=2,2,IF(K9=1,1,0)))</f>
        <v>1</v>
      </c>
      <c r="M9" s="26">
        <f>B9+E9</f>
        <v>11</v>
      </c>
      <c r="N9" s="26">
        <f>C9+F9+I9</f>
        <v>1</v>
      </c>
      <c r="O9" s="26"/>
      <c r="P9" s="38" t="str">
        <f>AE9</f>
        <v>Mavric Sawyer</v>
      </c>
      <c r="Q9" s="39">
        <v>2.0</v>
      </c>
      <c r="R9" s="40">
        <f>IF(Q9&gt;Q11,1,0)</f>
        <v>0</v>
      </c>
      <c r="S9" s="41"/>
      <c r="T9" s="39">
        <v>2.0</v>
      </c>
      <c r="U9" s="40">
        <f>IF(T9&gt;T11,1,0)</f>
        <v>0</v>
      </c>
      <c r="V9" s="41"/>
      <c r="W9" s="42"/>
      <c r="X9" s="26">
        <f>IF(W9&gt;W11,1,0)</f>
        <v>0</v>
      </c>
      <c r="Y9" s="26">
        <f>IF(Q9="",0,1)</f>
        <v>1</v>
      </c>
      <c r="Z9" s="26">
        <f>IF(R9+U9=2,3,IF(R9+U9=1,1,0))</f>
        <v>0</v>
      </c>
      <c r="AA9" s="26">
        <f>IF(Z9=3,3,IF(X9+Z9=2,2,IF(Z9=1,1,0)))</f>
        <v>0</v>
      </c>
      <c r="AB9" s="26">
        <f>Q9+T9</f>
        <v>4</v>
      </c>
      <c r="AC9" s="26">
        <f>R9+U9+X9</f>
        <v>0</v>
      </c>
      <c r="AD9" s="26"/>
      <c r="AE9" s="88" t="str">
        <f>'Players - Men'!B22</f>
        <v>Mavric Sawyer</v>
      </c>
      <c r="AF9" s="44">
        <f>J9+Y9+J13+Y13+J17</f>
        <v>5</v>
      </c>
      <c r="AG9" s="44">
        <f t="shared" ref="AG9:AI9" si="1">L9+AA9+L13+AA13+L17</f>
        <v>9</v>
      </c>
      <c r="AH9" s="44">
        <f t="shared" si="1"/>
        <v>48</v>
      </c>
      <c r="AI9" s="45">
        <f t="shared" si="1"/>
        <v>7</v>
      </c>
      <c r="AJ9" s="26">
        <f>MAX(AG9:AG19)</f>
        <v>13</v>
      </c>
      <c r="AK9" s="26">
        <f>LARGE(AG9:AG19, 2)</f>
        <v>12</v>
      </c>
      <c r="AL9" s="26">
        <f>SUM(AF9:AF19)</f>
        <v>30</v>
      </c>
      <c r="AM9" s="26" t="str">
        <f>IF(AG9=$AJ$9,AE9,IF(AG11=$AJ$9,AE11,IF(AG13=$AJ$9,AE13,IF(AG15=$AJ$9,AE15,IF(AG17=$AJ$9,AE17,"")))))</f>
        <v>Kristen Cachia</v>
      </c>
      <c r="AN9" s="26" t="str">
        <f>IF(AG9=$AK$9,AE9,IF(AG11=$AK$9,AE11,IF(AG13=$AK$9,AE13,IF(AG15=$AK$9,AE15,IF(AG17=$AK$9,AE17,"")))))</f>
        <v>Denis Caruana</v>
      </c>
    </row>
    <row r="10" ht="15.0" customHeight="1">
      <c r="A10" s="46" t="s">
        <v>71</v>
      </c>
      <c r="H10" s="47"/>
      <c r="I10" s="48"/>
      <c r="J10" s="26"/>
      <c r="K10" s="26"/>
      <c r="L10" s="26"/>
      <c r="M10" s="26"/>
      <c r="N10" s="26"/>
      <c r="O10" s="26"/>
      <c r="P10" s="46" t="s">
        <v>71</v>
      </c>
      <c r="W10" s="47"/>
      <c r="X10" s="48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33"/>
      <c r="AL10" s="33"/>
      <c r="AM10" s="26"/>
      <c r="AN10" s="26"/>
    </row>
    <row r="11" ht="15.0" customHeight="1">
      <c r="A11" s="49" t="str">
        <f>AE11</f>
        <v>Artiom Kiricenko</v>
      </c>
      <c r="B11" s="39">
        <v>3.0</v>
      </c>
      <c r="C11" s="50">
        <f>IF(B11&gt;B9,1,0)</f>
        <v>0</v>
      </c>
      <c r="D11" s="51"/>
      <c r="E11" s="39">
        <v>7.0</v>
      </c>
      <c r="F11" s="50">
        <f>IF(E11&gt;E9,1,0)</f>
        <v>1</v>
      </c>
      <c r="G11" s="51"/>
      <c r="H11" s="39">
        <v>10.0</v>
      </c>
      <c r="I11" s="26">
        <f>IF(H11&gt;H9,1,0)</f>
        <v>1</v>
      </c>
      <c r="J11" s="26">
        <f>IF(B11="",0,1)</f>
        <v>1</v>
      </c>
      <c r="K11" s="26">
        <f>IF(C11+F11=2,3,IF(C11+F11=1,1,0))</f>
        <v>1</v>
      </c>
      <c r="L11" s="26">
        <f>IF(K11=3,3,IF(I11+K11=2,2,IF(K11=1,1,0)))</f>
        <v>2</v>
      </c>
      <c r="M11" s="26">
        <f>B11+E11</f>
        <v>10</v>
      </c>
      <c r="N11" s="26">
        <f>C11+F11+I11</f>
        <v>2</v>
      </c>
      <c r="O11" s="26"/>
      <c r="P11" s="49" t="str">
        <f>AE13</f>
        <v>Kristen Cachia</v>
      </c>
      <c r="Q11" s="39">
        <v>6.0</v>
      </c>
      <c r="R11" s="50">
        <f>IF(Q11&gt;Q9,1,0)</f>
        <v>1</v>
      </c>
      <c r="S11" s="51"/>
      <c r="T11" s="39">
        <v>6.0</v>
      </c>
      <c r="U11" s="50">
        <f>IF(T11&gt;T9,1,0)</f>
        <v>1</v>
      </c>
      <c r="V11" s="51"/>
      <c r="W11" s="42"/>
      <c r="X11" s="26">
        <f>IF(W11&gt;W9,1,0)</f>
        <v>0</v>
      </c>
      <c r="Y11" s="26">
        <f>IF(Q11="",0,1)</f>
        <v>1</v>
      </c>
      <c r="Z11" s="26">
        <f>IF(R11+U11=2,3,IF(R11+U11=1,1,0))</f>
        <v>3</v>
      </c>
      <c r="AA11" s="26">
        <f>IF(Z11=3,3,IF(X11+Z11=2,2,IF(Z11=1,1,0)))</f>
        <v>3</v>
      </c>
      <c r="AB11" s="26">
        <f>Q11+T11</f>
        <v>12</v>
      </c>
      <c r="AC11" s="26">
        <f>R11+U11+X11</f>
        <v>2</v>
      </c>
      <c r="AD11" s="26"/>
      <c r="AE11" s="88" t="str">
        <f>'Players - Men'!B23</f>
        <v>Artiom Kiricenko</v>
      </c>
      <c r="AF11" s="44">
        <f>J11+Y25+J25+Y21+J21</f>
        <v>5</v>
      </c>
      <c r="AG11" s="44">
        <f t="shared" ref="AG11:AI11" si="2">L11+AA25+L25+AA21+L21</f>
        <v>7</v>
      </c>
      <c r="AH11" s="44">
        <f t="shared" si="2"/>
        <v>37</v>
      </c>
      <c r="AI11" s="45">
        <f t="shared" si="2"/>
        <v>6</v>
      </c>
      <c r="AJ11" s="33"/>
      <c r="AK11" s="33"/>
      <c r="AL11" s="33"/>
      <c r="AM11" s="26"/>
      <c r="AN11" s="26"/>
    </row>
    <row r="12" ht="15.0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33"/>
      <c r="AG12" s="33"/>
      <c r="AH12" s="33"/>
      <c r="AI12" s="33"/>
      <c r="AJ12" s="33"/>
      <c r="AK12" s="33"/>
      <c r="AL12" s="33"/>
      <c r="AM12" s="26"/>
      <c r="AN12" s="26"/>
    </row>
    <row r="13" ht="15.0" customHeight="1">
      <c r="A13" s="38" t="str">
        <f>AE9</f>
        <v>Mavric Sawyer</v>
      </c>
      <c r="B13" s="39">
        <v>6.0</v>
      </c>
      <c r="C13" s="40">
        <f>IF(B13&gt;B15,1,0)</f>
        <v>1</v>
      </c>
      <c r="D13" s="41"/>
      <c r="E13" s="39">
        <v>3.0</v>
      </c>
      <c r="F13" s="40">
        <f>IF(E13&gt;E15,1,0)</f>
        <v>0</v>
      </c>
      <c r="G13" s="41"/>
      <c r="H13" s="39">
        <v>10.0</v>
      </c>
      <c r="I13" s="26">
        <f>IF(H13&gt;H15,1,0)</f>
        <v>1</v>
      </c>
      <c r="J13" s="26">
        <f>IF(B13="",0,1)</f>
        <v>1</v>
      </c>
      <c r="K13" s="26">
        <f>IF(C13+F13=2,3,IF(C13+F13=1,1,0))</f>
        <v>1</v>
      </c>
      <c r="L13" s="26">
        <f>IF(K13=3,3,IF(I13+K13=2,2,IF(K13=1,1,0)))</f>
        <v>2</v>
      </c>
      <c r="M13" s="26">
        <f>B13+E13</f>
        <v>9</v>
      </c>
      <c r="N13" s="26">
        <f>C13+F13+I13</f>
        <v>2</v>
      </c>
      <c r="O13" s="26"/>
      <c r="P13" s="38" t="str">
        <f>AE9</f>
        <v>Mavric Sawyer</v>
      </c>
      <c r="Q13" s="39">
        <v>6.0</v>
      </c>
      <c r="R13" s="40">
        <f>IF(Q13&gt;Q15,1,0)</f>
        <v>1</v>
      </c>
      <c r="S13" s="41"/>
      <c r="T13" s="39">
        <v>6.0</v>
      </c>
      <c r="U13" s="40">
        <f>IF(T13&gt;T15,1,0)</f>
        <v>1</v>
      </c>
      <c r="V13" s="41"/>
      <c r="W13" s="42"/>
      <c r="X13" s="26">
        <f>IF(W13&gt;W15,1,0)</f>
        <v>0</v>
      </c>
      <c r="Y13" s="26">
        <f>IF(Q13="",0,1)</f>
        <v>1</v>
      </c>
      <c r="Z13" s="26">
        <f>IF(R13+U13=2,3,IF(R13+U13=1,1,0))</f>
        <v>3</v>
      </c>
      <c r="AA13" s="26">
        <f>IF(Z13=3,3,IF(X13+Z13=2,2,IF(Z13=1,1,0)))</f>
        <v>3</v>
      </c>
      <c r="AB13" s="26">
        <f>Q13+T13</f>
        <v>12</v>
      </c>
      <c r="AC13" s="26">
        <f>R13+U13+X13</f>
        <v>2</v>
      </c>
      <c r="AD13" s="26"/>
      <c r="AE13" s="88" t="str">
        <f>'Players - Men'!B24</f>
        <v>Kristen Cachia</v>
      </c>
      <c r="AF13" s="44">
        <f>Y29+Y11+Y33+J33+J23</f>
        <v>5</v>
      </c>
      <c r="AG13" s="44">
        <f t="shared" ref="AG13:AI13" si="3">AA29+AA11+AA33+L33+L23</f>
        <v>13</v>
      </c>
      <c r="AH13" s="44">
        <f t="shared" si="3"/>
        <v>57</v>
      </c>
      <c r="AI13" s="45">
        <f t="shared" si="3"/>
        <v>9</v>
      </c>
      <c r="AJ13" s="33"/>
      <c r="AK13" s="33"/>
      <c r="AL13" s="33"/>
      <c r="AM13" s="26"/>
      <c r="AN13" s="26"/>
    </row>
    <row r="14" ht="15.0" customHeight="1">
      <c r="A14" s="46" t="s">
        <v>71</v>
      </c>
      <c r="H14" s="47"/>
      <c r="I14" s="48"/>
      <c r="J14" s="26"/>
      <c r="K14" s="26"/>
      <c r="L14" s="26"/>
      <c r="M14" s="26"/>
      <c r="N14" s="26"/>
      <c r="O14" s="26"/>
      <c r="P14" s="46" t="s">
        <v>71</v>
      </c>
      <c r="W14" s="47"/>
      <c r="X14" s="48"/>
      <c r="Y14" s="26"/>
      <c r="Z14" s="26"/>
      <c r="AA14" s="26"/>
      <c r="AB14" s="26"/>
      <c r="AC14" s="26"/>
      <c r="AD14" s="26"/>
      <c r="AE14" s="26"/>
      <c r="AF14" s="33"/>
      <c r="AG14" s="33"/>
      <c r="AH14" s="33"/>
      <c r="AI14" s="33"/>
      <c r="AJ14" s="33"/>
      <c r="AK14" s="33"/>
      <c r="AL14" s="33"/>
      <c r="AM14" s="26"/>
      <c r="AN14" s="26"/>
    </row>
    <row r="15" ht="15.0" customHeight="1">
      <c r="A15" s="49" t="str">
        <f>AE15</f>
        <v>Denis Caruana</v>
      </c>
      <c r="B15" s="39">
        <v>2.0</v>
      </c>
      <c r="C15" s="50">
        <f>IF(B15&gt;B13,1,0)</f>
        <v>0</v>
      </c>
      <c r="D15" s="51"/>
      <c r="E15" s="39">
        <v>6.0</v>
      </c>
      <c r="F15" s="50">
        <f>IF(E15&gt;E13,1,0)</f>
        <v>1</v>
      </c>
      <c r="G15" s="51"/>
      <c r="H15" s="39">
        <v>4.0</v>
      </c>
      <c r="I15" s="26">
        <f>IF(H15&gt;H13,1,0)</f>
        <v>0</v>
      </c>
      <c r="J15" s="26">
        <f>IF(B15="",0,1)</f>
        <v>1</v>
      </c>
      <c r="K15" s="26">
        <f>IF(C15+F15=2,3,IF(C15+F15=1,1,0))</f>
        <v>1</v>
      </c>
      <c r="L15" s="26">
        <f>IF(K15=3,3,IF(I15+K15=2,2,IF(K15=1,1,0)))</f>
        <v>1</v>
      </c>
      <c r="M15" s="26">
        <f>B15+E15</f>
        <v>8</v>
      </c>
      <c r="N15" s="26">
        <f>C15+F15+I15</f>
        <v>1</v>
      </c>
      <c r="O15" s="26"/>
      <c r="P15" s="49" t="str">
        <f>AE17</f>
        <v>Ryan Ebejer</v>
      </c>
      <c r="Q15" s="39">
        <v>1.0</v>
      </c>
      <c r="R15" s="50">
        <f>IF(Q15&gt;Q13,1,0)</f>
        <v>0</v>
      </c>
      <c r="S15" s="51"/>
      <c r="T15" s="39">
        <v>2.0</v>
      </c>
      <c r="U15" s="50">
        <f>IF(T15&gt;T13,1,0)</f>
        <v>0</v>
      </c>
      <c r="V15" s="51"/>
      <c r="W15" s="42"/>
      <c r="X15" s="26">
        <f>IF(W15&gt;W13,1,0)</f>
        <v>0</v>
      </c>
      <c r="Y15" s="26">
        <f>IF(Q15="",0,1)</f>
        <v>1</v>
      </c>
      <c r="Z15" s="26">
        <f>IF(R15+U15=2,3,IF(R15+U15=1,1,0))</f>
        <v>0</v>
      </c>
      <c r="AA15" s="26">
        <f>IF(Z15=3,3,IF(X15+Z15=2,2,IF(Z15=1,1,0)))</f>
        <v>0</v>
      </c>
      <c r="AB15" s="26">
        <f>Q15+T15</f>
        <v>3</v>
      </c>
      <c r="AC15" s="26">
        <f>R15+U15+X15</f>
        <v>0</v>
      </c>
      <c r="AD15" s="26"/>
      <c r="AE15" s="88" t="str">
        <f>'Players - Men'!B25</f>
        <v>Denis Caruana</v>
      </c>
      <c r="AF15" s="44">
        <f>Y31+J37+J15+Y23+J29</f>
        <v>5</v>
      </c>
      <c r="AG15" s="44">
        <f t="shared" ref="AG15:AI15" si="4">AA31+L37+L15+AA23+L29</f>
        <v>12</v>
      </c>
      <c r="AH15" s="44">
        <f t="shared" si="4"/>
        <v>52</v>
      </c>
      <c r="AI15" s="45">
        <f t="shared" si="4"/>
        <v>9</v>
      </c>
      <c r="AJ15" s="33"/>
      <c r="AK15" s="33"/>
      <c r="AL15" s="33"/>
      <c r="AM15" s="26"/>
      <c r="AN15" s="26"/>
    </row>
    <row r="16" ht="15.0" customHeight="1">
      <c r="A16" s="26"/>
      <c r="B16" s="33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33"/>
      <c r="AG16" s="33"/>
      <c r="AH16" s="33"/>
      <c r="AI16" s="33"/>
      <c r="AJ16" s="33"/>
      <c r="AK16" s="33"/>
      <c r="AL16" s="33"/>
      <c r="AM16" s="26"/>
      <c r="AN16" s="26"/>
    </row>
    <row r="17" ht="15.0" customHeight="1">
      <c r="A17" s="38" t="str">
        <f>AE9</f>
        <v>Mavric Sawyer</v>
      </c>
      <c r="B17" s="39">
        <v>6.0</v>
      </c>
      <c r="C17" s="40">
        <f>IF(B17&gt;B19,1,0)</f>
        <v>1</v>
      </c>
      <c r="D17" s="41"/>
      <c r="E17" s="39">
        <v>6.0</v>
      </c>
      <c r="F17" s="40">
        <f>IF(E17&gt;E19,1,0)</f>
        <v>1</v>
      </c>
      <c r="G17" s="41"/>
      <c r="H17" s="42"/>
      <c r="I17" s="26">
        <f>IF(H17&gt;H19,1,0)</f>
        <v>0</v>
      </c>
      <c r="J17" s="26">
        <f>IF(B17="",0,1)</f>
        <v>1</v>
      </c>
      <c r="K17" s="26">
        <f>IF(C17+F17=2,3,IF(C17+F17=1,1,0))</f>
        <v>3</v>
      </c>
      <c r="L17" s="26">
        <f>IF(K17=3,3,IF(I17+K17=2,2,IF(K17=1,1,0)))</f>
        <v>3</v>
      </c>
      <c r="M17" s="26">
        <f>B17+E17</f>
        <v>12</v>
      </c>
      <c r="N17" s="26">
        <f>C17+F17+I17</f>
        <v>2</v>
      </c>
      <c r="O17" s="26"/>
      <c r="P17" s="38" t="str">
        <f>AE17</f>
        <v>Ryan Ebejer</v>
      </c>
      <c r="Q17" s="39">
        <v>4.0</v>
      </c>
      <c r="R17" s="40">
        <f>IF(Q17&gt;Q19,1,0)</f>
        <v>0</v>
      </c>
      <c r="S17" s="41"/>
      <c r="T17" s="39">
        <v>6.0</v>
      </c>
      <c r="U17" s="40">
        <f>IF(T17&gt;T19,1,0)</f>
        <v>1</v>
      </c>
      <c r="V17" s="41"/>
      <c r="W17" s="39">
        <v>10.0</v>
      </c>
      <c r="X17" s="26">
        <f>IF(W17&gt;W19,1,0)</f>
        <v>1</v>
      </c>
      <c r="Y17" s="26">
        <f>IF(Q17="",0,1)</f>
        <v>1</v>
      </c>
      <c r="Z17" s="26">
        <f>IF(R17+U17=2,3,IF(R17+U17=1,1,0))</f>
        <v>1</v>
      </c>
      <c r="AA17" s="26">
        <f>IF(Z17=3,3,IF(X17+Z17=2,2,IF(Z17=1,1,0)))</f>
        <v>2</v>
      </c>
      <c r="AB17" s="26">
        <f>Q17+T17</f>
        <v>10</v>
      </c>
      <c r="AC17" s="26">
        <f>R17+U17+X17</f>
        <v>2</v>
      </c>
      <c r="AD17" s="26"/>
      <c r="AE17" s="88" t="str">
        <f>'Players - Men'!B26</f>
        <v>Ryan Ebejer</v>
      </c>
      <c r="AF17" s="44">
        <f>Y17+J39+J27+Y15+J35</f>
        <v>5</v>
      </c>
      <c r="AG17" s="44">
        <f t="shared" ref="AG17:AI17" si="5">AA17+L39+L27+AA15+L35</f>
        <v>3</v>
      </c>
      <c r="AH17" s="44">
        <f t="shared" si="5"/>
        <v>33</v>
      </c>
      <c r="AI17" s="45">
        <f t="shared" si="5"/>
        <v>3</v>
      </c>
      <c r="AJ17" s="33"/>
      <c r="AK17" s="33"/>
      <c r="AL17" s="33"/>
      <c r="AM17" s="26"/>
      <c r="AN17" s="26"/>
    </row>
    <row r="18" ht="15.0" customHeight="1">
      <c r="A18" s="46" t="s">
        <v>71</v>
      </c>
      <c r="H18" s="47"/>
      <c r="I18" s="48"/>
      <c r="J18" s="26"/>
      <c r="K18" s="26"/>
      <c r="L18" s="26"/>
      <c r="M18" s="26"/>
      <c r="N18" s="26"/>
      <c r="O18" s="26"/>
      <c r="P18" s="46" t="s">
        <v>71</v>
      </c>
      <c r="W18" s="47"/>
      <c r="X18" s="48"/>
      <c r="Y18" s="26"/>
      <c r="Z18" s="26"/>
      <c r="AA18" s="26"/>
      <c r="AB18" s="26"/>
      <c r="AC18" s="26"/>
      <c r="AD18" s="26"/>
      <c r="AE18" s="26"/>
      <c r="AF18" s="33"/>
      <c r="AG18" s="33"/>
      <c r="AH18" s="33"/>
      <c r="AI18" s="33"/>
      <c r="AJ18" s="33"/>
      <c r="AK18" s="33"/>
      <c r="AL18" s="33"/>
      <c r="AM18" s="26"/>
      <c r="AN18" s="26"/>
    </row>
    <row r="19" ht="15.0" customHeight="1">
      <c r="A19" s="49" t="str">
        <f>AE19</f>
        <v>Max Anastasi Jr</v>
      </c>
      <c r="B19" s="39">
        <v>1.0</v>
      </c>
      <c r="C19" s="50">
        <f>IF(B19&gt;B17,1,0)</f>
        <v>0</v>
      </c>
      <c r="D19" s="51"/>
      <c r="E19" s="39">
        <v>2.0</v>
      </c>
      <c r="F19" s="50">
        <f>IF(E19&gt;E17,1,0)</f>
        <v>0</v>
      </c>
      <c r="G19" s="51"/>
      <c r="H19" s="42"/>
      <c r="I19" s="26">
        <f>IF(H19&gt;H17,1,0)</f>
        <v>0</v>
      </c>
      <c r="J19" s="26">
        <f>IF(B19="",0,1)</f>
        <v>1</v>
      </c>
      <c r="K19" s="26">
        <f>IF(C19+F19=2,3,IF(C19+F19=1,1,0))</f>
        <v>0</v>
      </c>
      <c r="L19" s="26">
        <f>IF(K19=3,3,IF(I19+K19=2,2,IF(K19=1,1,0)))</f>
        <v>0</v>
      </c>
      <c r="M19" s="26">
        <f>B19+E19</f>
        <v>3</v>
      </c>
      <c r="N19" s="26">
        <f>C19+F19+I19</f>
        <v>0</v>
      </c>
      <c r="O19" s="26"/>
      <c r="P19" s="49" t="str">
        <f>AE19</f>
        <v>Max Anastasi Jr</v>
      </c>
      <c r="Q19" s="39">
        <v>6.0</v>
      </c>
      <c r="R19" s="50">
        <f>IF(Q19&gt;Q17,1,0)</f>
        <v>1</v>
      </c>
      <c r="S19" s="51"/>
      <c r="T19" s="39">
        <v>3.0</v>
      </c>
      <c r="U19" s="50">
        <f>IF(T19&gt;T17,1,0)</f>
        <v>0</v>
      </c>
      <c r="V19" s="51"/>
      <c r="W19" s="39">
        <v>2.0</v>
      </c>
      <c r="X19" s="26">
        <f>IF(W19&gt;W17,1,0)</f>
        <v>0</v>
      </c>
      <c r="Y19" s="26">
        <f>IF(Q19="",0,1)</f>
        <v>1</v>
      </c>
      <c r="Z19" s="26">
        <f>IF(R19+U19=2,3,IF(R19+U19=1,1,0))</f>
        <v>1</v>
      </c>
      <c r="AA19" s="26">
        <f>IF(Z19=3,3,IF(X19+Z19=2,2,IF(Z19=1,1,0)))</f>
        <v>1</v>
      </c>
      <c r="AB19" s="26">
        <f>Q19+T19</f>
        <v>9</v>
      </c>
      <c r="AC19" s="26">
        <f>R19+U19+X19</f>
        <v>1</v>
      </c>
      <c r="AD19" s="26"/>
      <c r="AE19" s="88" t="str">
        <f>'Players - Men'!B27</f>
        <v>Max Anastasi Jr</v>
      </c>
      <c r="AF19" s="44">
        <f>Y19+Y27+Y35+J19+J31</f>
        <v>5</v>
      </c>
      <c r="AG19" s="44">
        <f t="shared" ref="AG19:AI19" si="6">AA19+AA27+AA35+L19+L31</f>
        <v>1</v>
      </c>
      <c r="AH19" s="44">
        <f t="shared" si="6"/>
        <v>25</v>
      </c>
      <c r="AI19" s="45">
        <f t="shared" si="6"/>
        <v>1</v>
      </c>
      <c r="AJ19" s="26"/>
      <c r="AK19" s="33"/>
      <c r="AL19" s="33"/>
      <c r="AM19" s="26"/>
      <c r="AN19" s="26"/>
    </row>
    <row r="20" ht="15.0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33"/>
      <c r="AL20" s="26"/>
      <c r="AM20" s="26"/>
      <c r="AN20" s="26"/>
    </row>
    <row r="21" ht="15.0" customHeight="1">
      <c r="A21" s="38" t="str">
        <f>AE11</f>
        <v>Artiom Kiricenko</v>
      </c>
      <c r="B21" s="39">
        <v>2.0</v>
      </c>
      <c r="C21" s="40">
        <f>IF(B21&gt;B23,1,0)</f>
        <v>0</v>
      </c>
      <c r="D21" s="41"/>
      <c r="E21" s="39">
        <v>0.0</v>
      </c>
      <c r="F21" s="40">
        <f>IF(E21&gt;E23,1,0)</f>
        <v>0</v>
      </c>
      <c r="G21" s="41"/>
      <c r="H21" s="42"/>
      <c r="I21" s="26">
        <f>IF(H21&gt;H23,1,0)</f>
        <v>0</v>
      </c>
      <c r="J21" s="26">
        <f>IF(B21="",0,1)</f>
        <v>1</v>
      </c>
      <c r="K21" s="26">
        <f>IF(C21+F21=2,3,IF(C21+F21=1,1,0))</f>
        <v>0</v>
      </c>
      <c r="L21" s="26">
        <f>IF(K21=3,3,IF(I21+K21=2,2,IF(K21=1,1,0)))</f>
        <v>0</v>
      </c>
      <c r="M21" s="26">
        <f>B21+E21</f>
        <v>2</v>
      </c>
      <c r="N21" s="26">
        <f>C21+F21+I21</f>
        <v>0</v>
      </c>
      <c r="O21" s="26"/>
      <c r="P21" s="38" t="str">
        <f>AE11</f>
        <v>Artiom Kiricenko</v>
      </c>
      <c r="Q21" s="39">
        <v>3.0</v>
      </c>
      <c r="R21" s="40">
        <f>IF(Q21&gt;Q23,1,0)</f>
        <v>0</v>
      </c>
      <c r="S21" s="41"/>
      <c r="T21" s="39">
        <v>4.0</v>
      </c>
      <c r="U21" s="40">
        <f>IF(T21&gt;T23,1,0)</f>
        <v>0</v>
      </c>
      <c r="V21" s="41"/>
      <c r="W21" s="42"/>
      <c r="X21" s="26">
        <f>IF(W21&gt;W23,1,0)</f>
        <v>0</v>
      </c>
      <c r="Y21" s="26">
        <f>IF(Q21="",0,1)</f>
        <v>1</v>
      </c>
      <c r="Z21" s="26">
        <f>IF(R21+U21=2,3,IF(R21+U21=1,1,0))</f>
        <v>0</v>
      </c>
      <c r="AA21" s="26">
        <f>IF(Z21=3,3,IF(X21+Z21=2,2,IF(Z21=1,1,0)))</f>
        <v>0</v>
      </c>
      <c r="AB21" s="26">
        <f>Q21+T21</f>
        <v>7</v>
      </c>
      <c r="AC21" s="26">
        <f>R21+U21+X21</f>
        <v>0</v>
      </c>
      <c r="AD21" s="26"/>
      <c r="AE21" s="89" t="s">
        <v>83</v>
      </c>
      <c r="AF21" s="29"/>
      <c r="AG21" s="29"/>
      <c r="AH21" s="29"/>
      <c r="AI21" s="30"/>
      <c r="AJ21" s="26"/>
      <c r="AK21" s="26"/>
      <c r="AL21" s="26"/>
      <c r="AM21" s="26"/>
      <c r="AN21" s="26"/>
    </row>
    <row r="22" ht="15.0" customHeight="1">
      <c r="A22" s="46" t="s">
        <v>71</v>
      </c>
      <c r="H22" s="47"/>
      <c r="I22" s="48"/>
      <c r="J22" s="26"/>
      <c r="K22" s="26"/>
      <c r="L22" s="26"/>
      <c r="M22" s="26"/>
      <c r="N22" s="26"/>
      <c r="O22" s="26"/>
      <c r="P22" s="46" t="s">
        <v>71</v>
      </c>
      <c r="W22" s="47"/>
      <c r="X22" s="48"/>
      <c r="Y22" s="26"/>
      <c r="Z22" s="26"/>
      <c r="AA22" s="26"/>
      <c r="AB22" s="26"/>
      <c r="AC22" s="26"/>
      <c r="AD22" s="26"/>
      <c r="AE22" s="53" t="s">
        <v>32</v>
      </c>
      <c r="AF22" s="29"/>
      <c r="AG22" s="29"/>
      <c r="AH22" s="29"/>
      <c r="AI22" s="30"/>
      <c r="AJ22" s="26"/>
      <c r="AK22" s="33"/>
      <c r="AL22" s="26"/>
      <c r="AM22" s="26"/>
      <c r="AN22" s="26"/>
    </row>
    <row r="23" ht="15.0" customHeight="1">
      <c r="A23" s="49" t="str">
        <f>AE13</f>
        <v>Kristen Cachia</v>
      </c>
      <c r="B23" s="39">
        <v>6.0</v>
      </c>
      <c r="C23" s="50">
        <f>IF(B23&gt;B21,1,0)</f>
        <v>1</v>
      </c>
      <c r="D23" s="51"/>
      <c r="E23" s="39">
        <v>6.0</v>
      </c>
      <c r="F23" s="50">
        <f>IF(E23&gt;E21,1,0)</f>
        <v>1</v>
      </c>
      <c r="G23" s="51"/>
      <c r="H23" s="42"/>
      <c r="I23" s="26">
        <f>IF(H23&gt;H21,1,0)</f>
        <v>0</v>
      </c>
      <c r="J23" s="26">
        <f>IF(B23="",0,1)</f>
        <v>1</v>
      </c>
      <c r="K23" s="26">
        <f>IF(C23+F23=2,3,IF(C23+F23=1,1,0))</f>
        <v>3</v>
      </c>
      <c r="L23" s="26">
        <f>IF(K23=3,3,IF(I23+K23=2,2,IF(K23=1,1,0)))</f>
        <v>3</v>
      </c>
      <c r="M23" s="26">
        <f>B23+E23</f>
        <v>12</v>
      </c>
      <c r="N23" s="26">
        <f>C23+F23+I23</f>
        <v>2</v>
      </c>
      <c r="O23" s="26"/>
      <c r="P23" s="49" t="str">
        <f>AE15</f>
        <v>Denis Caruana</v>
      </c>
      <c r="Q23" s="39">
        <v>6.0</v>
      </c>
      <c r="R23" s="50">
        <f>IF(Q23&gt;Q21,1,0)</f>
        <v>1</v>
      </c>
      <c r="S23" s="51"/>
      <c r="T23" s="39">
        <v>6.0</v>
      </c>
      <c r="U23" s="50">
        <f>IF(T23&gt;T21,1,0)</f>
        <v>1</v>
      </c>
      <c r="V23" s="51"/>
      <c r="W23" s="42"/>
      <c r="X23" s="26">
        <f>IF(W23&gt;W21,1,0)</f>
        <v>0</v>
      </c>
      <c r="Y23" s="26">
        <f>IF(Q23="",0,1)</f>
        <v>1</v>
      </c>
      <c r="Z23" s="26">
        <f>IF(R23+U23=2,3,IF(R23+U23=1,1,0))</f>
        <v>3</v>
      </c>
      <c r="AA23" s="26">
        <f>IF(Z23=3,3,IF(X23+Z23=2,2,IF(Z23=1,1,0)))</f>
        <v>3</v>
      </c>
      <c r="AB23" s="26">
        <f>Q23+T23</f>
        <v>12</v>
      </c>
      <c r="AC23" s="26">
        <f>R23+U23+X23</f>
        <v>2</v>
      </c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</row>
    <row r="25" ht="15.0" customHeight="1">
      <c r="A25" s="38" t="str">
        <f>AE11</f>
        <v>Artiom Kiricenko</v>
      </c>
      <c r="B25" s="39">
        <v>6.0</v>
      </c>
      <c r="C25" s="40">
        <f>IF(B25&gt;B27,1,0)</f>
        <v>1</v>
      </c>
      <c r="D25" s="41"/>
      <c r="E25" s="39">
        <v>0.0</v>
      </c>
      <c r="F25" s="40">
        <f>IF(E25&gt;E27,1,0)</f>
        <v>0</v>
      </c>
      <c r="G25" s="41"/>
      <c r="H25" s="39">
        <v>10.0</v>
      </c>
      <c r="I25" s="26">
        <f>IF(H25&gt;H27,1,0)</f>
        <v>1</v>
      </c>
      <c r="J25" s="26">
        <f>IF(B25="",0,1)</f>
        <v>1</v>
      </c>
      <c r="K25" s="26">
        <f>IF(C25+F25=2,3,IF(C25+F25=1,1,0))</f>
        <v>1</v>
      </c>
      <c r="L25" s="26">
        <f>IF(K25=3,3,IF(I25+K25=2,2,IF(K25=1,1,0)))</f>
        <v>2</v>
      </c>
      <c r="M25" s="26">
        <f>B25+E25</f>
        <v>6</v>
      </c>
      <c r="N25" s="26">
        <f>C25+F25+I25</f>
        <v>2</v>
      </c>
      <c r="O25" s="26"/>
      <c r="P25" s="38" t="str">
        <f>AE11</f>
        <v>Artiom Kiricenko</v>
      </c>
      <c r="Q25" s="39">
        <v>6.0</v>
      </c>
      <c r="R25" s="40">
        <f>IF(Q25&gt;Q27,1,0)</f>
        <v>1</v>
      </c>
      <c r="S25" s="41"/>
      <c r="T25" s="39">
        <v>6.0</v>
      </c>
      <c r="U25" s="40">
        <f>IF(T25&gt;T27,1,0)</f>
        <v>1</v>
      </c>
      <c r="V25" s="41"/>
      <c r="W25" s="42"/>
      <c r="X25" s="26">
        <f>IF(W25&gt;W27,1,0)</f>
        <v>0</v>
      </c>
      <c r="Y25" s="26">
        <f>IF(Q25="",0,1)</f>
        <v>1</v>
      </c>
      <c r="Z25" s="26">
        <f>IF(R25+U25=2,3,IF(R25+U25=1,1,0))</f>
        <v>3</v>
      </c>
      <c r="AA25" s="26">
        <f>IF(Z25=3,3,IF(X25+Z25=2,2,IF(Z25=1,1,0)))</f>
        <v>3</v>
      </c>
      <c r="AB25" s="26">
        <f>Q25+T25</f>
        <v>12</v>
      </c>
      <c r="AC25" s="26">
        <f>R25+U25+X25</f>
        <v>2</v>
      </c>
      <c r="AD25" s="26"/>
      <c r="AE25" s="89" t="s">
        <v>84</v>
      </c>
      <c r="AF25" s="29"/>
      <c r="AG25" s="29"/>
      <c r="AH25" s="29"/>
      <c r="AI25" s="30"/>
      <c r="AJ25" s="26"/>
      <c r="AK25" s="26"/>
      <c r="AL25" s="26"/>
      <c r="AM25" s="26"/>
      <c r="AN25" s="26"/>
    </row>
    <row r="26" ht="15.0" customHeight="1">
      <c r="A26" s="46" t="s">
        <v>71</v>
      </c>
      <c r="H26" s="47"/>
      <c r="I26" s="48"/>
      <c r="J26" s="26"/>
      <c r="K26" s="26"/>
      <c r="L26" s="26"/>
      <c r="M26" s="26"/>
      <c r="N26" s="26"/>
      <c r="O26" s="26"/>
      <c r="P26" s="46" t="s">
        <v>71</v>
      </c>
      <c r="W26" s="47"/>
      <c r="X26" s="48"/>
      <c r="Y26" s="26"/>
      <c r="Z26" s="26"/>
      <c r="AA26" s="26"/>
      <c r="AB26" s="26"/>
      <c r="AC26" s="26"/>
      <c r="AD26" s="26"/>
      <c r="AE26" s="53" t="s">
        <v>33</v>
      </c>
      <c r="AF26" s="29"/>
      <c r="AG26" s="29"/>
      <c r="AH26" s="29"/>
      <c r="AI26" s="30"/>
      <c r="AJ26" s="26"/>
      <c r="AK26" s="26"/>
      <c r="AL26" s="26"/>
      <c r="AM26" s="26"/>
      <c r="AN26" s="26"/>
    </row>
    <row r="27" ht="15.0" customHeight="1">
      <c r="A27" s="49" t="str">
        <f>AE17</f>
        <v>Ryan Ebejer</v>
      </c>
      <c r="B27" s="39">
        <v>3.0</v>
      </c>
      <c r="C27" s="50">
        <f>IF(B27&gt;B25,1,0)</f>
        <v>0</v>
      </c>
      <c r="D27" s="51"/>
      <c r="E27" s="39">
        <v>6.0</v>
      </c>
      <c r="F27" s="50">
        <f>IF(E27&gt;E25,1,0)</f>
        <v>1</v>
      </c>
      <c r="G27" s="51"/>
      <c r="H27" s="39">
        <v>4.0</v>
      </c>
      <c r="I27" s="26">
        <f>IF(H27&gt;H25,1,0)</f>
        <v>0</v>
      </c>
      <c r="J27" s="26">
        <f>IF(B27="",0,1)</f>
        <v>1</v>
      </c>
      <c r="K27" s="26">
        <f>IF(C27+F27=2,3,IF(C27+F27=1,1,0))</f>
        <v>1</v>
      </c>
      <c r="L27" s="26">
        <f>IF(K27=3,3,IF(I27+K27=2,2,IF(K27=1,1,0)))</f>
        <v>1</v>
      </c>
      <c r="M27" s="26">
        <f>B27+E27</f>
        <v>9</v>
      </c>
      <c r="N27" s="26">
        <f>C27+F27+I27</f>
        <v>1</v>
      </c>
      <c r="O27" s="26"/>
      <c r="P27" s="49" t="str">
        <f>AE19</f>
        <v>Max Anastasi Jr</v>
      </c>
      <c r="Q27" s="39">
        <v>4.0</v>
      </c>
      <c r="R27" s="50">
        <f>IF(Q27&gt;Q25,1,0)</f>
        <v>0</v>
      </c>
      <c r="S27" s="51"/>
      <c r="T27" s="39">
        <v>2.0</v>
      </c>
      <c r="U27" s="50">
        <f>IF(T27&gt;T25,1,0)</f>
        <v>0</v>
      </c>
      <c r="V27" s="51"/>
      <c r="W27" s="42"/>
      <c r="X27" s="26">
        <f>IF(W27&gt;W25,1,0)</f>
        <v>0</v>
      </c>
      <c r="Y27" s="26">
        <f>IF(Q27="",0,1)</f>
        <v>1</v>
      </c>
      <c r="Z27" s="26">
        <f>IF(R27+U27=2,3,IF(R27+U27=1,1,0))</f>
        <v>0</v>
      </c>
      <c r="AA27" s="26">
        <f>IF(Z27=3,3,IF(X27+Z27=2,2,IF(Z27=1,1,0)))</f>
        <v>0</v>
      </c>
      <c r="AB27" s="26">
        <f>Q27+T27</f>
        <v>6</v>
      </c>
      <c r="AC27" s="26">
        <f>R27+U27+X27</f>
        <v>0</v>
      </c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</row>
    <row r="28" ht="15.0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33"/>
      <c r="AI28" s="26"/>
      <c r="AJ28" s="26"/>
      <c r="AK28" s="26"/>
      <c r="AL28" s="26"/>
      <c r="AM28" s="26"/>
      <c r="AN28" s="26"/>
    </row>
    <row r="29" ht="15.0" customHeight="1">
      <c r="A29" s="38" t="str">
        <f>AE15</f>
        <v>Denis Caruana</v>
      </c>
      <c r="B29" s="39">
        <v>6.0</v>
      </c>
      <c r="C29" s="40">
        <f>IF(B29&gt;B31,1,0)</f>
        <v>1</v>
      </c>
      <c r="D29" s="41"/>
      <c r="E29" s="39">
        <v>6.0</v>
      </c>
      <c r="F29" s="40">
        <f>IF(E29&gt;E31,1,0)</f>
        <v>1</v>
      </c>
      <c r="G29" s="41"/>
      <c r="H29" s="42"/>
      <c r="I29" s="26">
        <f>IF(H29&gt;H31,1,0)</f>
        <v>0</v>
      </c>
      <c r="J29" s="26">
        <f>IF(B29="",0,1)</f>
        <v>1</v>
      </c>
      <c r="K29" s="26">
        <f>IF(C29+F29=2,3,IF(C29+F29=1,1,0))</f>
        <v>3</v>
      </c>
      <c r="L29" s="26">
        <f>IF(K29=3,3,IF(I29+K29=2,2,IF(K29=1,1,0)))</f>
        <v>3</v>
      </c>
      <c r="M29" s="26">
        <f>B29+E29</f>
        <v>12</v>
      </c>
      <c r="N29" s="26">
        <f>C29+F29+I29</f>
        <v>2</v>
      </c>
      <c r="O29" s="26"/>
      <c r="P29" s="38" t="str">
        <f>AE13</f>
        <v>Kristen Cachia</v>
      </c>
      <c r="Q29" s="39">
        <v>3.0</v>
      </c>
      <c r="R29" s="40">
        <f>IF(Q29&gt;Q31,1,0)</f>
        <v>0</v>
      </c>
      <c r="S29" s="41"/>
      <c r="T29" s="39">
        <v>6.0</v>
      </c>
      <c r="U29" s="40">
        <f>IF(T29&gt;T31,1,0)</f>
        <v>1</v>
      </c>
      <c r="V29" s="41"/>
      <c r="W29" s="39">
        <v>6.0</v>
      </c>
      <c r="X29" s="26">
        <f>IF(W29&gt;W31,1,0)</f>
        <v>0</v>
      </c>
      <c r="Y29" s="26">
        <f>IF(Q29="",0,1)</f>
        <v>1</v>
      </c>
      <c r="Z29" s="26">
        <f>IF(R29+U29=2,3,IF(R29+U29=1,1,0))</f>
        <v>1</v>
      </c>
      <c r="AA29" s="26">
        <f>IF(Z29=3,3,IF(X29+Z29=2,2,IF(Z29=1,1,0)))</f>
        <v>1</v>
      </c>
      <c r="AB29" s="26">
        <f>Q29+T29</f>
        <v>9</v>
      </c>
      <c r="AC29" s="26">
        <f>R29+U29+X29</f>
        <v>1</v>
      </c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</row>
    <row r="30" ht="15.0" customHeight="1">
      <c r="A30" s="46" t="s">
        <v>71</v>
      </c>
      <c r="H30" s="47"/>
      <c r="I30" s="48"/>
      <c r="J30" s="26"/>
      <c r="K30" s="26"/>
      <c r="L30" s="26"/>
      <c r="M30" s="26"/>
      <c r="N30" s="26"/>
      <c r="O30" s="26"/>
      <c r="P30" s="46" t="s">
        <v>71</v>
      </c>
      <c r="W30" s="47"/>
      <c r="X30" s="48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54"/>
      <c r="AM30" s="26"/>
      <c r="AN30" s="26"/>
    </row>
    <row r="31" ht="15.0" customHeight="1">
      <c r="A31" s="49" t="str">
        <f>AE19</f>
        <v>Max Anastasi Jr</v>
      </c>
      <c r="B31" s="39">
        <v>3.0</v>
      </c>
      <c r="C31" s="50">
        <f>IF(B31&gt;B29,1,0)</f>
        <v>0</v>
      </c>
      <c r="D31" s="51"/>
      <c r="E31" s="39">
        <v>1.0</v>
      </c>
      <c r="F31" s="50">
        <f>IF(E31&gt;E29,1,0)</f>
        <v>0</v>
      </c>
      <c r="G31" s="51"/>
      <c r="H31" s="42"/>
      <c r="I31" s="26">
        <f>IF(H31&gt;H29,1,0)</f>
        <v>0</v>
      </c>
      <c r="J31" s="26">
        <f>IF(B31="",0,1)</f>
        <v>1</v>
      </c>
      <c r="K31" s="26">
        <f>IF(C31+F31=2,3,IF(C31+F31=1,1,0))</f>
        <v>0</v>
      </c>
      <c r="L31" s="26">
        <f>IF(K31=3,3,IF(I31+K31=2,2,IF(K31=1,1,0)))</f>
        <v>0</v>
      </c>
      <c r="M31" s="26">
        <f>B31+E31</f>
        <v>4</v>
      </c>
      <c r="N31" s="26">
        <f>C31+F31+I31</f>
        <v>0</v>
      </c>
      <c r="O31" s="26"/>
      <c r="P31" s="49" t="str">
        <f>AE15</f>
        <v>Denis Caruana</v>
      </c>
      <c r="Q31" s="39">
        <v>6.0</v>
      </c>
      <c r="R31" s="50">
        <f>IF(Q31&gt;Q29,1,0)</f>
        <v>1</v>
      </c>
      <c r="S31" s="51"/>
      <c r="T31" s="39">
        <v>2.0</v>
      </c>
      <c r="U31" s="50">
        <f>IF(T31&gt;T29,1,0)</f>
        <v>0</v>
      </c>
      <c r="V31" s="51"/>
      <c r="W31" s="39">
        <v>10.0</v>
      </c>
      <c r="X31" s="26">
        <f>IF(W31&gt;W29,1,0)</f>
        <v>1</v>
      </c>
      <c r="Y31" s="26">
        <f>IF(Q31="",0,1)</f>
        <v>1</v>
      </c>
      <c r="Z31" s="26">
        <f>IF(R31+U31=2,3,IF(R31+U31=1,1,0))</f>
        <v>1</v>
      </c>
      <c r="AA31" s="26">
        <f>IF(Z31=3,3,IF(X31+Z31=2,2,IF(Z31=1,1,0)))</f>
        <v>2</v>
      </c>
      <c r="AB31" s="26">
        <f>Q31+T31</f>
        <v>8</v>
      </c>
      <c r="AC31" s="26">
        <f>R31+U31+X31</f>
        <v>2</v>
      </c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33"/>
    </row>
    <row r="32" ht="15.0" customHeight="1">
      <c r="A32" s="26"/>
      <c r="B32" s="26"/>
      <c r="C32" s="26"/>
      <c r="D32" s="26"/>
      <c r="E32" s="33"/>
      <c r="F32" s="26"/>
      <c r="G32" s="26"/>
      <c r="H32" s="33"/>
      <c r="I32" s="26"/>
      <c r="J32" s="33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33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54"/>
      <c r="AM32" s="26"/>
      <c r="AN32" s="26"/>
    </row>
    <row r="33" ht="15.0" customHeight="1">
      <c r="A33" s="38" t="str">
        <f>AE13</f>
        <v>Kristen Cachia</v>
      </c>
      <c r="B33" s="39">
        <v>6.0</v>
      </c>
      <c r="C33" s="40">
        <f>IF(B33&gt;B35,1,0)</f>
        <v>1</v>
      </c>
      <c r="D33" s="41"/>
      <c r="E33" s="39">
        <v>6.0</v>
      </c>
      <c r="F33" s="40">
        <f>IF(E33&gt;E35,1,0)</f>
        <v>1</v>
      </c>
      <c r="G33" s="41"/>
      <c r="H33" s="42"/>
      <c r="I33" s="26">
        <f>IF(H33&gt;H35,1,0)</f>
        <v>0</v>
      </c>
      <c r="J33" s="26">
        <f>IF(B33="",0,1)</f>
        <v>1</v>
      </c>
      <c r="K33" s="26">
        <f>IF(C33+F33=2,3,IF(C33+F33=1,1,0))</f>
        <v>3</v>
      </c>
      <c r="L33" s="26">
        <f>IF(K33=3,3,IF(I33+K33=2,2,IF(K33=1,1,0)))</f>
        <v>3</v>
      </c>
      <c r="M33" s="26">
        <f>B33+E33</f>
        <v>12</v>
      </c>
      <c r="N33" s="26">
        <f>C33+F33+I33</f>
        <v>2</v>
      </c>
      <c r="O33" s="26"/>
      <c r="P33" s="38" t="str">
        <f>AE13</f>
        <v>Kristen Cachia</v>
      </c>
      <c r="Q33" s="39">
        <v>6.0</v>
      </c>
      <c r="R33" s="40">
        <f>IF(Q33&gt;Q35,1,0)</f>
        <v>1</v>
      </c>
      <c r="S33" s="41"/>
      <c r="T33" s="39">
        <v>6.0</v>
      </c>
      <c r="U33" s="40">
        <f>IF(T33&gt;T35,1,0)</f>
        <v>1</v>
      </c>
      <c r="V33" s="41"/>
      <c r="W33" s="42"/>
      <c r="X33" s="26">
        <f>IF(W33&gt;W35,1,0)</f>
        <v>0</v>
      </c>
      <c r="Y33" s="26">
        <f>IF(Q33="",0,1)</f>
        <v>1</v>
      </c>
      <c r="Z33" s="26">
        <f>IF(R33+U33=2,3,IF(R33+U33=1,1,0))</f>
        <v>3</v>
      </c>
      <c r="AA33" s="26">
        <f>IF(Z33=3,3,IF(X33+Z33=2,2,IF(Z33=1,1,0)))</f>
        <v>3</v>
      </c>
      <c r="AB33" s="26">
        <f>Q33+T33</f>
        <v>12</v>
      </c>
      <c r="AC33" s="26">
        <f>R33+U33+X33</f>
        <v>2</v>
      </c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</row>
    <row r="34" ht="15.0" customHeight="1">
      <c r="A34" s="46" t="s">
        <v>71</v>
      </c>
      <c r="H34" s="47"/>
      <c r="I34" s="48"/>
      <c r="J34" s="26"/>
      <c r="K34" s="26"/>
      <c r="L34" s="26"/>
      <c r="M34" s="26"/>
      <c r="N34" s="26"/>
      <c r="O34" s="26"/>
      <c r="P34" s="46" t="s">
        <v>71</v>
      </c>
      <c r="W34" s="47"/>
      <c r="X34" s="48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</row>
    <row r="35" ht="15.0" customHeight="1">
      <c r="A35" s="49" t="str">
        <f>AE17</f>
        <v>Ryan Ebejer</v>
      </c>
      <c r="B35" s="39">
        <v>3.0</v>
      </c>
      <c r="C35" s="50">
        <f>IF(B35&gt;B33,1,0)</f>
        <v>0</v>
      </c>
      <c r="D35" s="51"/>
      <c r="E35" s="39">
        <v>4.0</v>
      </c>
      <c r="F35" s="50">
        <f>IF(E35&gt;E33,1,0)</f>
        <v>0</v>
      </c>
      <c r="G35" s="51"/>
      <c r="H35" s="42"/>
      <c r="I35" s="26">
        <f>IF(H35&gt;H33,1,0)</f>
        <v>0</v>
      </c>
      <c r="J35" s="26">
        <f>IF(B35="",0,1)</f>
        <v>1</v>
      </c>
      <c r="K35" s="26">
        <f>IF(C35+F35=2,3,IF(C35+F35=1,1,0))</f>
        <v>0</v>
      </c>
      <c r="L35" s="26">
        <f>IF(K35=3,3,IF(I35+K35=2,2,IF(K35=1,1,0)))</f>
        <v>0</v>
      </c>
      <c r="M35" s="26">
        <f>B35+E35</f>
        <v>7</v>
      </c>
      <c r="N35" s="26">
        <f>C35+F35+I35</f>
        <v>0</v>
      </c>
      <c r="O35" s="26"/>
      <c r="P35" s="49" t="str">
        <f>AE19</f>
        <v>Max Anastasi Jr</v>
      </c>
      <c r="Q35" s="39">
        <v>1.0</v>
      </c>
      <c r="R35" s="50">
        <f>IF(Q35&gt;Q33,1,0)</f>
        <v>0</v>
      </c>
      <c r="S35" s="51"/>
      <c r="T35" s="39">
        <v>2.0</v>
      </c>
      <c r="U35" s="50">
        <f>IF(T35&gt;T33,1,0)</f>
        <v>0</v>
      </c>
      <c r="V35" s="51"/>
      <c r="W35" s="42"/>
      <c r="X35" s="26">
        <f>IF(W35&gt;W33,1,0)</f>
        <v>0</v>
      </c>
      <c r="Y35" s="26">
        <f>IF(Q35="",0,1)</f>
        <v>1</v>
      </c>
      <c r="Z35" s="26">
        <f>IF(R35+U35=2,3,IF(R35+U35=1,1,0))</f>
        <v>0</v>
      </c>
      <c r="AA35" s="26">
        <f>IF(Z35=3,3,IF(X35+Z35=2,2,IF(Z35=1,1,0)))</f>
        <v>0</v>
      </c>
      <c r="AB35" s="26">
        <f>Q35+T35</f>
        <v>3</v>
      </c>
      <c r="AC35" s="26">
        <f>R35+U35+X35</f>
        <v>0</v>
      </c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</row>
    <row r="36" ht="15.0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33"/>
      <c r="AI36" s="26"/>
      <c r="AJ36" s="26"/>
      <c r="AK36" s="33"/>
      <c r="AL36" s="26"/>
      <c r="AM36" s="26"/>
      <c r="AN36" s="26"/>
    </row>
    <row r="37" ht="15.0" customHeight="1">
      <c r="A37" s="38" t="str">
        <f>AE15</f>
        <v>Denis Caruana</v>
      </c>
      <c r="B37" s="39">
        <v>6.0</v>
      </c>
      <c r="C37" s="40">
        <f>IF(B37&gt;B39,1,0)</f>
        <v>1</v>
      </c>
      <c r="D37" s="41"/>
      <c r="E37" s="39">
        <v>6.0</v>
      </c>
      <c r="F37" s="40">
        <f>IF(E37&gt;E39,1,0)</f>
        <v>1</v>
      </c>
      <c r="G37" s="41"/>
      <c r="H37" s="42"/>
      <c r="I37" s="26">
        <f>IF(H37&gt;H39,1,0)</f>
        <v>0</v>
      </c>
      <c r="J37" s="26">
        <f>IF(B37="",0,1)</f>
        <v>1</v>
      </c>
      <c r="K37" s="26">
        <f>IF(C37+F37=2,3,IF(C37+F37=1,1,0))</f>
        <v>3</v>
      </c>
      <c r="L37" s="26">
        <f>IF(K37=3,3,IF(I37+K37=2,2,IF(K37=1,1,0)))</f>
        <v>3</v>
      </c>
      <c r="M37" s="26">
        <f>B37+E37</f>
        <v>12</v>
      </c>
      <c r="N37" s="26">
        <f>C37+F37+I37</f>
        <v>2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33"/>
      <c r="AL37" s="26"/>
      <c r="AM37" s="26"/>
      <c r="AN37" s="26"/>
    </row>
    <row r="38" ht="15.0" customHeight="1">
      <c r="A38" s="46" t="s">
        <v>71</v>
      </c>
      <c r="H38" s="47"/>
      <c r="I38" s="48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56"/>
      <c r="AK38" s="26"/>
      <c r="AL38" s="26"/>
      <c r="AM38" s="26"/>
      <c r="AN38" s="26"/>
    </row>
    <row r="39" ht="15.0" customHeight="1">
      <c r="A39" s="49" t="str">
        <f>AE17</f>
        <v>Ryan Ebejer</v>
      </c>
      <c r="B39" s="39">
        <v>3.0</v>
      </c>
      <c r="C39" s="50">
        <f>IF(B39&gt;B37,1,0)</f>
        <v>0</v>
      </c>
      <c r="D39" s="51"/>
      <c r="E39" s="39">
        <v>1.0</v>
      </c>
      <c r="F39" s="50">
        <f>IF(E39&gt;E37,1,0)</f>
        <v>0</v>
      </c>
      <c r="G39" s="51"/>
      <c r="H39" s="42"/>
      <c r="I39" s="26">
        <f>IF(H39&gt;H37,1,0)</f>
        <v>0</v>
      </c>
      <c r="J39" s="26">
        <f>IF(B39="",0,1)</f>
        <v>1</v>
      </c>
      <c r="K39" s="26">
        <f>IF(C39+F39=2,3,IF(C39+F39=1,1,0))</f>
        <v>0</v>
      </c>
      <c r="L39" s="26">
        <f>IF(K39=3,3,IF(I39+K39=2,2,IF(K39=1,1,0)))</f>
        <v>0</v>
      </c>
      <c r="M39" s="26">
        <f>B39+E39</f>
        <v>4</v>
      </c>
      <c r="N39" s="26">
        <f>C39+F39+I39</f>
        <v>0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</row>
    <row r="42" ht="15.0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56"/>
      <c r="AK42" s="26"/>
      <c r="AL42" s="26"/>
      <c r="AM42" s="26"/>
      <c r="AN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</row>
    <row r="47" ht="15.0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56"/>
      <c r="AK47" s="26"/>
      <c r="AL47" s="33"/>
      <c r="AM47" s="26"/>
      <c r="AN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</row>
    <row r="52" ht="15.0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56"/>
      <c r="AK52" s="26"/>
      <c r="AL52" s="26"/>
      <c r="AM52" s="26"/>
      <c r="AN52" s="33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</row>
    <row r="56" ht="15.0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33"/>
      <c r="AI56" s="26"/>
      <c r="AJ56" s="26"/>
      <c r="AK56" s="33"/>
      <c r="AL56" s="26"/>
      <c r="AM56" s="26"/>
      <c r="AN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</row>
    <row r="106" ht="15.0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33"/>
      <c r="R106" s="33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</row>
  </sheetData>
  <mergeCells count="23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0.75" footer="0.0" header="0.0" left="0.25" right="0.25" top="0.75"/>
  <pageSetup paperSize="9" scale="7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25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0" width="7.75"/>
    <col customWidth="1" hidden="1" min="11" max="11" width="7.38"/>
    <col customWidth="1" hidden="1" min="12" max="12" width="11.25"/>
    <col customWidth="1" hidden="1" min="13" max="13" width="8.0"/>
    <col customWidth="1" hidden="1" min="14" max="14" width="6.13"/>
    <col customWidth="1" min="15" max="15" width="4.13"/>
    <col customWidth="1" min="16" max="16" width="35.0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7.75"/>
    <col customWidth="1" hidden="1" min="26" max="26" width="7.38"/>
    <col customWidth="1" hidden="1" min="27" max="27" width="11.25"/>
    <col customWidth="1" hidden="1" min="28" max="28" width="8.0"/>
    <col customWidth="1" hidden="1" min="29" max="29" width="6.13"/>
    <col customWidth="1" min="30" max="30" width="4.63"/>
    <col customWidth="1" min="31" max="31" width="43.0"/>
    <col customWidth="1" min="32" max="35" width="8.75"/>
    <col customWidth="1" hidden="1" min="36" max="36" width="9.25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5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5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4.25" customHeight="1">
      <c r="A5" s="90" t="s">
        <v>36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5"/>
      <c r="AJ5" s="26"/>
      <c r="AK5" s="26"/>
      <c r="AL5" s="26"/>
      <c r="AM5" s="26"/>
      <c r="AN5" s="26"/>
    </row>
    <row r="6" ht="15.0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</row>
    <row r="7" ht="14.25" customHeight="1">
      <c r="A7" s="91" t="s">
        <v>51</v>
      </c>
      <c r="B7" s="92" t="s">
        <v>52</v>
      </c>
      <c r="C7" s="29"/>
      <c r="D7" s="29"/>
      <c r="E7" s="30"/>
      <c r="F7" s="78"/>
      <c r="G7" s="61"/>
      <c r="H7" s="91" t="s">
        <v>53</v>
      </c>
      <c r="I7" s="26"/>
      <c r="J7" s="26"/>
      <c r="K7" s="26"/>
      <c r="L7" s="26"/>
      <c r="M7" s="33"/>
      <c r="N7" s="33"/>
      <c r="O7" s="26"/>
      <c r="P7" s="91" t="s">
        <v>51</v>
      </c>
      <c r="Q7" s="92" t="s">
        <v>52</v>
      </c>
      <c r="R7" s="29"/>
      <c r="S7" s="29"/>
      <c r="T7" s="30"/>
      <c r="U7" s="78"/>
      <c r="V7" s="61"/>
      <c r="W7" s="91" t="s">
        <v>53</v>
      </c>
      <c r="X7" s="26"/>
      <c r="Y7" s="33"/>
      <c r="Z7" s="33"/>
      <c r="AA7" s="33"/>
      <c r="AB7" s="33"/>
      <c r="AC7" s="33"/>
      <c r="AD7" s="26"/>
      <c r="AE7" s="91" t="s">
        <v>54</v>
      </c>
      <c r="AF7" s="91" t="s">
        <v>55</v>
      </c>
      <c r="AG7" s="91" t="s">
        <v>56</v>
      </c>
      <c r="AH7" s="91" t="s">
        <v>57</v>
      </c>
      <c r="AI7" s="91" t="s">
        <v>58</v>
      </c>
      <c r="AJ7" s="93"/>
      <c r="AK7" s="93"/>
      <c r="AL7" s="93"/>
      <c r="AM7" s="26"/>
      <c r="AN7" s="26"/>
    </row>
    <row r="8" ht="14.25" hidden="1" customHeight="1">
      <c r="A8" s="26"/>
      <c r="B8" s="34" t="s">
        <v>59</v>
      </c>
      <c r="C8" s="34" t="s">
        <v>60</v>
      </c>
      <c r="D8" s="34"/>
      <c r="E8" s="34" t="s">
        <v>59</v>
      </c>
      <c r="F8" s="34" t="s">
        <v>61</v>
      </c>
      <c r="G8" s="34"/>
      <c r="H8" s="34" t="s">
        <v>59</v>
      </c>
      <c r="I8" s="34" t="s">
        <v>62</v>
      </c>
      <c r="J8" s="34" t="s">
        <v>63</v>
      </c>
      <c r="K8" s="34" t="s">
        <v>64</v>
      </c>
      <c r="L8" s="34" t="s">
        <v>65</v>
      </c>
      <c r="M8" s="34" t="s">
        <v>66</v>
      </c>
      <c r="N8" s="34" t="s">
        <v>67</v>
      </c>
      <c r="O8" s="26"/>
      <c r="P8" s="26"/>
      <c r="Q8" s="34" t="s">
        <v>59</v>
      </c>
      <c r="R8" s="34" t="s">
        <v>60</v>
      </c>
      <c r="S8" s="34"/>
      <c r="T8" s="34" t="s">
        <v>59</v>
      </c>
      <c r="U8" s="34" t="s">
        <v>61</v>
      </c>
      <c r="V8" s="34"/>
      <c r="W8" s="34" t="s">
        <v>59</v>
      </c>
      <c r="X8" s="34" t="s">
        <v>62</v>
      </c>
      <c r="Y8" s="34" t="s">
        <v>63</v>
      </c>
      <c r="Z8" s="34" t="s">
        <v>64</v>
      </c>
      <c r="AA8" s="34" t="s">
        <v>65</v>
      </c>
      <c r="AB8" s="34" t="s">
        <v>66</v>
      </c>
      <c r="AC8" s="34" t="s">
        <v>67</v>
      </c>
      <c r="AD8" s="26"/>
      <c r="AE8" s="33"/>
      <c r="AF8" s="33"/>
      <c r="AG8" s="33"/>
      <c r="AH8" s="33"/>
      <c r="AI8" s="33"/>
      <c r="AJ8" s="34" t="s">
        <v>68</v>
      </c>
      <c r="AK8" s="34" t="s">
        <v>81</v>
      </c>
      <c r="AL8" s="36" t="s">
        <v>69</v>
      </c>
      <c r="AM8" s="37" t="s">
        <v>70</v>
      </c>
      <c r="AN8" s="37" t="s">
        <v>82</v>
      </c>
    </row>
    <row r="9" ht="14.25" customHeight="1">
      <c r="A9" s="38" t="str">
        <f>AE9</f>
        <v>Lydon Vella</v>
      </c>
      <c r="B9" s="39">
        <v>6.0</v>
      </c>
      <c r="C9" s="40">
        <f>IF(B9&gt;B11,1,0)</f>
        <v>1</v>
      </c>
      <c r="D9" s="41"/>
      <c r="E9" s="39">
        <v>6.0</v>
      </c>
      <c r="F9" s="40">
        <f>IF(E9&gt;E11,1,0)</f>
        <v>1</v>
      </c>
      <c r="G9" s="41"/>
      <c r="H9" s="42"/>
      <c r="I9" s="26">
        <f>IF(H9&gt;H11,1,0)</f>
        <v>0</v>
      </c>
      <c r="J9" s="26">
        <f>IF(B9="",0,1)</f>
        <v>1</v>
      </c>
      <c r="K9" s="26">
        <f>IF(C9+F9=2,3,IF(C9+F9=1,1,0))</f>
        <v>3</v>
      </c>
      <c r="L9" s="26">
        <f>IF(K9=3,3,IF(I9+K9=2,2,IF(K9=1,1,0)))</f>
        <v>3</v>
      </c>
      <c r="M9" s="26">
        <f>B9+E9</f>
        <v>12</v>
      </c>
      <c r="N9" s="26">
        <f>C9+F9+I9</f>
        <v>2</v>
      </c>
      <c r="O9" s="26"/>
      <c r="P9" s="38" t="str">
        <f>AE9</f>
        <v>Lydon Vella</v>
      </c>
      <c r="Q9" s="39">
        <v>3.0</v>
      </c>
      <c r="R9" s="40">
        <f>IF(Q9&gt;Q11,1,0)</f>
        <v>0</v>
      </c>
      <c r="S9" s="41"/>
      <c r="T9" s="39">
        <v>6.0</v>
      </c>
      <c r="U9" s="40">
        <f>IF(T9&gt;T11,1,0)</f>
        <v>1</v>
      </c>
      <c r="V9" s="41"/>
      <c r="W9" s="39">
        <v>10.0</v>
      </c>
      <c r="X9" s="26">
        <f>IF(W9&gt;W11,1,0)</f>
        <v>1</v>
      </c>
      <c r="Y9" s="26">
        <f>IF(Q9="",0,1)</f>
        <v>1</v>
      </c>
      <c r="Z9" s="26">
        <f>IF(R9+U9=2,3,IF(R9+U9=1,1,0))</f>
        <v>1</v>
      </c>
      <c r="AA9" s="26">
        <f>IF(Z9=3,3,IF(X9+Z9=2,2,IF(Z9=1,1,0)))</f>
        <v>2</v>
      </c>
      <c r="AB9" s="26">
        <f>Q9+T9</f>
        <v>9</v>
      </c>
      <c r="AC9" s="26">
        <f>R9+U9+X9</f>
        <v>2</v>
      </c>
      <c r="AD9" s="26"/>
      <c r="AE9" s="94" t="str">
        <f>'Players - Men'!B30</f>
        <v>Lydon Vella</v>
      </c>
      <c r="AF9" s="44">
        <f>J9+Y9+J13+Y13+J17</f>
        <v>5</v>
      </c>
      <c r="AG9" s="44">
        <f t="shared" ref="AG9:AI9" si="1">L9+AA9+L13+AA13+L17</f>
        <v>11</v>
      </c>
      <c r="AH9" s="44">
        <f t="shared" si="1"/>
        <v>53</v>
      </c>
      <c r="AI9" s="45">
        <f t="shared" si="1"/>
        <v>9</v>
      </c>
      <c r="AJ9" s="26">
        <f>MAX(AG9:AG19)</f>
        <v>12</v>
      </c>
      <c r="AK9" s="26">
        <f>LARGE(AG9:AG19, 2)</f>
        <v>11</v>
      </c>
      <c r="AL9" s="26">
        <f>SUM(AF9:AF19)</f>
        <v>30</v>
      </c>
      <c r="AM9" s="26" t="str">
        <f>IF(AG9=$AJ$9,AE9,IF(AG11=$AJ$9,AE11,IF(AG13=$AJ$9,AE13,IF(AG15=$AJ$9,AE15,IF(AG17=$AJ$9,AE17,"")))))</f>
        <v/>
      </c>
      <c r="AN9" s="26" t="str">
        <f>IF(AG9=$AK$9,AE9,IF(AG11=$AK$9,AE11,IF(AG13=$AK$9,AE13,IF(AG15=$AK$9,AE15,IF(AG17=$AK$9,AE17,"")))))</f>
        <v>Lydon Vella</v>
      </c>
    </row>
    <row r="10" ht="14.25" customHeight="1">
      <c r="A10" s="46" t="s">
        <v>71</v>
      </c>
      <c r="H10" s="47"/>
      <c r="I10" s="48"/>
      <c r="J10" s="26"/>
      <c r="K10" s="26"/>
      <c r="L10" s="26"/>
      <c r="M10" s="26"/>
      <c r="N10" s="26"/>
      <c r="O10" s="26"/>
      <c r="P10" s="46" t="s">
        <v>71</v>
      </c>
      <c r="W10" s="47"/>
      <c r="X10" s="48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33"/>
      <c r="AL10" s="33"/>
      <c r="AM10" s="26"/>
      <c r="AN10" s="26"/>
    </row>
    <row r="11" ht="14.25" customHeight="1">
      <c r="A11" s="49" t="str">
        <f>AE11</f>
        <v>Kenneth Farrugia</v>
      </c>
      <c r="B11" s="39">
        <v>1.0</v>
      </c>
      <c r="C11" s="50">
        <f>IF(B11&gt;B9,1,0)</f>
        <v>0</v>
      </c>
      <c r="D11" s="51"/>
      <c r="E11" s="39">
        <v>1.0</v>
      </c>
      <c r="F11" s="50">
        <f>IF(E11&gt;E9,1,0)</f>
        <v>0</v>
      </c>
      <c r="G11" s="51"/>
      <c r="H11" s="42"/>
      <c r="I11" s="26">
        <f>IF(H11&gt;H9,1,0)</f>
        <v>0</v>
      </c>
      <c r="J11" s="26">
        <f>IF(B11="",0,1)</f>
        <v>1</v>
      </c>
      <c r="K11" s="26">
        <f>IF(C11+F11=2,3,IF(C11+F11=1,1,0))</f>
        <v>0</v>
      </c>
      <c r="L11" s="26">
        <f>IF(K11=3,3,IF(I11+K11=2,2,IF(K11=1,1,0)))</f>
        <v>0</v>
      </c>
      <c r="M11" s="26">
        <f>B11+E11</f>
        <v>2</v>
      </c>
      <c r="N11" s="26">
        <f>C11+F11+I11</f>
        <v>0</v>
      </c>
      <c r="O11" s="26"/>
      <c r="P11" s="49" t="str">
        <f>AE13</f>
        <v>M. Ibnu Wahyudi Mohamad Ibnu Wahyudi</v>
      </c>
      <c r="Q11" s="39">
        <v>6.0</v>
      </c>
      <c r="R11" s="50">
        <f>IF(Q11&gt;Q9,1,0)</f>
        <v>1</v>
      </c>
      <c r="S11" s="51"/>
      <c r="T11" s="39">
        <v>4.0</v>
      </c>
      <c r="U11" s="50">
        <f>IF(T11&gt;T9,1,0)</f>
        <v>0</v>
      </c>
      <c r="V11" s="51"/>
      <c r="W11" s="39">
        <v>7.0</v>
      </c>
      <c r="X11" s="26">
        <f>IF(W11&gt;W9,1,0)</f>
        <v>0</v>
      </c>
      <c r="Y11" s="26">
        <f>IF(Q11="",0,1)</f>
        <v>1</v>
      </c>
      <c r="Z11" s="26">
        <f>IF(R11+U11=2,3,IF(R11+U11=1,1,0))</f>
        <v>1</v>
      </c>
      <c r="AA11" s="26">
        <f>IF(Z11=3,3,IF(X11+Z11=2,2,IF(Z11=1,1,0)))</f>
        <v>1</v>
      </c>
      <c r="AB11" s="26">
        <f>Q11+T11</f>
        <v>10</v>
      </c>
      <c r="AC11" s="26">
        <f>R11+U11+X11</f>
        <v>1</v>
      </c>
      <c r="AD11" s="26"/>
      <c r="AE11" s="94" t="str">
        <f>'Players - Men'!B31</f>
        <v>Kenneth Farrugia</v>
      </c>
      <c r="AF11" s="44">
        <f>J11+Y25+J25+Y21+J21</f>
        <v>5</v>
      </c>
      <c r="AG11" s="44">
        <f t="shared" ref="AG11:AI11" si="2">L11+AA25+L25+AA21+L21</f>
        <v>3</v>
      </c>
      <c r="AH11" s="44">
        <f t="shared" si="2"/>
        <v>28</v>
      </c>
      <c r="AI11" s="45">
        <f t="shared" si="2"/>
        <v>2</v>
      </c>
      <c r="AJ11" s="33"/>
      <c r="AK11" s="33"/>
      <c r="AL11" s="33"/>
      <c r="AM11" s="26"/>
      <c r="AN11" s="26"/>
    </row>
    <row r="12" ht="14.2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33"/>
      <c r="AG12" s="33"/>
      <c r="AH12" s="33"/>
      <c r="AI12" s="33"/>
      <c r="AJ12" s="33"/>
      <c r="AK12" s="33"/>
      <c r="AL12" s="33"/>
      <c r="AM12" s="26"/>
      <c r="AN12" s="26"/>
    </row>
    <row r="13" ht="14.25" customHeight="1">
      <c r="A13" s="38" t="str">
        <f>AE9</f>
        <v>Lydon Vella</v>
      </c>
      <c r="B13" s="39">
        <v>7.0</v>
      </c>
      <c r="C13" s="40">
        <f>IF(B13&gt;B15,1,0)</f>
        <v>1</v>
      </c>
      <c r="D13" s="41"/>
      <c r="E13" s="39">
        <v>7.0</v>
      </c>
      <c r="F13" s="40">
        <f>IF(E13&gt;E15,1,0)</f>
        <v>1</v>
      </c>
      <c r="G13" s="41"/>
      <c r="H13" s="42"/>
      <c r="I13" s="26">
        <f>IF(H13&gt;H15,1,0)</f>
        <v>0</v>
      </c>
      <c r="J13" s="26">
        <f>IF(B13="",0,1)</f>
        <v>1</v>
      </c>
      <c r="K13" s="26">
        <f>IF(C13+F13=2,3,IF(C13+F13=1,1,0))</f>
        <v>3</v>
      </c>
      <c r="L13" s="26">
        <f>IF(K13=3,3,IF(I13+K13=2,2,IF(K13=1,1,0)))</f>
        <v>3</v>
      </c>
      <c r="M13" s="26">
        <f>B13+E13</f>
        <v>14</v>
      </c>
      <c r="N13" s="26">
        <f>C13+F13+I13</f>
        <v>2</v>
      </c>
      <c r="O13" s="26"/>
      <c r="P13" s="38" t="str">
        <f>AE9</f>
        <v>Lydon Vella</v>
      </c>
      <c r="Q13" s="39">
        <v>6.0</v>
      </c>
      <c r="R13" s="40">
        <f>IF(Q13&gt;Q15,1,0)</f>
        <v>1</v>
      </c>
      <c r="S13" s="41"/>
      <c r="T13" s="39">
        <v>4.0</v>
      </c>
      <c r="U13" s="40">
        <f>IF(T13&gt;T15,1,0)</f>
        <v>0</v>
      </c>
      <c r="V13" s="41"/>
      <c r="W13" s="39">
        <v>12.0</v>
      </c>
      <c r="X13" s="26">
        <f>IF(W13&gt;W15,1,0)</f>
        <v>1</v>
      </c>
      <c r="Y13" s="26">
        <f>IF(Q13="",0,1)</f>
        <v>1</v>
      </c>
      <c r="Z13" s="26">
        <f>IF(R13+U13=2,3,IF(R13+U13=1,1,0))</f>
        <v>1</v>
      </c>
      <c r="AA13" s="26">
        <f>IF(Z13=3,3,IF(X13+Z13=2,2,IF(Z13=1,1,0)))</f>
        <v>2</v>
      </c>
      <c r="AB13" s="26">
        <f>Q13+T13</f>
        <v>10</v>
      </c>
      <c r="AC13" s="26">
        <f>R13+U13+X13</f>
        <v>2</v>
      </c>
      <c r="AD13" s="26"/>
      <c r="AE13" s="94" t="str">
        <f>'Players - Men'!B32</f>
        <v>M. Ibnu Wahyudi Mohamad Ibnu Wahyudi</v>
      </c>
      <c r="AF13" s="44">
        <f>Y29+Y11+Y33+J33+J23</f>
        <v>5</v>
      </c>
      <c r="AG13" s="44">
        <f t="shared" ref="AG13:AI13" si="3">AA29+AA11+AA33+L33+L23</f>
        <v>11</v>
      </c>
      <c r="AH13" s="44">
        <f t="shared" si="3"/>
        <v>54</v>
      </c>
      <c r="AI13" s="45">
        <f t="shared" si="3"/>
        <v>9</v>
      </c>
      <c r="AJ13" s="33"/>
      <c r="AK13" s="33"/>
      <c r="AL13" s="33"/>
      <c r="AM13" s="26"/>
      <c r="AN13" s="26"/>
    </row>
    <row r="14" ht="14.25" customHeight="1">
      <c r="A14" s="46" t="s">
        <v>71</v>
      </c>
      <c r="H14" s="47"/>
      <c r="I14" s="48"/>
      <c r="J14" s="26"/>
      <c r="K14" s="26"/>
      <c r="L14" s="26"/>
      <c r="M14" s="26"/>
      <c r="N14" s="26"/>
      <c r="O14" s="26"/>
      <c r="P14" s="46" t="s">
        <v>71</v>
      </c>
      <c r="W14" s="47"/>
      <c r="X14" s="48"/>
      <c r="Y14" s="26"/>
      <c r="Z14" s="26"/>
      <c r="AA14" s="26"/>
      <c r="AB14" s="26"/>
      <c r="AC14" s="26"/>
      <c r="AD14" s="26"/>
      <c r="AE14" s="26"/>
      <c r="AF14" s="33"/>
      <c r="AG14" s="33"/>
      <c r="AH14" s="33"/>
      <c r="AI14" s="33"/>
      <c r="AJ14" s="33"/>
      <c r="AK14" s="33"/>
      <c r="AL14" s="33"/>
      <c r="AM14" s="26"/>
      <c r="AN14" s="26"/>
    </row>
    <row r="15" ht="14.25" customHeight="1">
      <c r="A15" s="49" t="str">
        <f>AE15</f>
        <v>Etienne Formosa Carabez</v>
      </c>
      <c r="B15" s="39">
        <v>5.0</v>
      </c>
      <c r="C15" s="50">
        <f>IF(B15&gt;B13,1,0)</f>
        <v>0</v>
      </c>
      <c r="D15" s="51"/>
      <c r="E15" s="39">
        <v>5.0</v>
      </c>
      <c r="F15" s="50">
        <f>IF(E15&gt;E13,1,0)</f>
        <v>0</v>
      </c>
      <c r="G15" s="51"/>
      <c r="H15" s="42"/>
      <c r="I15" s="26">
        <f>IF(H15&gt;H13,1,0)</f>
        <v>0</v>
      </c>
      <c r="J15" s="26">
        <f>IF(B15="",0,1)</f>
        <v>1</v>
      </c>
      <c r="K15" s="26">
        <f>IF(C15+F15=2,3,IF(C15+F15=1,1,0))</f>
        <v>0</v>
      </c>
      <c r="L15" s="26">
        <f>IF(K15=3,3,IF(I15+K15=2,2,IF(K15=1,1,0)))</f>
        <v>0</v>
      </c>
      <c r="M15" s="26">
        <f>B15+E15</f>
        <v>10</v>
      </c>
      <c r="N15" s="26">
        <f>C15+F15+I15</f>
        <v>0</v>
      </c>
      <c r="O15" s="26"/>
      <c r="P15" s="49" t="str">
        <f>AE17</f>
        <v>Ivan Cassar</v>
      </c>
      <c r="Q15" s="39">
        <v>4.0</v>
      </c>
      <c r="R15" s="50">
        <f>IF(Q15&gt;Q13,1,0)</f>
        <v>0</v>
      </c>
      <c r="S15" s="51"/>
      <c r="T15" s="39">
        <v>6.0</v>
      </c>
      <c r="U15" s="50">
        <f>IF(T15&gt;T13,1,0)</f>
        <v>1</v>
      </c>
      <c r="V15" s="51"/>
      <c r="W15" s="39">
        <v>10.0</v>
      </c>
      <c r="X15" s="26">
        <f>IF(W15&gt;W13,1,0)</f>
        <v>0</v>
      </c>
      <c r="Y15" s="26">
        <f>IF(Q15="",0,1)</f>
        <v>1</v>
      </c>
      <c r="Z15" s="26">
        <f>IF(R15+U15=2,3,IF(R15+U15=1,1,0))</f>
        <v>1</v>
      </c>
      <c r="AA15" s="26">
        <f>IF(Z15=3,3,IF(X15+Z15=2,2,IF(Z15=1,1,0)))</f>
        <v>1</v>
      </c>
      <c r="AB15" s="26">
        <f>Q15+T15</f>
        <v>10</v>
      </c>
      <c r="AC15" s="26">
        <f>R15+U15+X15</f>
        <v>1</v>
      </c>
      <c r="AD15" s="26"/>
      <c r="AE15" s="94" t="str">
        <f>'Players - Men'!B33</f>
        <v>Etienne Formosa Carabez</v>
      </c>
      <c r="AF15" s="44">
        <f>Y31+J37+J15+Y23+J29</f>
        <v>5</v>
      </c>
      <c r="AG15" s="44">
        <f t="shared" ref="AG15:AI15" si="4">AA31+L37+L15+AA23+L29</f>
        <v>7</v>
      </c>
      <c r="AH15" s="44">
        <f t="shared" si="4"/>
        <v>47</v>
      </c>
      <c r="AI15" s="45">
        <f t="shared" si="4"/>
        <v>5</v>
      </c>
      <c r="AJ15" s="33"/>
      <c r="AK15" s="33"/>
      <c r="AL15" s="33"/>
      <c r="AM15" s="26"/>
      <c r="AN15" s="26"/>
    </row>
    <row r="16" ht="14.25" customHeight="1">
      <c r="A16" s="26"/>
      <c r="B16" s="33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33"/>
      <c r="AG16" s="33"/>
      <c r="AH16" s="33"/>
      <c r="AI16" s="33"/>
      <c r="AJ16" s="33"/>
      <c r="AK16" s="33"/>
      <c r="AL16" s="33"/>
      <c r="AM16" s="26"/>
      <c r="AN16" s="26"/>
    </row>
    <row r="17" ht="14.25" customHeight="1">
      <c r="A17" s="38" t="str">
        <f>AE9</f>
        <v>Lydon Vella</v>
      </c>
      <c r="B17" s="39">
        <v>2.0</v>
      </c>
      <c r="C17" s="40">
        <f>IF(B17&gt;B19,1,0)</f>
        <v>0</v>
      </c>
      <c r="D17" s="41"/>
      <c r="E17" s="39">
        <v>6.0</v>
      </c>
      <c r="F17" s="40">
        <f>IF(E17&gt;E19,1,0)</f>
        <v>1</v>
      </c>
      <c r="G17" s="41"/>
      <c r="H17" s="39">
        <v>8.0</v>
      </c>
      <c r="I17" s="26">
        <f>IF(H17&gt;H19,1,0)</f>
        <v>0</v>
      </c>
      <c r="J17" s="26">
        <f>IF(B17="",0,1)</f>
        <v>1</v>
      </c>
      <c r="K17" s="26">
        <f>IF(C17+F17=2,3,IF(C17+F17=1,1,0))</f>
        <v>1</v>
      </c>
      <c r="L17" s="26">
        <f>IF(K17=3,3,IF(I17+K17=2,2,IF(K17=1,1,0)))</f>
        <v>1</v>
      </c>
      <c r="M17" s="26">
        <f>B17+E17</f>
        <v>8</v>
      </c>
      <c r="N17" s="26">
        <f>C17+F17+I17</f>
        <v>1</v>
      </c>
      <c r="O17" s="26"/>
      <c r="P17" s="38" t="str">
        <f>AE17</f>
        <v>Ivan Cassar</v>
      </c>
      <c r="Q17" s="39">
        <v>4.0</v>
      </c>
      <c r="R17" s="40">
        <f>IF(Q17&gt;Q19,1,0)</f>
        <v>0</v>
      </c>
      <c r="S17" s="41"/>
      <c r="T17" s="39">
        <v>5.0</v>
      </c>
      <c r="U17" s="40">
        <f>IF(T17&gt;T19,1,0)</f>
        <v>0</v>
      </c>
      <c r="V17" s="41"/>
      <c r="W17" s="42"/>
      <c r="X17" s="26">
        <f>IF(W17&gt;W19,1,0)</f>
        <v>0</v>
      </c>
      <c r="Y17" s="26">
        <f>IF(Q17="",0,1)</f>
        <v>1</v>
      </c>
      <c r="Z17" s="26">
        <f>IF(R17+U17=2,3,IF(R17+U17=1,1,0))</f>
        <v>0</v>
      </c>
      <c r="AA17" s="26">
        <f>IF(Z17=3,3,IF(X17+Z17=2,2,IF(Z17=1,1,0)))</f>
        <v>0</v>
      </c>
      <c r="AB17" s="26">
        <f>Q17+T17</f>
        <v>9</v>
      </c>
      <c r="AC17" s="26">
        <f>R17+U17+X17</f>
        <v>0</v>
      </c>
      <c r="AD17" s="26"/>
      <c r="AE17" s="94" t="str">
        <f>'Players - Men'!B34</f>
        <v>Ivan Cassar</v>
      </c>
      <c r="AF17" s="44">
        <f>Y17+J39+J27+Y15+J35</f>
        <v>5</v>
      </c>
      <c r="AG17" s="44">
        <f t="shared" ref="AG17:AI17" si="5">AA17+L39+L27+AA15+L35</f>
        <v>1</v>
      </c>
      <c r="AH17" s="44">
        <f t="shared" si="5"/>
        <v>44</v>
      </c>
      <c r="AI17" s="45">
        <f t="shared" si="5"/>
        <v>1</v>
      </c>
      <c r="AJ17" s="33"/>
      <c r="AK17" s="33"/>
      <c r="AL17" s="33"/>
      <c r="AM17" s="26"/>
      <c r="AN17" s="26"/>
    </row>
    <row r="18" ht="14.25" customHeight="1">
      <c r="A18" s="46" t="s">
        <v>71</v>
      </c>
      <c r="H18" s="47"/>
      <c r="I18" s="48"/>
      <c r="J18" s="26"/>
      <c r="K18" s="26"/>
      <c r="L18" s="26"/>
      <c r="M18" s="26"/>
      <c r="N18" s="26"/>
      <c r="O18" s="26"/>
      <c r="P18" s="46" t="s">
        <v>71</v>
      </c>
      <c r="W18" s="47"/>
      <c r="X18" s="48"/>
      <c r="Y18" s="26"/>
      <c r="Z18" s="26"/>
      <c r="AA18" s="26"/>
      <c r="AB18" s="26"/>
      <c r="AC18" s="26"/>
      <c r="AD18" s="26"/>
      <c r="AE18" s="26"/>
      <c r="AF18" s="33"/>
      <c r="AG18" s="33"/>
      <c r="AH18" s="33"/>
      <c r="AI18" s="33"/>
      <c r="AJ18" s="33"/>
      <c r="AK18" s="33"/>
      <c r="AL18" s="33"/>
      <c r="AM18" s="26"/>
      <c r="AN18" s="26"/>
    </row>
    <row r="19" ht="14.25" customHeight="1">
      <c r="A19" s="49" t="str">
        <f>AE19</f>
        <v>Kurt Cassar</v>
      </c>
      <c r="B19" s="39">
        <v>6.0</v>
      </c>
      <c r="C19" s="50">
        <f>IF(B19&gt;B17,1,0)</f>
        <v>1</v>
      </c>
      <c r="D19" s="51"/>
      <c r="E19" s="39">
        <v>1.0</v>
      </c>
      <c r="F19" s="50">
        <f>IF(E19&gt;E17,1,0)</f>
        <v>0</v>
      </c>
      <c r="G19" s="51"/>
      <c r="H19" s="39">
        <v>10.0</v>
      </c>
      <c r="I19" s="26">
        <f>IF(H19&gt;H17,1,0)</f>
        <v>1</v>
      </c>
      <c r="J19" s="26">
        <f>IF(B19="",0,1)</f>
        <v>1</v>
      </c>
      <c r="K19" s="26">
        <f>IF(C19+F19=2,3,IF(C19+F19=1,1,0))</f>
        <v>1</v>
      </c>
      <c r="L19" s="26">
        <f>IF(K19=3,3,IF(I19+K19=2,2,IF(K19=1,1,0)))</f>
        <v>2</v>
      </c>
      <c r="M19" s="26">
        <f>B19+E19</f>
        <v>7</v>
      </c>
      <c r="N19" s="26">
        <f>C19+F19+I19</f>
        <v>2</v>
      </c>
      <c r="O19" s="26"/>
      <c r="P19" s="49" t="str">
        <f>AE19</f>
        <v>Kurt Cassar</v>
      </c>
      <c r="Q19" s="39">
        <v>6.0</v>
      </c>
      <c r="R19" s="50">
        <f>IF(Q19&gt;Q17,1,0)</f>
        <v>1</v>
      </c>
      <c r="S19" s="51"/>
      <c r="T19" s="39">
        <v>7.0</v>
      </c>
      <c r="U19" s="50">
        <f>IF(T19&gt;T17,1,0)</f>
        <v>1</v>
      </c>
      <c r="V19" s="51"/>
      <c r="W19" s="42"/>
      <c r="X19" s="26">
        <f>IF(W19&gt;W17,1,0)</f>
        <v>0</v>
      </c>
      <c r="Y19" s="26">
        <f>IF(Q19="",0,1)</f>
        <v>1</v>
      </c>
      <c r="Z19" s="26">
        <f>IF(R19+U19=2,3,IF(R19+U19=1,1,0))</f>
        <v>3</v>
      </c>
      <c r="AA19" s="26">
        <f>IF(Z19=3,3,IF(X19+Z19=2,2,IF(Z19=1,1,0)))</f>
        <v>3</v>
      </c>
      <c r="AB19" s="26">
        <f>Q19+T19</f>
        <v>13</v>
      </c>
      <c r="AC19" s="26">
        <f>R19+U19+X19</f>
        <v>2</v>
      </c>
      <c r="AD19" s="26"/>
      <c r="AE19" s="94" t="str">
        <f>'Players - Men'!B35</f>
        <v>Kurt Cassar</v>
      </c>
      <c r="AF19" s="44">
        <f>Y19+Y27+Y35+J19+J31</f>
        <v>5</v>
      </c>
      <c r="AG19" s="44">
        <f t="shared" ref="AG19:AI19" si="6">AA19+AA27+AA35+L19+L31</f>
        <v>12</v>
      </c>
      <c r="AH19" s="44">
        <f t="shared" si="6"/>
        <v>54</v>
      </c>
      <c r="AI19" s="45">
        <f t="shared" si="6"/>
        <v>9</v>
      </c>
      <c r="AJ19" s="26"/>
      <c r="AK19" s="33"/>
      <c r="AL19" s="33"/>
      <c r="AM19" s="26"/>
      <c r="AN19" s="26"/>
    </row>
    <row r="20" ht="14.2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33"/>
      <c r="AL20" s="26"/>
      <c r="AM20" s="26"/>
      <c r="AN20" s="26"/>
    </row>
    <row r="21" ht="14.25" customHeight="1">
      <c r="A21" s="38" t="str">
        <f>AE11</f>
        <v>Kenneth Farrugia</v>
      </c>
      <c r="B21" s="39">
        <v>2.0</v>
      </c>
      <c r="C21" s="40">
        <f>IF(B21&gt;B23,1,0)</f>
        <v>0</v>
      </c>
      <c r="D21" s="41"/>
      <c r="E21" s="39">
        <v>1.0</v>
      </c>
      <c r="F21" s="40">
        <f>IF(E21&gt;E23,1,0)</f>
        <v>0</v>
      </c>
      <c r="G21" s="41"/>
      <c r="H21" s="42"/>
      <c r="I21" s="26">
        <f>IF(H21&gt;H23,1,0)</f>
        <v>0</v>
      </c>
      <c r="J21" s="26">
        <f>IF(B21="",0,1)</f>
        <v>1</v>
      </c>
      <c r="K21" s="26">
        <f>IF(C21+F21=2,3,IF(C21+F21=1,1,0))</f>
        <v>0</v>
      </c>
      <c r="L21" s="26">
        <f>IF(K21=3,3,IF(I21+K21=2,2,IF(K21=1,1,0)))</f>
        <v>0</v>
      </c>
      <c r="M21" s="26">
        <f>B21+E21</f>
        <v>3</v>
      </c>
      <c r="N21" s="26">
        <f>C21+F21+I21</f>
        <v>0</v>
      </c>
      <c r="O21" s="26"/>
      <c r="P21" s="38" t="str">
        <f>AE11</f>
        <v>Kenneth Farrugia</v>
      </c>
      <c r="Q21" s="39">
        <v>4.0</v>
      </c>
      <c r="R21" s="40">
        <f>IF(Q21&gt;Q23,1,0)</f>
        <v>0</v>
      </c>
      <c r="S21" s="41"/>
      <c r="T21" s="39">
        <v>1.0</v>
      </c>
      <c r="U21" s="40">
        <f>IF(T21&gt;T23,1,0)</f>
        <v>0</v>
      </c>
      <c r="V21" s="41"/>
      <c r="W21" s="42"/>
      <c r="X21" s="26">
        <f>IF(W21&gt;W23,1,0)</f>
        <v>0</v>
      </c>
      <c r="Y21" s="26">
        <f>IF(Q21="",0,1)</f>
        <v>1</v>
      </c>
      <c r="Z21" s="26">
        <f>IF(R21+U21=2,3,IF(R21+U21=1,1,0))</f>
        <v>0</v>
      </c>
      <c r="AA21" s="26">
        <f>IF(Z21=3,3,IF(X21+Z21=2,2,IF(Z21=1,1,0)))</f>
        <v>0</v>
      </c>
      <c r="AB21" s="26">
        <f>Q21+T21</f>
        <v>5</v>
      </c>
      <c r="AC21" s="26">
        <f>R21+U21+X21</f>
        <v>0</v>
      </c>
      <c r="AD21" s="26"/>
      <c r="AE21" s="92" t="s">
        <v>77</v>
      </c>
      <c r="AF21" s="29"/>
      <c r="AG21" s="29"/>
      <c r="AH21" s="29"/>
      <c r="AI21" s="30"/>
      <c r="AJ21" s="26"/>
      <c r="AK21" s="26"/>
      <c r="AL21" s="26"/>
      <c r="AM21" s="26"/>
      <c r="AN21" s="26"/>
    </row>
    <row r="22" ht="14.25" customHeight="1">
      <c r="A22" s="46" t="s">
        <v>71</v>
      </c>
      <c r="H22" s="47"/>
      <c r="I22" s="48"/>
      <c r="J22" s="26"/>
      <c r="K22" s="26"/>
      <c r="L22" s="26"/>
      <c r="M22" s="26"/>
      <c r="N22" s="26"/>
      <c r="O22" s="26"/>
      <c r="P22" s="46" t="s">
        <v>71</v>
      </c>
      <c r="W22" s="47"/>
      <c r="X22" s="48"/>
      <c r="Y22" s="26"/>
      <c r="Z22" s="26"/>
      <c r="AA22" s="26"/>
      <c r="AB22" s="26"/>
      <c r="AC22" s="26"/>
      <c r="AD22" s="26"/>
      <c r="AE22" s="53" t="s">
        <v>42</v>
      </c>
      <c r="AF22" s="29"/>
      <c r="AG22" s="29"/>
      <c r="AH22" s="29"/>
      <c r="AI22" s="30"/>
      <c r="AJ22" s="26"/>
      <c r="AK22" s="33"/>
      <c r="AL22" s="26"/>
      <c r="AM22" s="26"/>
      <c r="AN22" s="26"/>
    </row>
    <row r="23" ht="14.25" customHeight="1">
      <c r="A23" s="49" t="str">
        <f>AE13</f>
        <v>M. Ibnu Wahyudi Mohamad Ibnu Wahyudi</v>
      </c>
      <c r="B23" s="39">
        <v>6.0</v>
      </c>
      <c r="C23" s="50">
        <f>IF(B23&gt;B21,1,0)</f>
        <v>1</v>
      </c>
      <c r="D23" s="51"/>
      <c r="E23" s="39">
        <v>6.0</v>
      </c>
      <c r="F23" s="50">
        <f>IF(E23&gt;E21,1,0)</f>
        <v>1</v>
      </c>
      <c r="G23" s="51"/>
      <c r="H23" s="42"/>
      <c r="I23" s="26">
        <f>IF(H23&gt;H21,1,0)</f>
        <v>0</v>
      </c>
      <c r="J23" s="26">
        <f>IF(B23="",0,1)</f>
        <v>1</v>
      </c>
      <c r="K23" s="26">
        <f>IF(C23+F23=2,3,IF(C23+F23=1,1,0))</f>
        <v>3</v>
      </c>
      <c r="L23" s="26">
        <f>IF(K23=3,3,IF(I23+K23=2,2,IF(K23=1,1,0)))</f>
        <v>3</v>
      </c>
      <c r="M23" s="26">
        <f>B23+E23</f>
        <v>12</v>
      </c>
      <c r="N23" s="26">
        <f>C23+F23+I23</f>
        <v>2</v>
      </c>
      <c r="O23" s="26"/>
      <c r="P23" s="49" t="str">
        <f>AE15</f>
        <v>Etienne Formosa Carabez</v>
      </c>
      <c r="Q23" s="39">
        <v>6.0</v>
      </c>
      <c r="R23" s="50">
        <f>IF(Q23&gt;Q21,1,0)</f>
        <v>1</v>
      </c>
      <c r="S23" s="51"/>
      <c r="T23" s="39">
        <v>6.0</v>
      </c>
      <c r="U23" s="50">
        <f>IF(T23&gt;T21,1,0)</f>
        <v>1</v>
      </c>
      <c r="V23" s="51"/>
      <c r="W23" s="42"/>
      <c r="X23" s="26">
        <f>IF(W23&gt;W21,1,0)</f>
        <v>0</v>
      </c>
      <c r="Y23" s="26">
        <f>IF(Q23="",0,1)</f>
        <v>1</v>
      </c>
      <c r="Z23" s="26">
        <f>IF(R23+U23=2,3,IF(R23+U23=1,1,0))</f>
        <v>3</v>
      </c>
      <c r="AA23" s="26">
        <f>IF(Z23=3,3,IF(X23+Z23=2,2,IF(Z23=1,1,0)))</f>
        <v>3</v>
      </c>
      <c r="AB23" s="26">
        <f>Q23+T23</f>
        <v>12</v>
      </c>
      <c r="AC23" s="26">
        <f>R23+U23+X23</f>
        <v>2</v>
      </c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</row>
    <row r="24" ht="14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</row>
    <row r="25" ht="14.25" customHeight="1">
      <c r="A25" s="38" t="str">
        <f>AE11</f>
        <v>Kenneth Farrugia</v>
      </c>
      <c r="B25" s="39">
        <v>6.0</v>
      </c>
      <c r="C25" s="40">
        <f>IF(B25&gt;B27,1,0)</f>
        <v>1</v>
      </c>
      <c r="D25" s="41"/>
      <c r="E25" s="39">
        <v>7.0</v>
      </c>
      <c r="F25" s="40">
        <f>IF(E25&gt;E27,1,0)</f>
        <v>1</v>
      </c>
      <c r="G25" s="41"/>
      <c r="H25" s="42"/>
      <c r="I25" s="26">
        <f>IF(H25&gt;H27,1,0)</f>
        <v>0</v>
      </c>
      <c r="J25" s="26">
        <f>IF(B25="",0,1)</f>
        <v>1</v>
      </c>
      <c r="K25" s="26">
        <f>IF(C25+F25=2,3,IF(C25+F25=1,1,0))</f>
        <v>3</v>
      </c>
      <c r="L25" s="26">
        <f>IF(K25=3,3,IF(I25+K25=2,2,IF(K25=1,1,0)))</f>
        <v>3</v>
      </c>
      <c r="M25" s="26">
        <f>B25+E25</f>
        <v>13</v>
      </c>
      <c r="N25" s="26">
        <f>C25+F25+I25</f>
        <v>2</v>
      </c>
      <c r="O25" s="26"/>
      <c r="P25" s="38" t="str">
        <f>AE11</f>
        <v>Kenneth Farrugia</v>
      </c>
      <c r="Q25" s="39">
        <v>1.0</v>
      </c>
      <c r="R25" s="40">
        <f>IF(Q25&gt;Q27,1,0)</f>
        <v>0</v>
      </c>
      <c r="S25" s="41"/>
      <c r="T25" s="39">
        <v>4.0</v>
      </c>
      <c r="U25" s="40">
        <f>IF(T25&gt;T27,1,0)</f>
        <v>0</v>
      </c>
      <c r="V25" s="41"/>
      <c r="W25" s="42"/>
      <c r="X25" s="26">
        <f>IF(W25&gt;W27,1,0)</f>
        <v>0</v>
      </c>
      <c r="Y25" s="26">
        <f>IF(Q25="",0,1)</f>
        <v>1</v>
      </c>
      <c r="Z25" s="26">
        <f>IF(R25+U25=2,3,IF(R25+U25=1,1,0))</f>
        <v>0</v>
      </c>
      <c r="AA25" s="26">
        <f>IF(Z25=3,3,IF(X25+Z25=2,2,IF(Z25=1,1,0)))</f>
        <v>0</v>
      </c>
      <c r="AB25" s="26">
        <f>Q25+T25</f>
        <v>5</v>
      </c>
      <c r="AC25" s="26">
        <f>R25+U25+X25</f>
        <v>0</v>
      </c>
      <c r="AD25" s="26"/>
      <c r="AE25" s="92" t="s">
        <v>78</v>
      </c>
      <c r="AF25" s="29"/>
      <c r="AG25" s="29"/>
      <c r="AH25" s="29"/>
      <c r="AI25" s="30"/>
      <c r="AJ25" s="26"/>
      <c r="AK25" s="26"/>
      <c r="AL25" s="26"/>
      <c r="AM25" s="26"/>
      <c r="AN25" s="26"/>
    </row>
    <row r="26" ht="14.25" customHeight="1">
      <c r="A26" s="46" t="s">
        <v>71</v>
      </c>
      <c r="H26" s="47"/>
      <c r="I26" s="48"/>
      <c r="J26" s="26"/>
      <c r="K26" s="26"/>
      <c r="L26" s="26"/>
      <c r="M26" s="26"/>
      <c r="N26" s="26"/>
      <c r="O26" s="26"/>
      <c r="P26" s="46" t="s">
        <v>71</v>
      </c>
      <c r="W26" s="47"/>
      <c r="X26" s="48"/>
      <c r="Y26" s="26"/>
      <c r="Z26" s="26"/>
      <c r="AA26" s="26"/>
      <c r="AB26" s="26"/>
      <c r="AC26" s="26"/>
      <c r="AD26" s="26"/>
      <c r="AE26" s="65" t="str">
        <f>IF(AL9=30,AN9,"")</f>
        <v>Lydon Vella</v>
      </c>
      <c r="AF26" s="29"/>
      <c r="AG26" s="29"/>
      <c r="AH26" s="29"/>
      <c r="AI26" s="30"/>
      <c r="AJ26" s="26"/>
      <c r="AK26" s="26"/>
      <c r="AL26" s="26"/>
      <c r="AM26" s="26"/>
      <c r="AN26" s="26"/>
    </row>
    <row r="27" ht="14.25" customHeight="1">
      <c r="A27" s="49" t="str">
        <f>AE17</f>
        <v>Ivan Cassar</v>
      </c>
      <c r="B27" s="39">
        <v>3.0</v>
      </c>
      <c r="C27" s="50">
        <f>IF(B27&gt;B25,1,0)</f>
        <v>0</v>
      </c>
      <c r="D27" s="51"/>
      <c r="E27" s="39">
        <v>5.0</v>
      </c>
      <c r="F27" s="50">
        <f>IF(E27&gt;E25,1,0)</f>
        <v>0</v>
      </c>
      <c r="G27" s="51"/>
      <c r="H27" s="42"/>
      <c r="I27" s="26">
        <f>IF(H27&gt;H25,1,0)</f>
        <v>0</v>
      </c>
      <c r="J27" s="26">
        <f>IF(B27="",0,1)</f>
        <v>1</v>
      </c>
      <c r="K27" s="26">
        <f>IF(C27+F27=2,3,IF(C27+F27=1,1,0))</f>
        <v>0</v>
      </c>
      <c r="L27" s="26">
        <f>IF(K27=3,3,IF(I27+K27=2,2,IF(K27=1,1,0)))</f>
        <v>0</v>
      </c>
      <c r="M27" s="26">
        <f>B27+E27</f>
        <v>8</v>
      </c>
      <c r="N27" s="26">
        <f>C27+F27+I27</f>
        <v>0</v>
      </c>
      <c r="O27" s="26"/>
      <c r="P27" s="49" t="str">
        <f>AE19</f>
        <v>Kurt Cassar</v>
      </c>
      <c r="Q27" s="39">
        <v>6.0</v>
      </c>
      <c r="R27" s="50">
        <f>IF(Q27&gt;Q25,1,0)</f>
        <v>1</v>
      </c>
      <c r="S27" s="51"/>
      <c r="T27" s="39">
        <v>6.0</v>
      </c>
      <c r="U27" s="50">
        <f>IF(T27&gt;T25,1,0)</f>
        <v>1</v>
      </c>
      <c r="V27" s="51"/>
      <c r="W27" s="42"/>
      <c r="X27" s="26">
        <f>IF(W27&gt;W25,1,0)</f>
        <v>0</v>
      </c>
      <c r="Y27" s="26">
        <f>IF(Q27="",0,1)</f>
        <v>1</v>
      </c>
      <c r="Z27" s="26">
        <f>IF(R27+U27=2,3,IF(R27+U27=1,1,0))</f>
        <v>3</v>
      </c>
      <c r="AA27" s="26">
        <f>IF(Z27=3,3,IF(X27+Z27=2,2,IF(Z27=1,1,0)))</f>
        <v>3</v>
      </c>
      <c r="AB27" s="26">
        <f>Q27+T27</f>
        <v>12</v>
      </c>
      <c r="AC27" s="26">
        <f>R27+U27+X27</f>
        <v>2</v>
      </c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</row>
    <row r="28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33"/>
      <c r="AI28" s="26"/>
      <c r="AJ28" s="26"/>
      <c r="AK28" s="26"/>
      <c r="AL28" s="26"/>
      <c r="AM28" s="26"/>
      <c r="AN28" s="26"/>
    </row>
    <row r="29" ht="14.25" customHeight="1">
      <c r="A29" s="38" t="str">
        <f>AE15</f>
        <v>Etienne Formosa Carabez</v>
      </c>
      <c r="B29" s="39">
        <v>0.0</v>
      </c>
      <c r="C29" s="40">
        <f>IF(B29&gt;B31,1,0)</f>
        <v>0</v>
      </c>
      <c r="D29" s="41"/>
      <c r="E29" s="39">
        <v>5.0</v>
      </c>
      <c r="F29" s="40">
        <f>IF(E29&gt;E31,1,0)</f>
        <v>0</v>
      </c>
      <c r="G29" s="41"/>
      <c r="H29" s="42"/>
      <c r="I29" s="26">
        <f>IF(H29&gt;H31,1,0)</f>
        <v>0</v>
      </c>
      <c r="J29" s="26">
        <f>IF(B29="",0,1)</f>
        <v>1</v>
      </c>
      <c r="K29" s="26">
        <f>IF(C29+F29=2,3,IF(C29+F29=1,1,0))</f>
        <v>0</v>
      </c>
      <c r="L29" s="26">
        <f>IF(K29=3,3,IF(I29+K29=2,2,IF(K29=1,1,0)))</f>
        <v>0</v>
      </c>
      <c r="M29" s="26">
        <f>B29+E29</f>
        <v>5</v>
      </c>
      <c r="N29" s="26">
        <f>C29+F29+I29</f>
        <v>0</v>
      </c>
      <c r="O29" s="26"/>
      <c r="P29" s="38" t="str">
        <f>AE13</f>
        <v>M. Ibnu Wahyudi Mohamad Ibnu Wahyudi</v>
      </c>
      <c r="Q29" s="39">
        <v>4.0</v>
      </c>
      <c r="R29" s="40">
        <f>IF(Q29&gt;Q31,1,0)</f>
        <v>0</v>
      </c>
      <c r="S29" s="41"/>
      <c r="T29" s="39">
        <v>6.0</v>
      </c>
      <c r="U29" s="40">
        <f>IF(T29&gt;T31,1,0)</f>
        <v>1</v>
      </c>
      <c r="V29" s="41"/>
      <c r="W29" s="39">
        <v>10.0</v>
      </c>
      <c r="X29" s="26">
        <f>IF(W29&gt;W31,1,0)</f>
        <v>1</v>
      </c>
      <c r="Y29" s="26">
        <f>IF(Q29="",0,1)</f>
        <v>1</v>
      </c>
      <c r="Z29" s="26">
        <f>IF(R29+U29=2,3,IF(R29+U29=1,1,0))</f>
        <v>1</v>
      </c>
      <c r="AA29" s="26">
        <f>IF(Z29=3,3,IF(X29+Z29=2,2,IF(Z29=1,1,0)))</f>
        <v>2</v>
      </c>
      <c r="AB29" s="26">
        <f>Q29+T29</f>
        <v>10</v>
      </c>
      <c r="AC29" s="26">
        <f>R29+U29+X29</f>
        <v>2</v>
      </c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</row>
    <row r="30" ht="14.25" customHeight="1">
      <c r="A30" s="46" t="s">
        <v>71</v>
      </c>
      <c r="H30" s="47"/>
      <c r="I30" s="48"/>
      <c r="J30" s="26"/>
      <c r="K30" s="26"/>
      <c r="L30" s="26"/>
      <c r="M30" s="26"/>
      <c r="N30" s="26"/>
      <c r="O30" s="26"/>
      <c r="P30" s="46" t="s">
        <v>71</v>
      </c>
      <c r="W30" s="47"/>
      <c r="X30" s="48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54"/>
      <c r="AM30" s="26"/>
      <c r="AN30" s="26"/>
    </row>
    <row r="31" ht="14.25" customHeight="1">
      <c r="A31" s="49" t="str">
        <f>AE19</f>
        <v>Kurt Cassar</v>
      </c>
      <c r="B31" s="39">
        <v>6.0</v>
      </c>
      <c r="C31" s="50">
        <f>IF(B31&gt;B29,1,0)</f>
        <v>1</v>
      </c>
      <c r="D31" s="51"/>
      <c r="E31" s="39">
        <v>7.0</v>
      </c>
      <c r="F31" s="50">
        <f>IF(E31&gt;E29,1,0)</f>
        <v>1</v>
      </c>
      <c r="G31" s="51"/>
      <c r="H31" s="42"/>
      <c r="I31" s="26">
        <f>IF(H31&gt;H29,1,0)</f>
        <v>0</v>
      </c>
      <c r="J31" s="26">
        <f>IF(B31="",0,1)</f>
        <v>1</v>
      </c>
      <c r="K31" s="26">
        <f>IF(C31+F31=2,3,IF(C31+F31=1,1,0))</f>
        <v>3</v>
      </c>
      <c r="L31" s="26">
        <f>IF(K31=3,3,IF(I31+K31=2,2,IF(K31=1,1,0)))</f>
        <v>3</v>
      </c>
      <c r="M31" s="26">
        <f>B31+E31</f>
        <v>13</v>
      </c>
      <c r="N31" s="26">
        <f>C31+F31+I31</f>
        <v>2</v>
      </c>
      <c r="O31" s="26"/>
      <c r="P31" s="49" t="str">
        <f>AE15</f>
        <v>Etienne Formosa Carabez</v>
      </c>
      <c r="Q31" s="39">
        <v>6.0</v>
      </c>
      <c r="R31" s="50">
        <f>IF(Q31&gt;Q29,1,0)</f>
        <v>1</v>
      </c>
      <c r="S31" s="51"/>
      <c r="T31" s="39">
        <v>1.0</v>
      </c>
      <c r="U31" s="50">
        <f>IF(T31&gt;T29,1,0)</f>
        <v>0</v>
      </c>
      <c r="V31" s="51"/>
      <c r="W31" s="39">
        <v>3.0</v>
      </c>
      <c r="X31" s="26">
        <f>IF(W31&gt;W29,1,0)</f>
        <v>0</v>
      </c>
      <c r="Y31" s="26">
        <f>IF(Q31="",0,1)</f>
        <v>1</v>
      </c>
      <c r="Z31" s="26">
        <f>IF(R31+U31=2,3,IF(R31+U31=1,1,0))</f>
        <v>1</v>
      </c>
      <c r="AA31" s="26">
        <f>IF(Z31=3,3,IF(X31+Z31=2,2,IF(Z31=1,1,0)))</f>
        <v>1</v>
      </c>
      <c r="AB31" s="26">
        <f>Q31+T31</f>
        <v>7</v>
      </c>
      <c r="AC31" s="26">
        <f>R31+U31+X31</f>
        <v>1</v>
      </c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33"/>
    </row>
    <row r="32" ht="14.25" customHeight="1">
      <c r="A32" s="26"/>
      <c r="B32" s="26"/>
      <c r="C32" s="26"/>
      <c r="D32" s="26"/>
      <c r="E32" s="33"/>
      <c r="F32" s="26"/>
      <c r="G32" s="26"/>
      <c r="H32" s="33"/>
      <c r="I32" s="26"/>
      <c r="J32" s="33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33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54"/>
      <c r="AM32" s="26"/>
      <c r="AN32" s="26"/>
    </row>
    <row r="33" ht="14.25" customHeight="1">
      <c r="A33" s="38" t="str">
        <f>AE13</f>
        <v>M. Ibnu Wahyudi Mohamad Ibnu Wahyudi</v>
      </c>
      <c r="B33" s="39">
        <v>7.0</v>
      </c>
      <c r="C33" s="40">
        <f>IF(B33&gt;B35,1,0)</f>
        <v>1</v>
      </c>
      <c r="D33" s="41"/>
      <c r="E33" s="39">
        <v>7.0</v>
      </c>
      <c r="F33" s="40">
        <f>IF(E33&gt;E35,1,0)</f>
        <v>1</v>
      </c>
      <c r="G33" s="41"/>
      <c r="H33" s="42"/>
      <c r="I33" s="26">
        <f>IF(H33&gt;H35,1,0)</f>
        <v>0</v>
      </c>
      <c r="J33" s="26">
        <f>IF(B33="",0,1)</f>
        <v>1</v>
      </c>
      <c r="K33" s="26">
        <f>IF(C33+F33=2,3,IF(C33+F33=1,1,0))</f>
        <v>3</v>
      </c>
      <c r="L33" s="26">
        <f>IF(K33=3,3,IF(I33+K33=2,2,IF(K33=1,1,0)))</f>
        <v>3</v>
      </c>
      <c r="M33" s="26">
        <f>B33+E33</f>
        <v>14</v>
      </c>
      <c r="N33" s="26">
        <f>C33+F33+I33</f>
        <v>2</v>
      </c>
      <c r="O33" s="26"/>
      <c r="P33" s="38" t="str">
        <f>AE13</f>
        <v>M. Ibnu Wahyudi Mohamad Ibnu Wahyudi</v>
      </c>
      <c r="Q33" s="39">
        <v>2.0</v>
      </c>
      <c r="R33" s="40">
        <f>IF(Q33&gt;Q35,1,0)</f>
        <v>0</v>
      </c>
      <c r="S33" s="41"/>
      <c r="T33" s="39">
        <v>6.0</v>
      </c>
      <c r="U33" s="40">
        <f>IF(T33&gt;T35,1,0)</f>
        <v>1</v>
      </c>
      <c r="V33" s="41"/>
      <c r="W33" s="39">
        <v>10.0</v>
      </c>
      <c r="X33" s="26">
        <f>IF(W33&gt;W35,1,0)</f>
        <v>1</v>
      </c>
      <c r="Y33" s="26">
        <f>IF(Q33="",0,1)</f>
        <v>1</v>
      </c>
      <c r="Z33" s="26">
        <f>IF(R33+U33=2,3,IF(R33+U33=1,1,0))</f>
        <v>1</v>
      </c>
      <c r="AA33" s="26">
        <f>IF(Z33=3,3,IF(X33+Z33=2,2,IF(Z33=1,1,0)))</f>
        <v>2</v>
      </c>
      <c r="AB33" s="26">
        <f>Q33+T33</f>
        <v>8</v>
      </c>
      <c r="AC33" s="26">
        <f>R33+U33+X33</f>
        <v>2</v>
      </c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</row>
    <row r="34" ht="14.25" customHeight="1">
      <c r="A34" s="46" t="s">
        <v>71</v>
      </c>
      <c r="H34" s="47"/>
      <c r="I34" s="48"/>
      <c r="J34" s="26"/>
      <c r="K34" s="26"/>
      <c r="L34" s="26"/>
      <c r="M34" s="26"/>
      <c r="N34" s="26"/>
      <c r="O34" s="26"/>
      <c r="P34" s="46" t="s">
        <v>71</v>
      </c>
      <c r="W34" s="47"/>
      <c r="X34" s="48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</row>
    <row r="35" ht="14.25" customHeight="1">
      <c r="A35" s="49" t="str">
        <f>AE17</f>
        <v>Ivan Cassar</v>
      </c>
      <c r="B35" s="39">
        <v>6.0</v>
      </c>
      <c r="C35" s="50">
        <f>IF(B35&gt;B33,1,0)</f>
        <v>0</v>
      </c>
      <c r="D35" s="51"/>
      <c r="E35" s="39">
        <v>5.0</v>
      </c>
      <c r="F35" s="50">
        <f>IF(E35&gt;E33,1,0)</f>
        <v>0</v>
      </c>
      <c r="G35" s="51"/>
      <c r="H35" s="42"/>
      <c r="I35" s="26">
        <f>IF(H35&gt;H33,1,0)</f>
        <v>0</v>
      </c>
      <c r="J35" s="26">
        <f>IF(B35="",0,1)</f>
        <v>1</v>
      </c>
      <c r="K35" s="26">
        <f>IF(C35+F35=2,3,IF(C35+F35=1,1,0))</f>
        <v>0</v>
      </c>
      <c r="L35" s="26">
        <f>IF(K35=3,3,IF(I35+K35=2,2,IF(K35=1,1,0)))</f>
        <v>0</v>
      </c>
      <c r="M35" s="26">
        <f>B35+E35</f>
        <v>11</v>
      </c>
      <c r="N35" s="26">
        <f>C35+F35+I35</f>
        <v>0</v>
      </c>
      <c r="O35" s="26"/>
      <c r="P35" s="49" t="str">
        <f>AE19</f>
        <v>Kurt Cassar</v>
      </c>
      <c r="Q35" s="39">
        <v>6.0</v>
      </c>
      <c r="R35" s="50">
        <f>IF(Q35&gt;Q33,1,0)</f>
        <v>1</v>
      </c>
      <c r="S35" s="51"/>
      <c r="T35" s="39">
        <v>3.0</v>
      </c>
      <c r="U35" s="50">
        <f>IF(T35&gt;T33,1,0)</f>
        <v>0</v>
      </c>
      <c r="V35" s="51"/>
      <c r="W35" s="39">
        <v>2.0</v>
      </c>
      <c r="X35" s="26">
        <f>IF(W35&gt;W33,1,0)</f>
        <v>0</v>
      </c>
      <c r="Y35" s="26">
        <f>IF(Q35="",0,1)</f>
        <v>1</v>
      </c>
      <c r="Z35" s="26">
        <f>IF(R35+U35=2,3,IF(R35+U35=1,1,0))</f>
        <v>1</v>
      </c>
      <c r="AA35" s="26">
        <f>IF(Z35=3,3,IF(X35+Z35=2,2,IF(Z35=1,1,0)))</f>
        <v>1</v>
      </c>
      <c r="AB35" s="26">
        <f>Q35+T35</f>
        <v>9</v>
      </c>
      <c r="AC35" s="26">
        <f>R35+U35+X35</f>
        <v>1</v>
      </c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</row>
    <row r="36" ht="14.2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33"/>
      <c r="AI36" s="26"/>
      <c r="AJ36" s="26"/>
      <c r="AK36" s="33"/>
      <c r="AL36" s="26"/>
      <c r="AM36" s="26"/>
      <c r="AN36" s="26"/>
    </row>
    <row r="37" ht="14.25" customHeight="1">
      <c r="A37" s="38" t="str">
        <f>AE15</f>
        <v>Etienne Formosa Carabez</v>
      </c>
      <c r="B37" s="39">
        <v>6.0</v>
      </c>
      <c r="C37" s="40">
        <f>IF(B37&gt;B39,1,0)</f>
        <v>1</v>
      </c>
      <c r="D37" s="41"/>
      <c r="E37" s="39">
        <v>7.0</v>
      </c>
      <c r="F37" s="40">
        <f>IF(E37&gt;E39,1,0)</f>
        <v>1</v>
      </c>
      <c r="G37" s="41"/>
      <c r="H37" s="42"/>
      <c r="I37" s="26">
        <f>IF(H37&gt;H39,1,0)</f>
        <v>0</v>
      </c>
      <c r="J37" s="26">
        <f>IF(B37="",0,1)</f>
        <v>1</v>
      </c>
      <c r="K37" s="26">
        <f>IF(C37+F37=2,3,IF(C37+F37=1,1,0))</f>
        <v>3</v>
      </c>
      <c r="L37" s="26">
        <f>IF(K37=3,3,IF(I37+K37=2,2,IF(K37=1,1,0)))</f>
        <v>3</v>
      </c>
      <c r="M37" s="26">
        <f>B37+E37</f>
        <v>13</v>
      </c>
      <c r="N37" s="26">
        <f>C37+F37+I37</f>
        <v>2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33"/>
      <c r="AL37" s="26"/>
      <c r="AM37" s="26"/>
      <c r="AN37" s="26"/>
    </row>
    <row r="38" ht="14.25" customHeight="1">
      <c r="A38" s="46" t="s">
        <v>71</v>
      </c>
      <c r="H38" s="47"/>
      <c r="I38" s="48"/>
      <c r="J38" s="26"/>
      <c r="K38" s="26"/>
      <c r="L38" s="26"/>
      <c r="M38" s="26"/>
      <c r="N38" s="26"/>
      <c r="O38" s="26"/>
      <c r="P38" s="26"/>
      <c r="Q38" s="52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56"/>
      <c r="AK38" s="26"/>
      <c r="AL38" s="26"/>
      <c r="AM38" s="26"/>
      <c r="AN38" s="26"/>
    </row>
    <row r="39" ht="14.25" customHeight="1">
      <c r="A39" s="49" t="str">
        <f>AE17</f>
        <v>Ivan Cassar</v>
      </c>
      <c r="B39" s="39">
        <v>1.0</v>
      </c>
      <c r="C39" s="50">
        <f>IF(B39&gt;B37,1,0)</f>
        <v>0</v>
      </c>
      <c r="D39" s="51"/>
      <c r="E39" s="39">
        <v>5.0</v>
      </c>
      <c r="F39" s="50">
        <f>IF(E39&gt;E37,1,0)</f>
        <v>0</v>
      </c>
      <c r="G39" s="51"/>
      <c r="H39" s="42"/>
      <c r="I39" s="26">
        <f>IF(H39&gt;H37,1,0)</f>
        <v>0</v>
      </c>
      <c r="J39" s="26">
        <f>IF(B39="",0,1)</f>
        <v>1</v>
      </c>
      <c r="K39" s="26">
        <f>IF(C39+F39=2,3,IF(C39+F39=1,1,0))</f>
        <v>0</v>
      </c>
      <c r="L39" s="26">
        <f>IF(K39=3,3,IF(I39+K39=2,2,IF(K39=1,1,0)))</f>
        <v>0</v>
      </c>
      <c r="M39" s="26">
        <f>B39+E39</f>
        <v>6</v>
      </c>
      <c r="N39" s="26">
        <f>C39+F39+I39</f>
        <v>0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</row>
    <row r="40" ht="14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</row>
    <row r="41" ht="14.2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</row>
    <row r="42" ht="14.2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56"/>
      <c r="AK42" s="26"/>
      <c r="AL42" s="26"/>
      <c r="AM42" s="26"/>
      <c r="AN42" s="26"/>
    </row>
    <row r="43" ht="14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</row>
    <row r="44" ht="14.2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</row>
    <row r="45" ht="14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</row>
    <row r="46" ht="14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</row>
    <row r="47" ht="14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56"/>
      <c r="AK47" s="26"/>
      <c r="AL47" s="33"/>
      <c r="AM47" s="26"/>
      <c r="AN47" s="26"/>
    </row>
    <row r="48" ht="14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</row>
    <row r="49" ht="14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</row>
    <row r="50" ht="14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</row>
    <row r="51" ht="14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</row>
    <row r="52" ht="14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56"/>
      <c r="AK52" s="26"/>
      <c r="AL52" s="26"/>
      <c r="AM52" s="26"/>
      <c r="AN52" s="33"/>
    </row>
    <row r="53" ht="14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</row>
    <row r="54" ht="14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</row>
    <row r="55" ht="14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</row>
    <row r="56" ht="14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33"/>
      <c r="AI56" s="26"/>
      <c r="AJ56" s="26"/>
      <c r="AK56" s="33"/>
      <c r="AL56" s="26"/>
      <c r="AM56" s="26"/>
      <c r="AN56" s="26"/>
    </row>
    <row r="57" ht="14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</row>
    <row r="58" ht="14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</row>
    <row r="59" ht="14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</row>
    <row r="60" ht="14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</row>
    <row r="61" ht="14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</row>
    <row r="62" ht="14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</row>
    <row r="63" ht="14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</row>
    <row r="64" ht="14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</row>
    <row r="65" ht="14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</row>
    <row r="66" ht="14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</row>
    <row r="67" ht="14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</row>
    <row r="68" ht="14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</row>
    <row r="69" ht="14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</row>
    <row r="70" ht="14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</row>
    <row r="71" ht="14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</row>
    <row r="72" ht="14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</row>
    <row r="73" ht="14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</row>
    <row r="74" ht="14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</row>
    <row r="75" ht="14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</row>
    <row r="76" ht="14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</row>
    <row r="77" ht="14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</row>
    <row r="78" ht="14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</row>
    <row r="79" ht="14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</row>
    <row r="80" ht="14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</row>
    <row r="81" ht="14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</row>
    <row r="82" ht="14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</row>
    <row r="83" ht="14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</row>
    <row r="84" ht="14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</row>
    <row r="85" ht="14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</row>
    <row r="86" ht="14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</row>
    <row r="87" ht="14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</row>
    <row r="88" ht="14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</row>
    <row r="89" ht="14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</row>
    <row r="90" ht="14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</row>
    <row r="91" ht="14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</row>
    <row r="92" ht="14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</row>
    <row r="93" ht="14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ht="14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ht="14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</row>
    <row r="96" ht="14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</row>
    <row r="97" ht="14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</row>
    <row r="98" ht="14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</row>
    <row r="99" ht="14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</row>
    <row r="100" ht="14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</row>
    <row r="101" ht="14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</row>
    <row r="102" ht="14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</row>
    <row r="103" ht="14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</row>
    <row r="104" ht="14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</row>
    <row r="105" ht="14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</row>
    <row r="106" ht="14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33"/>
      <c r="R106" s="33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</row>
    <row r="107" ht="14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</row>
    <row r="108" ht="14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</row>
    <row r="109" ht="14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ht="14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ht="14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</row>
    <row r="112" ht="14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</row>
    <row r="113" ht="14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</row>
    <row r="114" ht="14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</row>
    <row r="115" ht="14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</row>
    <row r="116" ht="14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</row>
    <row r="117" ht="14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</row>
    <row r="118" ht="14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</row>
    <row r="119" ht="14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</row>
    <row r="120" ht="14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</row>
    <row r="121" ht="14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</row>
    <row r="122" ht="14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</row>
    <row r="123" ht="14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</row>
    <row r="124" ht="14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</row>
    <row r="125" ht="14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</row>
    <row r="126" ht="14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</row>
    <row r="127" ht="14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</row>
    <row r="128" ht="14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</row>
    <row r="129" ht="14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</row>
    <row r="130" ht="14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</row>
    <row r="131" ht="14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</row>
    <row r="132" ht="14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</row>
    <row r="133" ht="14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</row>
    <row r="134" ht="14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</row>
    <row r="135" ht="14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</row>
    <row r="136" ht="14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</row>
    <row r="137" ht="14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</row>
    <row r="138" ht="14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</row>
    <row r="139" ht="14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</row>
    <row r="140" ht="14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</row>
    <row r="141" ht="14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</row>
    <row r="142" ht="14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</row>
    <row r="143" ht="14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</row>
    <row r="144" ht="14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</row>
    <row r="145" ht="14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</row>
    <row r="146" ht="14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</row>
    <row r="147" ht="14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</row>
    <row r="148" ht="14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</row>
    <row r="149" ht="14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</row>
    <row r="150" ht="14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</row>
    <row r="151" ht="14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</row>
    <row r="152" ht="14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</row>
    <row r="153" ht="14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</row>
    <row r="154" ht="14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</row>
    <row r="155" ht="14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</row>
    <row r="156" ht="14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</row>
    <row r="157" ht="14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</row>
    <row r="158" ht="14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</row>
    <row r="159" ht="14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</row>
    <row r="160" ht="14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</row>
    <row r="161" ht="14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</row>
    <row r="162" ht="14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</row>
    <row r="163" ht="14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</row>
    <row r="164" ht="14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</row>
    <row r="165" ht="14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</row>
    <row r="166" ht="14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</row>
    <row r="167" ht="14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</row>
    <row r="168" ht="14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</row>
    <row r="169" ht="14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</row>
    <row r="170" ht="14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</row>
    <row r="171" ht="14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</row>
    <row r="172" ht="14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</row>
    <row r="173" ht="14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</row>
    <row r="174" ht="14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</row>
    <row r="175" ht="14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</row>
    <row r="176" ht="14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</row>
    <row r="177" ht="14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</row>
    <row r="178" ht="14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</row>
    <row r="179" ht="14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</row>
    <row r="180" ht="14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</row>
    <row r="181" ht="14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</row>
    <row r="182" ht="14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</row>
    <row r="183" ht="14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</row>
    <row r="184" ht="14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</row>
    <row r="185" ht="14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</row>
    <row r="186" ht="14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</row>
    <row r="187" ht="14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</row>
    <row r="188" ht="14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</row>
    <row r="189" ht="14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</row>
    <row r="190" ht="14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</row>
    <row r="191" ht="14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</row>
    <row r="192" ht="14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</row>
    <row r="193" ht="14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</row>
    <row r="194" ht="14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</row>
    <row r="195" ht="14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</row>
    <row r="196" ht="14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</row>
    <row r="197" ht="14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</row>
    <row r="198" ht="14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</row>
    <row r="199" ht="14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</row>
    <row r="200" ht="14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</row>
    <row r="201" ht="14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</row>
    <row r="202" ht="14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</row>
    <row r="203" ht="14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</row>
    <row r="204" ht="14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</row>
    <row r="205" ht="14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</row>
    <row r="206" ht="14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</row>
    <row r="207" ht="14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</row>
    <row r="208" ht="14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</row>
    <row r="209" ht="14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</row>
    <row r="210" ht="14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</row>
    <row r="211" ht="14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</row>
    <row r="212" ht="14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</row>
    <row r="213" ht="14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</row>
    <row r="214" ht="14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</row>
    <row r="215" ht="14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</row>
    <row r="216" ht="14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</row>
    <row r="217" ht="14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</row>
    <row r="218" ht="14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</row>
    <row r="219" ht="14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</row>
    <row r="220" ht="14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</row>
    <row r="221" ht="14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</row>
    <row r="222" ht="14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</row>
    <row r="223" ht="14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</row>
    <row r="224" ht="14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</row>
    <row r="225" ht="14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</row>
    <row r="226" ht="14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</row>
    <row r="227" ht="14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</row>
    <row r="228" ht="14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</row>
    <row r="229" ht="14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</row>
    <row r="230" ht="14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</row>
    <row r="231" ht="14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</row>
    <row r="232" ht="14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</row>
    <row r="233" ht="14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</row>
    <row r="234" ht="14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</row>
    <row r="235" ht="14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</row>
    <row r="236" ht="14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</row>
    <row r="237" ht="14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</row>
    <row r="238" ht="14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</row>
    <row r="239" ht="14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</row>
    <row r="240" ht="14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</row>
    <row r="241" ht="14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</row>
    <row r="242" ht="14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</row>
    <row r="243" ht="14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</row>
    <row r="244" ht="14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</row>
    <row r="245" ht="14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ht="14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ht="14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</row>
    <row r="248" ht="14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</row>
    <row r="249" ht="14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</row>
    <row r="250" ht="14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</row>
    <row r="251" ht="14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</row>
    <row r="252" ht="14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 ht="14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 ht="14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</row>
    <row r="255" ht="14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</row>
    <row r="256" ht="14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</row>
    <row r="257" ht="14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</row>
    <row r="258" ht="14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 ht="14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</row>
    <row r="260" ht="14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</row>
    <row r="261" ht="14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</row>
    <row r="262" ht="14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</row>
    <row r="263" ht="14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</row>
    <row r="264" ht="14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</row>
    <row r="265" ht="14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</row>
    <row r="266" ht="14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</row>
    <row r="267" ht="14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</row>
    <row r="268" ht="14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</row>
    <row r="269" ht="14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</row>
    <row r="270" ht="14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</row>
    <row r="271" ht="14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</row>
    <row r="272" ht="14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</row>
    <row r="273" ht="14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</row>
    <row r="274" ht="14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</row>
    <row r="275" ht="14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</row>
    <row r="276" ht="14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</row>
    <row r="277" ht="14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</row>
    <row r="278" ht="14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</row>
    <row r="279" ht="14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</row>
    <row r="280" ht="14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</row>
    <row r="281" ht="14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</row>
    <row r="282" ht="14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</row>
    <row r="283" ht="14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</row>
    <row r="284" ht="14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</row>
    <row r="285" ht="14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</row>
    <row r="286" ht="14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</row>
    <row r="287" ht="14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</row>
    <row r="288" ht="14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</row>
    <row r="289" ht="14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</row>
    <row r="290" ht="14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</row>
    <row r="291" ht="14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</row>
    <row r="292" ht="14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</row>
    <row r="293" ht="14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</row>
    <row r="294" ht="14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</row>
    <row r="295" ht="14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</row>
    <row r="296" ht="14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</row>
    <row r="297" ht="14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</row>
    <row r="298" ht="14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</row>
    <row r="299" ht="14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</row>
    <row r="300" ht="14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</row>
    <row r="301" ht="14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</row>
    <row r="302" ht="14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</row>
    <row r="303" ht="14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</row>
    <row r="304" ht="14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</row>
    <row r="305" ht="14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</row>
    <row r="306" ht="14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</row>
    <row r="307" ht="14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</row>
    <row r="308" ht="14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</row>
    <row r="309" ht="14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</row>
    <row r="310" ht="14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</row>
    <row r="311" ht="14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</row>
    <row r="312" ht="14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</row>
    <row r="313" ht="14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</row>
    <row r="314" ht="14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</row>
    <row r="315" ht="14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</row>
    <row r="316" ht="14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</row>
    <row r="317" ht="14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</row>
    <row r="318" ht="14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</row>
    <row r="319" ht="14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</row>
    <row r="320" ht="14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</row>
    <row r="321" ht="14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</row>
    <row r="322" ht="14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</row>
    <row r="323" ht="14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</row>
    <row r="324" ht="14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</row>
    <row r="325" ht="14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</row>
    <row r="326" ht="14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</row>
    <row r="327" ht="14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</row>
    <row r="328" ht="14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</row>
    <row r="329" ht="14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</row>
    <row r="330" ht="14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</row>
    <row r="331" ht="14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</row>
    <row r="332" ht="14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</row>
    <row r="333" ht="14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</row>
    <row r="334" ht="14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</row>
    <row r="335" ht="14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ht="14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ht="14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 ht="14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</row>
    <row r="339" ht="14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</row>
    <row r="340" ht="14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</row>
    <row r="341" ht="14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</row>
    <row r="342" ht="14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</row>
    <row r="343" ht="14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</row>
    <row r="344" ht="14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</row>
    <row r="345" ht="14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</row>
    <row r="346" ht="14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</row>
    <row r="347" ht="14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</row>
    <row r="348" ht="14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</row>
    <row r="349" ht="14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</row>
    <row r="350" ht="14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</row>
    <row r="351" ht="14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</row>
    <row r="352" ht="14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</row>
    <row r="353" ht="14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</row>
    <row r="354" ht="14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</row>
    <row r="355" ht="14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</row>
    <row r="356" ht="14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</row>
    <row r="357" ht="14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</row>
    <row r="358" ht="14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</row>
    <row r="359" ht="14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</row>
    <row r="360" ht="14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</row>
    <row r="361" ht="14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</row>
    <row r="362" ht="14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</row>
    <row r="363" ht="14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</row>
    <row r="364" ht="14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</row>
    <row r="365" ht="14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</row>
    <row r="366" ht="14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</row>
    <row r="367" ht="14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</row>
    <row r="368" ht="14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</row>
    <row r="369" ht="14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</row>
    <row r="370" ht="14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</row>
    <row r="371" ht="14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</row>
    <row r="372" ht="14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</row>
    <row r="373" ht="14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</row>
    <row r="374" ht="14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ht="14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ht="14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ht="14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ht="14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ht="14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ht="14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ht="14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ht="14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ht="14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ht="14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ht="14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ht="14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ht="14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ht="14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ht="14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ht="14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ht="14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ht="14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ht="14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ht="14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ht="14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ht="14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ht="14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ht="14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ht="14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ht="14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ht="14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ht="14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ht="14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ht="14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ht="14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ht="14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ht="14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</row>
    <row r="408" ht="14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</row>
    <row r="409" ht="14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</row>
    <row r="410" ht="14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</row>
    <row r="411" ht="14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</row>
    <row r="412" ht="14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</row>
    <row r="413" ht="14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</row>
    <row r="414" ht="14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</row>
    <row r="415" ht="14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</row>
    <row r="416" ht="14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</row>
    <row r="417" ht="14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</row>
    <row r="418" ht="14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</row>
    <row r="419" ht="14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</row>
    <row r="420" ht="14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</row>
    <row r="421" ht="14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</row>
    <row r="422" ht="14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</row>
    <row r="423" ht="14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</row>
    <row r="424" ht="14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</row>
    <row r="425" ht="14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</row>
    <row r="426" ht="14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</row>
    <row r="427" ht="14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</row>
    <row r="428" ht="14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</row>
    <row r="429" ht="14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</row>
    <row r="430" ht="14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</row>
    <row r="431" ht="14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</row>
    <row r="432" ht="14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</row>
    <row r="433" ht="14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</row>
    <row r="434" ht="14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</row>
    <row r="435" ht="14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</row>
    <row r="436" ht="14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</row>
    <row r="437" ht="14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</row>
    <row r="438" ht="14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</row>
    <row r="439" ht="14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</row>
    <row r="440" ht="14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</row>
    <row r="441" ht="14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</row>
    <row r="442" ht="14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</row>
    <row r="443" ht="14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</row>
    <row r="444" ht="14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</row>
    <row r="445" ht="14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</row>
    <row r="446" ht="14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</row>
    <row r="447" ht="14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</row>
    <row r="448" ht="14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</row>
    <row r="449" ht="14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</row>
    <row r="450" ht="14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</row>
    <row r="451" ht="14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</row>
    <row r="452" ht="14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</row>
    <row r="453" ht="14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</row>
    <row r="454" ht="14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</row>
    <row r="455" ht="14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</row>
    <row r="456" ht="14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</row>
    <row r="457" ht="14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</row>
    <row r="458" ht="14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</row>
    <row r="459" ht="14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</row>
    <row r="460" ht="14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</row>
    <row r="461" ht="14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</row>
    <row r="462" ht="14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</row>
    <row r="463" ht="14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</row>
    <row r="464" ht="14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</row>
    <row r="465" ht="14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</row>
    <row r="466" ht="14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</row>
    <row r="467" ht="14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</row>
    <row r="468" ht="14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</row>
    <row r="469" ht="14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</row>
    <row r="470" ht="14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</row>
    <row r="471" ht="14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</row>
    <row r="472" ht="14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</row>
    <row r="473" ht="14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</row>
    <row r="474" ht="14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</row>
    <row r="475" ht="14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</row>
    <row r="476" ht="14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</row>
    <row r="477" ht="14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</row>
    <row r="478" ht="14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</row>
    <row r="479" ht="14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</row>
    <row r="480" ht="14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</row>
    <row r="481" ht="14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</row>
    <row r="482" ht="14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</row>
    <row r="483" ht="14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</row>
    <row r="484" ht="14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</row>
    <row r="485" ht="14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</row>
    <row r="486" ht="14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</row>
    <row r="487" ht="14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</row>
    <row r="488" ht="14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</row>
    <row r="489" ht="14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</row>
    <row r="490" ht="14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</row>
    <row r="491" ht="14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</row>
    <row r="492" ht="14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</row>
    <row r="493" ht="14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</row>
    <row r="494" ht="14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</row>
    <row r="495" ht="14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</row>
    <row r="496" ht="14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</row>
    <row r="497" ht="14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</row>
    <row r="498" ht="14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</row>
    <row r="499" ht="14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</row>
    <row r="500" ht="14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</row>
    <row r="501" ht="14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</row>
    <row r="502" ht="14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</row>
    <row r="503" ht="14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</row>
    <row r="504" ht="14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</row>
    <row r="505" ht="14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</row>
    <row r="506" ht="14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</row>
    <row r="507" ht="14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</row>
    <row r="508" ht="14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</row>
    <row r="509" ht="14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</row>
    <row r="510" ht="14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</row>
    <row r="511" ht="14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</row>
    <row r="512" ht="14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</row>
    <row r="513" ht="14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</row>
    <row r="514" ht="14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</row>
    <row r="515" ht="14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</row>
    <row r="516" ht="14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</row>
    <row r="517" ht="14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</row>
    <row r="518" ht="14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</row>
    <row r="519" ht="14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</row>
    <row r="520" ht="14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</row>
    <row r="521" ht="14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</row>
    <row r="522" ht="14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</row>
    <row r="523" ht="14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</row>
    <row r="524" ht="14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</row>
    <row r="525" ht="14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</row>
    <row r="526" ht="14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</row>
    <row r="527" ht="14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</row>
    <row r="528" ht="14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</row>
    <row r="529" ht="14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</row>
    <row r="530" ht="14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</row>
    <row r="531" ht="14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</row>
    <row r="532" ht="14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</row>
    <row r="533" ht="14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</row>
    <row r="534" ht="14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</row>
    <row r="535" ht="14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</row>
    <row r="536" ht="14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</row>
    <row r="537" ht="14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</row>
    <row r="538" ht="14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</row>
    <row r="539" ht="14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</row>
    <row r="540" ht="14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</row>
    <row r="541" ht="14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</row>
    <row r="542" ht="14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</row>
    <row r="543" ht="14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</row>
    <row r="544" ht="14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</row>
    <row r="545" ht="14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</row>
    <row r="546" ht="14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</row>
    <row r="547" ht="14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</row>
    <row r="548" ht="14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</row>
    <row r="549" ht="14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</row>
    <row r="550" ht="14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</row>
    <row r="551" ht="14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</row>
    <row r="552" ht="14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</row>
    <row r="553" ht="14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</row>
    <row r="554" ht="14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</row>
    <row r="555" ht="14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</row>
    <row r="556" ht="14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</row>
    <row r="557" ht="14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</row>
    <row r="558" ht="14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</row>
    <row r="559" ht="14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</row>
    <row r="560" ht="14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</row>
    <row r="561" ht="14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</row>
    <row r="562" ht="14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</row>
    <row r="563" ht="14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</row>
    <row r="564" ht="14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</row>
    <row r="565" ht="14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</row>
    <row r="566" ht="14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</row>
    <row r="567" ht="14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</row>
    <row r="568" ht="14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</row>
    <row r="569" ht="14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</row>
    <row r="570" ht="14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</row>
    <row r="571" ht="14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</row>
    <row r="572" ht="14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</row>
    <row r="573" ht="14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</row>
    <row r="574" ht="14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</row>
    <row r="575" ht="14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</row>
    <row r="576" ht="14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</row>
    <row r="577" ht="14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</row>
    <row r="578" ht="14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</row>
    <row r="579" ht="14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</row>
    <row r="580" ht="14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</row>
    <row r="581" ht="14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</row>
    <row r="582" ht="14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</row>
    <row r="583" ht="14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</row>
    <row r="584" ht="14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</row>
    <row r="585" ht="14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</row>
    <row r="586" ht="14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</row>
    <row r="587" ht="14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</row>
    <row r="588" ht="14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</row>
    <row r="589" ht="14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</row>
    <row r="590" ht="14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</row>
    <row r="591" ht="14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</row>
    <row r="592" ht="14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</row>
    <row r="593" ht="14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</row>
    <row r="594" ht="14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</row>
    <row r="595" ht="14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</row>
    <row r="596" ht="14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</row>
    <row r="597" ht="14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</row>
    <row r="598" ht="14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</row>
    <row r="599" ht="14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</row>
    <row r="600" ht="14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</row>
    <row r="601" ht="14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</row>
    <row r="602" ht="14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</row>
    <row r="603" ht="14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</row>
    <row r="604" ht="14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</row>
    <row r="605" ht="14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</row>
    <row r="606" ht="14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</row>
    <row r="607" ht="14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</row>
    <row r="608" ht="14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</row>
    <row r="609" ht="14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</row>
    <row r="610" ht="14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</row>
    <row r="611" ht="14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</row>
    <row r="612" ht="14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</row>
    <row r="613" ht="14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</row>
    <row r="614" ht="14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</row>
    <row r="615" ht="14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</row>
    <row r="616" ht="14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</row>
    <row r="617" ht="14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</row>
    <row r="618" ht="14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</row>
    <row r="619" ht="14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</row>
    <row r="620" ht="14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</row>
    <row r="621" ht="14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</row>
    <row r="622" ht="14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</row>
    <row r="623" ht="14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</row>
    <row r="624" ht="14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</row>
    <row r="625" ht="14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</row>
    <row r="626" ht="14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</row>
    <row r="627" ht="14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</row>
    <row r="628" ht="14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</row>
    <row r="629" ht="14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</row>
    <row r="630" ht="14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</row>
    <row r="631" ht="14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</row>
    <row r="632" ht="14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</row>
    <row r="633" ht="14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</row>
    <row r="634" ht="14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</row>
    <row r="635" ht="14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</row>
    <row r="636" ht="14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</row>
    <row r="637" ht="14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</row>
    <row r="638" ht="14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</row>
    <row r="639" ht="14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</row>
    <row r="640" ht="14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</row>
    <row r="641" ht="14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</row>
    <row r="642" ht="14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</row>
    <row r="643" ht="14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</row>
    <row r="644" ht="14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</row>
    <row r="645" ht="14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</row>
    <row r="646" ht="14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</row>
    <row r="647" ht="14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</row>
    <row r="648" ht="14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</row>
    <row r="649" ht="14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</row>
    <row r="650" ht="14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</row>
    <row r="651" ht="14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</row>
    <row r="652" ht="14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</row>
    <row r="653" ht="14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</row>
    <row r="654" ht="14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</row>
    <row r="655" ht="14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</row>
    <row r="656" ht="14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</row>
    <row r="657" ht="14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</row>
    <row r="658" ht="14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</row>
    <row r="659" ht="14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</row>
    <row r="660" ht="14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</row>
    <row r="661" ht="14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</row>
    <row r="662" ht="14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</row>
    <row r="663" ht="14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</row>
    <row r="664" ht="14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</row>
    <row r="665" ht="14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</row>
    <row r="666" ht="14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</row>
    <row r="667" ht="14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</row>
    <row r="668" ht="14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</row>
    <row r="669" ht="14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</row>
    <row r="670" ht="14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</row>
    <row r="671" ht="14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</row>
    <row r="672" ht="14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</row>
    <row r="673" ht="14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</row>
    <row r="674" ht="14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</row>
    <row r="675" ht="14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</row>
    <row r="676" ht="14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</row>
    <row r="677" ht="14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</row>
    <row r="678" ht="14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</row>
    <row r="679" ht="14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</row>
    <row r="680" ht="14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</row>
    <row r="681" ht="14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</row>
    <row r="682" ht="14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</row>
    <row r="683" ht="14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</row>
    <row r="684" ht="14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</row>
    <row r="685" ht="14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</row>
    <row r="686" ht="14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</row>
    <row r="687" ht="14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</row>
    <row r="688" ht="14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</row>
    <row r="689" ht="14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</row>
    <row r="690" ht="14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</row>
    <row r="691" ht="14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</row>
    <row r="692" ht="14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</row>
    <row r="693" ht="14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</row>
    <row r="694" ht="14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</row>
    <row r="695" ht="14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</row>
    <row r="696" ht="14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</row>
    <row r="697" ht="14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</row>
    <row r="698" ht="14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</row>
    <row r="699" ht="14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</row>
    <row r="700" ht="14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</row>
    <row r="701" ht="14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</row>
    <row r="702" ht="14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</row>
    <row r="703" ht="14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</row>
    <row r="704" ht="14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</row>
    <row r="705" ht="14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</row>
    <row r="706" ht="14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</row>
    <row r="707" ht="14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</row>
    <row r="708" ht="14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</row>
    <row r="709" ht="14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</row>
    <row r="710" ht="14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</row>
    <row r="711" ht="14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</row>
    <row r="712" ht="14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</row>
    <row r="713" ht="14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</row>
    <row r="714" ht="14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</row>
    <row r="715" ht="14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</row>
    <row r="716" ht="14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</row>
    <row r="717" ht="14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</row>
    <row r="718" ht="14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</row>
    <row r="719" ht="14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</row>
    <row r="720" ht="14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</row>
    <row r="721" ht="14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</row>
    <row r="722" ht="14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</row>
    <row r="723" ht="14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</row>
    <row r="724" ht="14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</row>
    <row r="725" ht="14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</row>
    <row r="726" ht="14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</row>
    <row r="727" ht="14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</row>
    <row r="728" ht="14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</row>
    <row r="729" ht="14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</row>
    <row r="730" ht="14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</row>
    <row r="731" ht="14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</row>
    <row r="732" ht="14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</row>
    <row r="733" ht="14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</row>
    <row r="734" ht="14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</row>
    <row r="735" ht="14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</row>
    <row r="736" ht="14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</row>
    <row r="737" ht="14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</row>
    <row r="738" ht="14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</row>
    <row r="739" ht="14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</row>
    <row r="740" ht="14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</row>
    <row r="741" ht="14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</row>
    <row r="742" ht="14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</row>
    <row r="743" ht="14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</row>
    <row r="744" ht="14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</row>
    <row r="745" ht="14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</row>
    <row r="746" ht="14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</row>
    <row r="747" ht="14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</row>
    <row r="748" ht="14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</row>
    <row r="749" ht="14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</row>
    <row r="750" ht="14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</row>
    <row r="751" ht="14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</row>
    <row r="752" ht="14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</row>
    <row r="753" ht="14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</row>
    <row r="754" ht="14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</row>
    <row r="755" ht="14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</row>
    <row r="756" ht="14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</row>
    <row r="757" ht="14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</row>
    <row r="758" ht="14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</row>
    <row r="759" ht="14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</row>
    <row r="760" ht="14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</row>
    <row r="761" ht="14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</row>
    <row r="762" ht="14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</row>
    <row r="763" ht="14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</row>
    <row r="764" ht="14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</row>
    <row r="765" ht="14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</row>
    <row r="766" ht="14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</row>
    <row r="767" ht="14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</row>
    <row r="768" ht="14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</row>
    <row r="769" ht="14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</row>
    <row r="770" ht="14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</row>
    <row r="771" ht="14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</row>
    <row r="772" ht="14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</row>
    <row r="773" ht="14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</row>
    <row r="774" ht="14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</row>
    <row r="775" ht="14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</row>
    <row r="776" ht="14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</row>
    <row r="777" ht="14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</row>
    <row r="778" ht="14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</row>
    <row r="779" ht="14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</row>
    <row r="780" ht="14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</row>
    <row r="781" ht="14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</row>
    <row r="782" ht="14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</row>
    <row r="783" ht="14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</row>
    <row r="784" ht="14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</row>
    <row r="785" ht="14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</row>
    <row r="786" ht="14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</row>
    <row r="787" ht="14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</row>
    <row r="788" ht="14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</row>
    <row r="789" ht="14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</row>
    <row r="790" ht="14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</row>
    <row r="791" ht="14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</row>
    <row r="792" ht="14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</row>
    <row r="793" ht="14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</row>
    <row r="794" ht="14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</row>
    <row r="795" ht="14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</row>
    <row r="796" ht="14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</row>
    <row r="797" ht="14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</row>
    <row r="798" ht="14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</row>
    <row r="799" ht="14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</row>
    <row r="800" ht="14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</row>
    <row r="801" ht="14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</row>
    <row r="802" ht="14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</row>
    <row r="803" ht="14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</row>
    <row r="804" ht="14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</row>
    <row r="805" ht="14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</row>
    <row r="806" ht="14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</row>
    <row r="807" ht="14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</row>
    <row r="808" ht="14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</row>
    <row r="809" ht="14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</row>
    <row r="810" ht="14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</row>
    <row r="811" ht="14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</row>
    <row r="812" ht="14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</row>
    <row r="813" ht="14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</row>
    <row r="814" ht="14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</row>
    <row r="815" ht="14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</row>
    <row r="816" ht="14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</row>
    <row r="817" ht="14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</row>
    <row r="818" ht="14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</row>
    <row r="819" ht="14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</row>
    <row r="820" ht="14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</row>
    <row r="821" ht="14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</row>
    <row r="822" ht="14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</row>
    <row r="823" ht="14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</row>
    <row r="824" ht="14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</row>
    <row r="825" ht="14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</row>
    <row r="826" ht="14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</row>
    <row r="827" ht="14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</row>
    <row r="828" ht="14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</row>
    <row r="829" ht="14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</row>
    <row r="830" ht="14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</row>
    <row r="831" ht="14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</row>
    <row r="832" ht="14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</row>
    <row r="833" ht="14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</row>
    <row r="834" ht="14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</row>
    <row r="835" ht="14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</row>
    <row r="836" ht="14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</row>
    <row r="837" ht="14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</row>
    <row r="838" ht="14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</row>
    <row r="839" ht="14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</row>
    <row r="840" ht="14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</row>
    <row r="841" ht="14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</row>
    <row r="842" ht="14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</row>
    <row r="843" ht="14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</row>
    <row r="844" ht="14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</row>
    <row r="845" ht="14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</row>
    <row r="846" ht="14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</row>
    <row r="847" ht="14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</row>
    <row r="848" ht="14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</row>
    <row r="849" ht="14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</row>
    <row r="850" ht="14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</row>
    <row r="851" ht="14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</row>
    <row r="852" ht="14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</row>
    <row r="853" ht="14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</row>
    <row r="854" ht="14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</row>
    <row r="855" ht="14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</row>
    <row r="856" ht="14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</row>
    <row r="857" ht="14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</row>
    <row r="858" ht="14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</row>
    <row r="859" ht="14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</row>
    <row r="860" ht="14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</row>
    <row r="861" ht="14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</row>
    <row r="862" ht="14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</row>
    <row r="863" ht="14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</row>
    <row r="864" ht="14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</row>
    <row r="865" ht="14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</row>
    <row r="866" ht="14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</row>
    <row r="867" ht="14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</row>
    <row r="868" ht="14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</row>
    <row r="869" ht="14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</row>
    <row r="870" ht="14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</row>
    <row r="871" ht="14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</row>
    <row r="872" ht="14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</row>
    <row r="873" ht="14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</row>
    <row r="874" ht="14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</row>
    <row r="875" ht="14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</row>
    <row r="876" ht="14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</row>
    <row r="877" ht="14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</row>
    <row r="878" ht="14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</row>
    <row r="879" ht="14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</row>
    <row r="880" ht="14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</row>
    <row r="881" ht="14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</row>
    <row r="882" ht="14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</row>
    <row r="883" ht="14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</row>
    <row r="884" ht="14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</row>
    <row r="885" ht="14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</row>
    <row r="886" ht="14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</row>
    <row r="887" ht="14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</row>
    <row r="888" ht="14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</row>
    <row r="889" ht="14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</row>
    <row r="890" ht="14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</row>
    <row r="891" ht="14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</row>
    <row r="892" ht="14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</row>
    <row r="893" ht="14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</row>
    <row r="894" ht="14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</row>
    <row r="895" ht="14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</row>
    <row r="896" ht="14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</row>
    <row r="897" ht="14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</row>
    <row r="898" ht="14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</row>
    <row r="899" ht="14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</row>
    <row r="900" ht="14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</row>
    <row r="901" ht="14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</row>
    <row r="902" ht="14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</row>
    <row r="903" ht="14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</row>
    <row r="904" ht="14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</row>
    <row r="905" ht="14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</row>
    <row r="906" ht="14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</row>
    <row r="907" ht="14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</row>
    <row r="908" ht="14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</row>
    <row r="909" ht="14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</row>
    <row r="910" ht="14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</row>
    <row r="911" ht="14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</row>
    <row r="912" ht="14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</row>
    <row r="913" ht="14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</row>
    <row r="914" ht="14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</row>
    <row r="915" ht="14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</row>
    <row r="916" ht="14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</row>
    <row r="917" ht="14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</row>
    <row r="918" ht="14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</row>
    <row r="919" ht="14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</row>
    <row r="920" ht="14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</row>
    <row r="921" ht="14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</row>
    <row r="922" ht="14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</row>
    <row r="923" ht="14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</row>
    <row r="924" ht="14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</row>
    <row r="925" ht="14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</row>
    <row r="926" ht="14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</row>
    <row r="927" ht="14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</row>
    <row r="928" ht="14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</row>
    <row r="929" ht="14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</row>
    <row r="930" ht="14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</row>
    <row r="931" ht="14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</row>
    <row r="932" ht="14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</row>
    <row r="933" ht="14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</row>
    <row r="934" ht="14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</row>
    <row r="935" ht="14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</row>
    <row r="936" ht="14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</row>
    <row r="937" ht="14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</row>
    <row r="938" ht="14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</row>
    <row r="939" ht="14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</row>
    <row r="940" ht="14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</row>
    <row r="941" ht="14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</row>
    <row r="942" ht="14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</row>
    <row r="943" ht="14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</row>
    <row r="944" ht="14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</row>
    <row r="945" ht="14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</row>
    <row r="946" ht="14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</row>
    <row r="947" ht="14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</row>
    <row r="948" ht="14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</row>
    <row r="949" ht="14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</row>
    <row r="950" ht="14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</row>
    <row r="951" ht="14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</row>
    <row r="952" ht="14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</row>
    <row r="953" ht="14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</row>
    <row r="954" ht="14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</row>
    <row r="955" ht="14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</row>
    <row r="956" ht="14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</row>
    <row r="957" ht="14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</row>
    <row r="958" ht="14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</row>
    <row r="959" ht="14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</row>
    <row r="960" ht="14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</row>
    <row r="961" ht="14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</row>
    <row r="962" ht="14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</row>
    <row r="963" ht="14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</row>
    <row r="964" ht="14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</row>
    <row r="965" ht="14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</row>
    <row r="966" ht="14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</row>
    <row r="967" ht="14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</row>
    <row r="968" ht="14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</row>
    <row r="969" ht="14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</row>
    <row r="970" ht="14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</row>
    <row r="971" ht="14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</row>
    <row r="972" ht="14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</row>
    <row r="973" ht="14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</row>
    <row r="974" ht="14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</row>
    <row r="975" ht="14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</row>
    <row r="976" ht="14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</row>
    <row r="977" ht="14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</row>
    <row r="978" ht="14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</row>
    <row r="979" ht="14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</row>
    <row r="980" ht="14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</row>
    <row r="981" ht="14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</row>
    <row r="982" ht="14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</row>
    <row r="983" ht="14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</row>
    <row r="984" ht="14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</row>
    <row r="985" ht="14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</row>
    <row r="986" ht="14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</row>
    <row r="987" ht="14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</row>
    <row r="988" ht="14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</row>
    <row r="989" ht="14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</row>
    <row r="990" ht="14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</row>
    <row r="991" ht="14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</row>
    <row r="992" ht="14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</row>
    <row r="993" ht="14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</row>
    <row r="994" ht="14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</row>
    <row r="995" ht="14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</row>
    <row r="996" ht="14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</row>
    <row r="997" ht="14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</row>
    <row r="998" ht="14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</row>
    <row r="999" ht="14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</row>
    <row r="1000" ht="14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</row>
  </sheetData>
  <mergeCells count="23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0.75" footer="0.0" header="0.0" left="0.25" right="0.25" top="0.75"/>
  <pageSetup paperSize="9" scale="6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0" width="7.75"/>
    <col customWidth="1" hidden="1" min="11" max="11" width="7.38"/>
    <col customWidth="1" hidden="1" min="12" max="12" width="11.25"/>
    <col customWidth="1" hidden="1" min="13" max="13" width="8.0"/>
    <col customWidth="1" hidden="1" min="14" max="14" width="6.13"/>
    <col customWidth="1" min="15" max="15" width="4.13"/>
    <col customWidth="1" min="16" max="16" width="16.13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7.75"/>
    <col customWidth="1" hidden="1" min="26" max="26" width="7.38"/>
    <col customWidth="1" hidden="1" min="27" max="27" width="11.25"/>
    <col customWidth="1" hidden="1" min="28" max="28" width="8.0"/>
    <col customWidth="1" hidden="1" min="29" max="29" width="6.13"/>
    <col customWidth="1" min="30" max="30" width="4.88"/>
    <col customWidth="1" min="31" max="31" width="17.5"/>
    <col customWidth="1" min="32" max="35" width="8.75"/>
    <col customWidth="1" hidden="1" min="36" max="36" width="9.25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5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5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4.25" customHeight="1">
      <c r="A5" s="95" t="s">
        <v>43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5"/>
      <c r="AJ5" s="26"/>
      <c r="AK5" s="26"/>
      <c r="AL5" s="26"/>
      <c r="AM5" s="26"/>
      <c r="AN5" s="26"/>
    </row>
    <row r="6" ht="15.0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</row>
    <row r="7" ht="14.25" customHeight="1">
      <c r="A7" s="96" t="s">
        <v>51</v>
      </c>
      <c r="B7" s="97" t="s">
        <v>52</v>
      </c>
      <c r="C7" s="29"/>
      <c r="D7" s="29"/>
      <c r="E7" s="30"/>
      <c r="F7" s="78"/>
      <c r="G7" s="61"/>
      <c r="H7" s="96" t="s">
        <v>53</v>
      </c>
      <c r="I7" s="26"/>
      <c r="J7" s="26"/>
      <c r="K7" s="26"/>
      <c r="L7" s="26"/>
      <c r="M7" s="33"/>
      <c r="N7" s="33"/>
      <c r="O7" s="26"/>
      <c r="P7" s="96" t="s">
        <v>51</v>
      </c>
      <c r="Q7" s="97" t="s">
        <v>52</v>
      </c>
      <c r="R7" s="29"/>
      <c r="S7" s="29"/>
      <c r="T7" s="30"/>
      <c r="U7" s="78"/>
      <c r="V7" s="61"/>
      <c r="W7" s="96" t="s">
        <v>53</v>
      </c>
      <c r="X7" s="26"/>
      <c r="Y7" s="33"/>
      <c r="Z7" s="33"/>
      <c r="AA7" s="33"/>
      <c r="AB7" s="33"/>
      <c r="AC7" s="33"/>
      <c r="AD7" s="26"/>
      <c r="AE7" s="96" t="s">
        <v>54</v>
      </c>
      <c r="AF7" s="96" t="s">
        <v>55</v>
      </c>
      <c r="AG7" s="96" t="s">
        <v>56</v>
      </c>
      <c r="AH7" s="96" t="s">
        <v>57</v>
      </c>
      <c r="AI7" s="96" t="s">
        <v>58</v>
      </c>
      <c r="AJ7" s="33"/>
      <c r="AK7" s="33"/>
      <c r="AL7" s="33"/>
      <c r="AM7" s="26"/>
      <c r="AN7" s="26"/>
    </row>
    <row r="8" ht="14.25" hidden="1" customHeight="1">
      <c r="A8" s="26"/>
      <c r="B8" s="34" t="s">
        <v>59</v>
      </c>
      <c r="C8" s="34" t="s">
        <v>60</v>
      </c>
      <c r="D8" s="34"/>
      <c r="E8" s="34" t="s">
        <v>59</v>
      </c>
      <c r="F8" s="34" t="s">
        <v>61</v>
      </c>
      <c r="G8" s="34"/>
      <c r="H8" s="34" t="s">
        <v>59</v>
      </c>
      <c r="I8" s="34" t="s">
        <v>62</v>
      </c>
      <c r="J8" s="34" t="s">
        <v>63</v>
      </c>
      <c r="K8" s="34" t="s">
        <v>64</v>
      </c>
      <c r="L8" s="34" t="s">
        <v>65</v>
      </c>
      <c r="M8" s="34" t="s">
        <v>66</v>
      </c>
      <c r="N8" s="34" t="s">
        <v>67</v>
      </c>
      <c r="O8" s="26"/>
      <c r="P8" s="26"/>
      <c r="Q8" s="34" t="s">
        <v>59</v>
      </c>
      <c r="R8" s="34" t="s">
        <v>60</v>
      </c>
      <c r="S8" s="34"/>
      <c r="T8" s="34" t="s">
        <v>59</v>
      </c>
      <c r="U8" s="34" t="s">
        <v>61</v>
      </c>
      <c r="V8" s="34"/>
      <c r="W8" s="34" t="s">
        <v>59</v>
      </c>
      <c r="X8" s="34" t="s">
        <v>62</v>
      </c>
      <c r="Y8" s="34" t="s">
        <v>63</v>
      </c>
      <c r="Z8" s="34" t="s">
        <v>64</v>
      </c>
      <c r="AA8" s="34" t="s">
        <v>65</v>
      </c>
      <c r="AB8" s="34" t="s">
        <v>66</v>
      </c>
      <c r="AC8" s="34" t="s">
        <v>67</v>
      </c>
      <c r="AD8" s="26"/>
      <c r="AE8" s="33"/>
      <c r="AF8" s="33"/>
      <c r="AG8" s="33"/>
      <c r="AH8" s="33"/>
      <c r="AI8" s="33"/>
      <c r="AJ8" s="34" t="s">
        <v>68</v>
      </c>
      <c r="AK8" s="34" t="s">
        <v>81</v>
      </c>
      <c r="AL8" s="36" t="s">
        <v>69</v>
      </c>
      <c r="AM8" s="37" t="s">
        <v>70</v>
      </c>
      <c r="AN8" s="37" t="s">
        <v>82</v>
      </c>
    </row>
    <row r="9" ht="14.25" customHeight="1">
      <c r="A9" s="38" t="str">
        <f>AE9</f>
        <v>JP Sciberras</v>
      </c>
      <c r="B9" s="39">
        <v>2.0</v>
      </c>
      <c r="C9" s="40">
        <f>IF(B9&gt;B11,1,0)</f>
        <v>0</v>
      </c>
      <c r="D9" s="41"/>
      <c r="E9" s="39">
        <v>3.0</v>
      </c>
      <c r="F9" s="40">
        <f>IF(E9&gt;E11,1,0)</f>
        <v>0</v>
      </c>
      <c r="G9" s="41"/>
      <c r="H9" s="42"/>
      <c r="I9" s="26">
        <f>IF(H9&gt;H11,1,0)</f>
        <v>0</v>
      </c>
      <c r="J9" s="26">
        <f>IF(B9="",0,1)</f>
        <v>1</v>
      </c>
      <c r="K9" s="26">
        <f>IF(C9+F9=2,3,IF(C9+F9=1,1,0))</f>
        <v>0</v>
      </c>
      <c r="L9" s="26">
        <f>IF(K9=3,3,IF(I9+K9=2,2,IF(K9=1,1,0)))</f>
        <v>0</v>
      </c>
      <c r="M9" s="26">
        <f>B9+E9</f>
        <v>5</v>
      </c>
      <c r="N9" s="26">
        <f>C9+F9+I9</f>
        <v>0</v>
      </c>
      <c r="O9" s="26"/>
      <c r="P9" s="38" t="str">
        <f>AE9</f>
        <v>JP Sciberras</v>
      </c>
      <c r="Q9" s="39">
        <v>2.0</v>
      </c>
      <c r="R9" s="40">
        <f>IF(Q9&gt;Q11,1,0)</f>
        <v>0</v>
      </c>
      <c r="S9" s="41"/>
      <c r="T9" s="39">
        <v>1.0</v>
      </c>
      <c r="U9" s="40">
        <f>IF(T9&gt;T11,1,0)</f>
        <v>0</v>
      </c>
      <c r="V9" s="41"/>
      <c r="W9" s="42"/>
      <c r="X9" s="26">
        <f>IF(W9&gt;W11,1,0)</f>
        <v>0</v>
      </c>
      <c r="Y9" s="26">
        <f>IF(Q9="",0,1)</f>
        <v>1</v>
      </c>
      <c r="Z9" s="26">
        <f>IF(R9+U9=2,3,IF(R9+U9=1,1,0))</f>
        <v>0</v>
      </c>
      <c r="AA9" s="26">
        <f>IF(Z9=3,3,IF(X9+Z9=2,2,IF(Z9=1,1,0)))</f>
        <v>0</v>
      </c>
      <c r="AB9" s="26">
        <f>Q9+T9</f>
        <v>3</v>
      </c>
      <c r="AC9" s="26">
        <f>R9+U9+X9</f>
        <v>0</v>
      </c>
      <c r="AD9" s="26"/>
      <c r="AE9" s="98" t="str">
        <f>'Players - Men'!B38</f>
        <v>JP Sciberras</v>
      </c>
      <c r="AF9" s="44">
        <f>J9+Y9+J13+Y13+J17</f>
        <v>5</v>
      </c>
      <c r="AG9" s="44">
        <f t="shared" ref="AG9:AI9" si="1">L9+AA9+L13+AA13+L17</f>
        <v>2</v>
      </c>
      <c r="AH9" s="44">
        <f t="shared" si="1"/>
        <v>23</v>
      </c>
      <c r="AI9" s="45">
        <f t="shared" si="1"/>
        <v>2</v>
      </c>
      <c r="AJ9" s="26">
        <f>MAX(AG9:AG19)</f>
        <v>14</v>
      </c>
      <c r="AK9" s="26">
        <f>LARGE(AG9:AG19, 2)</f>
        <v>12</v>
      </c>
      <c r="AL9" s="26">
        <f>SUM(AF9:AF19)</f>
        <v>30</v>
      </c>
      <c r="AM9" s="26" t="str">
        <f>IF(AG9=$AJ$9,AE9,IF(AG11=$AJ$9,AE11,IF(AG13=$AJ$9,AE13,IF(AG15=$AJ$9,AE15,IF(AG17=$AJ$9,AE17,"")))))</f>
        <v>Adrian Duca</v>
      </c>
      <c r="AN9" s="26" t="str">
        <f>IF(AG9=$AK$9,AE9,IF(AG11=$AK$9,AE11,IF(AG13=$AK$9,AE13,IF(AG15=$AK$9,AE15,IF(AG17=$AK$9,AE17,"")))))</f>
        <v>Cory Greenland</v>
      </c>
    </row>
    <row r="10" ht="14.25" customHeight="1">
      <c r="A10" s="46" t="s">
        <v>71</v>
      </c>
      <c r="H10" s="47"/>
      <c r="I10" s="48"/>
      <c r="J10" s="26"/>
      <c r="K10" s="26"/>
      <c r="L10" s="26"/>
      <c r="M10" s="26"/>
      <c r="N10" s="26"/>
      <c r="O10" s="26"/>
      <c r="P10" s="46" t="s">
        <v>71</v>
      </c>
      <c r="W10" s="47"/>
      <c r="X10" s="48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33"/>
      <c r="AL10" s="33"/>
      <c r="AM10" s="26"/>
      <c r="AN10" s="26"/>
    </row>
    <row r="11" ht="14.25" customHeight="1">
      <c r="A11" s="49" t="str">
        <f>AE11</f>
        <v>Adrian Duca</v>
      </c>
      <c r="B11" s="39">
        <v>6.0</v>
      </c>
      <c r="C11" s="50">
        <f>IF(B11&gt;B9,1,0)</f>
        <v>1</v>
      </c>
      <c r="D11" s="51"/>
      <c r="E11" s="39">
        <v>6.0</v>
      </c>
      <c r="F11" s="50">
        <f>IF(E11&gt;E9,1,0)</f>
        <v>1</v>
      </c>
      <c r="G11" s="51"/>
      <c r="H11" s="42"/>
      <c r="I11" s="26">
        <f>IF(H11&gt;H9,1,0)</f>
        <v>0</v>
      </c>
      <c r="J11" s="26">
        <f>IF(B11="",0,1)</f>
        <v>1</v>
      </c>
      <c r="K11" s="26">
        <f>IF(C11+F11=2,3,IF(C11+F11=1,1,0))</f>
        <v>3</v>
      </c>
      <c r="L11" s="26">
        <f>IF(K11=3,3,IF(I11+K11=2,2,IF(K11=1,1,0)))</f>
        <v>3</v>
      </c>
      <c r="M11" s="26">
        <f>B11+E11</f>
        <v>12</v>
      </c>
      <c r="N11" s="26">
        <f>C11+F11+I11</f>
        <v>2</v>
      </c>
      <c r="O11" s="26"/>
      <c r="P11" s="49" t="str">
        <f>AE13</f>
        <v>Cory Greenland</v>
      </c>
      <c r="Q11" s="39">
        <v>6.0</v>
      </c>
      <c r="R11" s="50">
        <f>IF(Q11&gt;Q9,1,0)</f>
        <v>1</v>
      </c>
      <c r="S11" s="51"/>
      <c r="T11" s="39">
        <v>6.0</v>
      </c>
      <c r="U11" s="50">
        <f>IF(T11&gt;T9,1,0)</f>
        <v>1</v>
      </c>
      <c r="V11" s="51"/>
      <c r="W11" s="42"/>
      <c r="X11" s="26">
        <f>IF(W11&gt;W9,1,0)</f>
        <v>0</v>
      </c>
      <c r="Y11" s="26">
        <f>IF(Q11="",0,1)</f>
        <v>1</v>
      </c>
      <c r="Z11" s="26">
        <f>IF(R11+U11=2,3,IF(R11+U11=1,1,0))</f>
        <v>3</v>
      </c>
      <c r="AA11" s="26">
        <f>IF(Z11=3,3,IF(X11+Z11=2,2,IF(Z11=1,1,0)))</f>
        <v>3</v>
      </c>
      <c r="AB11" s="26">
        <f>Q11+T11</f>
        <v>12</v>
      </c>
      <c r="AC11" s="26">
        <f>R11+U11+X11</f>
        <v>2</v>
      </c>
      <c r="AD11" s="26"/>
      <c r="AE11" s="98" t="str">
        <f>'Players - Men'!B39</f>
        <v>Adrian Duca</v>
      </c>
      <c r="AF11" s="44">
        <f>J11+Y25+J25+Y21+J21</f>
        <v>5</v>
      </c>
      <c r="AG11" s="44">
        <f t="shared" ref="AG11:AI11" si="2">L11+AA25+L25+AA21+L21</f>
        <v>14</v>
      </c>
      <c r="AH11" s="44">
        <f t="shared" si="2"/>
        <v>57</v>
      </c>
      <c r="AI11" s="45">
        <f t="shared" si="2"/>
        <v>10</v>
      </c>
      <c r="AJ11" s="33"/>
      <c r="AK11" s="33"/>
      <c r="AL11" s="33"/>
      <c r="AM11" s="26"/>
      <c r="AN11" s="26"/>
    </row>
    <row r="12" ht="14.2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33"/>
      <c r="AG12" s="33"/>
      <c r="AH12" s="33"/>
      <c r="AI12" s="33"/>
      <c r="AJ12" s="33"/>
      <c r="AK12" s="33"/>
      <c r="AL12" s="33"/>
      <c r="AM12" s="26"/>
      <c r="AN12" s="26"/>
    </row>
    <row r="13" ht="14.25" customHeight="1">
      <c r="A13" s="38" t="str">
        <f>AE9</f>
        <v>JP Sciberras</v>
      </c>
      <c r="B13" s="39">
        <v>1.0</v>
      </c>
      <c r="C13" s="40">
        <f>IF(B13&gt;B15,1,0)</f>
        <v>0</v>
      </c>
      <c r="D13" s="41"/>
      <c r="E13" s="39">
        <v>1.0</v>
      </c>
      <c r="F13" s="40">
        <f>IF(E13&gt;E15,1,0)</f>
        <v>0</v>
      </c>
      <c r="G13" s="41"/>
      <c r="H13" s="42"/>
      <c r="I13" s="26">
        <f>IF(H13&gt;H15,1,0)</f>
        <v>0</v>
      </c>
      <c r="J13" s="26">
        <f>IF(B13="",0,1)</f>
        <v>1</v>
      </c>
      <c r="K13" s="26">
        <f>IF(C13+F13=2,3,IF(C13+F13=1,1,0))</f>
        <v>0</v>
      </c>
      <c r="L13" s="26">
        <f>IF(K13=3,3,IF(I13+K13=2,2,IF(K13=1,1,0)))</f>
        <v>0</v>
      </c>
      <c r="M13" s="26">
        <f>B13+E13</f>
        <v>2</v>
      </c>
      <c r="N13" s="26">
        <f>C13+F13+I13</f>
        <v>0</v>
      </c>
      <c r="O13" s="26"/>
      <c r="P13" s="38" t="str">
        <f>AE9</f>
        <v>JP Sciberras</v>
      </c>
      <c r="Q13" s="39">
        <v>3.0</v>
      </c>
      <c r="R13" s="40">
        <f>IF(Q13&gt;Q15,1,0)</f>
        <v>0</v>
      </c>
      <c r="S13" s="41"/>
      <c r="T13" s="39">
        <v>6.0</v>
      </c>
      <c r="U13" s="40">
        <f>IF(T13&gt;T15,1,0)</f>
        <v>1</v>
      </c>
      <c r="V13" s="41"/>
      <c r="W13" s="39">
        <v>10.0</v>
      </c>
      <c r="X13" s="26">
        <f>IF(W13&gt;W15,1,0)</f>
        <v>1</v>
      </c>
      <c r="Y13" s="26">
        <f>IF(Q13="",0,1)</f>
        <v>1</v>
      </c>
      <c r="Z13" s="26">
        <f>IF(R13+U13=2,3,IF(R13+U13=1,1,0))</f>
        <v>1</v>
      </c>
      <c r="AA13" s="26">
        <f>IF(Z13=3,3,IF(X13+Z13=2,2,IF(Z13=1,1,0)))</f>
        <v>2</v>
      </c>
      <c r="AB13" s="26">
        <f>Q13+T13</f>
        <v>9</v>
      </c>
      <c r="AC13" s="26">
        <f>R13+U13+X13</f>
        <v>2</v>
      </c>
      <c r="AD13" s="26"/>
      <c r="AE13" s="98" t="str">
        <f>'Players - Men'!B40</f>
        <v>Cory Greenland</v>
      </c>
      <c r="AF13" s="44">
        <f>Y29+Y11+Y33+J33+J23</f>
        <v>5</v>
      </c>
      <c r="AG13" s="44">
        <f t="shared" ref="AG13:AI13" si="3">AA29+AA11+AA33+L33+L23</f>
        <v>12</v>
      </c>
      <c r="AH13" s="44">
        <f t="shared" si="3"/>
        <v>54</v>
      </c>
      <c r="AI13" s="45">
        <f t="shared" si="3"/>
        <v>9</v>
      </c>
      <c r="AJ13" s="33"/>
      <c r="AK13" s="33"/>
      <c r="AL13" s="33"/>
      <c r="AM13" s="26"/>
      <c r="AN13" s="26"/>
    </row>
    <row r="14" ht="14.25" customHeight="1">
      <c r="A14" s="46" t="s">
        <v>71</v>
      </c>
      <c r="H14" s="47"/>
      <c r="I14" s="48"/>
      <c r="J14" s="26"/>
      <c r="K14" s="26"/>
      <c r="L14" s="26"/>
      <c r="M14" s="26"/>
      <c r="N14" s="26"/>
      <c r="O14" s="26"/>
      <c r="P14" s="46" t="s">
        <v>71</v>
      </c>
      <c r="W14" s="47"/>
      <c r="X14" s="48"/>
      <c r="Y14" s="26"/>
      <c r="Z14" s="26"/>
      <c r="AA14" s="26"/>
      <c r="AB14" s="26"/>
      <c r="AC14" s="26"/>
      <c r="AD14" s="26"/>
      <c r="AE14" s="26"/>
      <c r="AF14" s="33"/>
      <c r="AG14" s="33"/>
      <c r="AH14" s="33"/>
      <c r="AI14" s="33"/>
      <c r="AJ14" s="33"/>
      <c r="AK14" s="33"/>
      <c r="AL14" s="33"/>
      <c r="AM14" s="26"/>
      <c r="AN14" s="26"/>
    </row>
    <row r="15" ht="14.25" customHeight="1">
      <c r="A15" s="49" t="str">
        <f>AE15</f>
        <v>Matthew Micallef</v>
      </c>
      <c r="B15" s="39">
        <v>6.0</v>
      </c>
      <c r="C15" s="50">
        <f>IF(B15&gt;B13,1,0)</f>
        <v>1</v>
      </c>
      <c r="D15" s="51"/>
      <c r="E15" s="39">
        <v>6.0</v>
      </c>
      <c r="F15" s="50">
        <f>IF(E15&gt;E13,1,0)</f>
        <v>1</v>
      </c>
      <c r="G15" s="51"/>
      <c r="H15" s="42"/>
      <c r="I15" s="26">
        <f>IF(H15&gt;H13,1,0)</f>
        <v>0</v>
      </c>
      <c r="J15" s="26">
        <f>IF(B15="",0,1)</f>
        <v>1</v>
      </c>
      <c r="K15" s="26">
        <f>IF(C15+F15=2,3,IF(C15+F15=1,1,0))</f>
        <v>3</v>
      </c>
      <c r="L15" s="26">
        <f>IF(K15=3,3,IF(I15+K15=2,2,IF(K15=1,1,0)))</f>
        <v>3</v>
      </c>
      <c r="M15" s="26">
        <f>B15+E15</f>
        <v>12</v>
      </c>
      <c r="N15" s="26">
        <f>C15+F15+I15</f>
        <v>2</v>
      </c>
      <c r="O15" s="26"/>
      <c r="P15" s="49" t="str">
        <f>AE17</f>
        <v>Donald Deguzman</v>
      </c>
      <c r="Q15" s="39">
        <v>6.0</v>
      </c>
      <c r="R15" s="50">
        <f>IF(Q15&gt;Q13,1,0)</f>
        <v>1</v>
      </c>
      <c r="S15" s="51"/>
      <c r="T15" s="39">
        <v>1.0</v>
      </c>
      <c r="U15" s="50">
        <f>IF(T15&gt;T13,1,0)</f>
        <v>0</v>
      </c>
      <c r="V15" s="51"/>
      <c r="W15" s="39">
        <v>6.0</v>
      </c>
      <c r="X15" s="26">
        <f>IF(W15&gt;W13,1,0)</f>
        <v>0</v>
      </c>
      <c r="Y15" s="26">
        <f>IF(Q15="",0,1)</f>
        <v>1</v>
      </c>
      <c r="Z15" s="26">
        <f>IF(R15+U15=2,3,IF(R15+U15=1,1,0))</f>
        <v>1</v>
      </c>
      <c r="AA15" s="26">
        <f>IF(Z15=3,3,IF(X15+Z15=2,2,IF(Z15=1,1,0)))</f>
        <v>1</v>
      </c>
      <c r="AB15" s="26">
        <f>Q15+T15</f>
        <v>7</v>
      </c>
      <c r="AC15" s="26">
        <f>R15+U15+X15</f>
        <v>1</v>
      </c>
      <c r="AD15" s="26"/>
      <c r="AE15" s="98" t="str">
        <f>'Players - Men'!B41</f>
        <v>Matthew Micallef</v>
      </c>
      <c r="AF15" s="44">
        <f>Y31+J37+J15+Y23+J29</f>
        <v>5</v>
      </c>
      <c r="AG15" s="44">
        <f t="shared" ref="AG15:AI15" si="4">AA31+L37+L15+AA23+L29</f>
        <v>8</v>
      </c>
      <c r="AH15" s="44">
        <f t="shared" si="4"/>
        <v>47</v>
      </c>
      <c r="AI15" s="45">
        <f t="shared" si="4"/>
        <v>6</v>
      </c>
      <c r="AJ15" s="33"/>
      <c r="AK15" s="33"/>
      <c r="AL15" s="33"/>
      <c r="AM15" s="26"/>
      <c r="AN15" s="26"/>
    </row>
    <row r="16" ht="14.25" customHeight="1">
      <c r="A16" s="26"/>
      <c r="B16" s="33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33"/>
      <c r="AG16" s="33"/>
      <c r="AH16" s="33"/>
      <c r="AI16" s="33"/>
      <c r="AJ16" s="33"/>
      <c r="AK16" s="33"/>
      <c r="AL16" s="33"/>
      <c r="AM16" s="26"/>
      <c r="AN16" s="26"/>
    </row>
    <row r="17" ht="14.25" customHeight="1">
      <c r="A17" s="38" t="str">
        <f>AE9</f>
        <v>JP Sciberras</v>
      </c>
      <c r="B17" s="39">
        <v>1.0</v>
      </c>
      <c r="C17" s="40">
        <f>IF(B17&gt;B19,1,0)</f>
        <v>0</v>
      </c>
      <c r="D17" s="41"/>
      <c r="E17" s="39">
        <v>3.0</v>
      </c>
      <c r="F17" s="40">
        <f>IF(E17&gt;E19,1,0)</f>
        <v>0</v>
      </c>
      <c r="G17" s="41"/>
      <c r="H17" s="42"/>
      <c r="I17" s="26">
        <f>IF(H17&gt;H19,1,0)</f>
        <v>0</v>
      </c>
      <c r="J17" s="26">
        <f>IF(B17="",0,1)</f>
        <v>1</v>
      </c>
      <c r="K17" s="26">
        <f>IF(C17+F17=2,3,IF(C17+F17=1,1,0))</f>
        <v>0</v>
      </c>
      <c r="L17" s="26">
        <f>IF(K17=3,3,IF(I17+K17=2,2,IF(K17=1,1,0)))</f>
        <v>0</v>
      </c>
      <c r="M17" s="26">
        <f>B17+E17</f>
        <v>4</v>
      </c>
      <c r="N17" s="26">
        <f>C17+F17+I17</f>
        <v>0</v>
      </c>
      <c r="O17" s="26"/>
      <c r="P17" s="38" t="str">
        <f>AE17</f>
        <v>Donald Deguzman</v>
      </c>
      <c r="Q17" s="39">
        <v>3.0</v>
      </c>
      <c r="R17" s="40">
        <f>IF(Q17&gt;Q19,1,0)</f>
        <v>0</v>
      </c>
      <c r="S17" s="41"/>
      <c r="T17" s="39">
        <v>3.0</v>
      </c>
      <c r="U17" s="40">
        <f>IF(T17&gt;T19,1,0)</f>
        <v>0</v>
      </c>
      <c r="V17" s="41"/>
      <c r="W17" s="42"/>
      <c r="X17" s="26">
        <f>IF(W17&gt;W19,1,0)</f>
        <v>0</v>
      </c>
      <c r="Y17" s="26">
        <f>IF(Q17="",0,1)</f>
        <v>1</v>
      </c>
      <c r="Z17" s="26">
        <f>IF(R17+U17=2,3,IF(R17+U17=1,1,0))</f>
        <v>0</v>
      </c>
      <c r="AA17" s="26">
        <f>IF(Z17=3,3,IF(X17+Z17=2,2,IF(Z17=1,1,0)))</f>
        <v>0</v>
      </c>
      <c r="AB17" s="26">
        <f>Q17+T17</f>
        <v>6</v>
      </c>
      <c r="AC17" s="26">
        <f>R17+U17+X17</f>
        <v>0</v>
      </c>
      <c r="AD17" s="26"/>
      <c r="AE17" s="98" t="str">
        <f>'Players - Men'!B42</f>
        <v>Donald Deguzman</v>
      </c>
      <c r="AF17" s="44">
        <f>Y17+J39+J27+Y15+J35</f>
        <v>5</v>
      </c>
      <c r="AG17" s="44">
        <f t="shared" ref="AG17:AI17" si="5">AA17+L39+L27+AA15+L35</f>
        <v>3</v>
      </c>
      <c r="AH17" s="44">
        <f t="shared" si="5"/>
        <v>28</v>
      </c>
      <c r="AI17" s="45">
        <f t="shared" si="5"/>
        <v>3</v>
      </c>
      <c r="AJ17" s="33"/>
      <c r="AK17" s="33"/>
      <c r="AL17" s="33"/>
      <c r="AM17" s="26"/>
      <c r="AN17" s="26"/>
    </row>
    <row r="18" ht="14.25" customHeight="1">
      <c r="A18" s="46" t="s">
        <v>71</v>
      </c>
      <c r="H18" s="47"/>
      <c r="I18" s="48"/>
      <c r="J18" s="26"/>
      <c r="K18" s="26"/>
      <c r="L18" s="26"/>
      <c r="M18" s="26"/>
      <c r="N18" s="26"/>
      <c r="O18" s="26"/>
      <c r="P18" s="46" t="s">
        <v>71</v>
      </c>
      <c r="W18" s="47"/>
      <c r="X18" s="48"/>
      <c r="Y18" s="26"/>
      <c r="Z18" s="26"/>
      <c r="AA18" s="26"/>
      <c r="AB18" s="26"/>
      <c r="AC18" s="26"/>
      <c r="AD18" s="26"/>
      <c r="AE18" s="26"/>
      <c r="AF18" s="33"/>
      <c r="AG18" s="33"/>
      <c r="AH18" s="33"/>
      <c r="AI18" s="33"/>
      <c r="AJ18" s="33"/>
      <c r="AK18" s="33"/>
      <c r="AL18" s="33"/>
      <c r="AM18" s="26"/>
      <c r="AN18" s="26"/>
    </row>
    <row r="19" ht="14.25" customHeight="1">
      <c r="A19" s="49" t="str">
        <f>AE19</f>
        <v>Juan Sammut</v>
      </c>
      <c r="B19" s="39">
        <v>6.0</v>
      </c>
      <c r="C19" s="50">
        <f>IF(B19&gt;B17,1,0)</f>
        <v>1</v>
      </c>
      <c r="D19" s="51"/>
      <c r="E19" s="39">
        <v>6.0</v>
      </c>
      <c r="F19" s="50">
        <f>IF(E19&gt;E17,1,0)</f>
        <v>1</v>
      </c>
      <c r="G19" s="51"/>
      <c r="H19" s="42"/>
      <c r="I19" s="26">
        <f>IF(H19&gt;H17,1,0)</f>
        <v>0</v>
      </c>
      <c r="J19" s="26">
        <f>IF(B19="",0,1)</f>
        <v>1</v>
      </c>
      <c r="K19" s="26">
        <f>IF(C19+F19=2,3,IF(C19+F19=1,1,0))</f>
        <v>3</v>
      </c>
      <c r="L19" s="26">
        <f>IF(K19=3,3,IF(I19+K19=2,2,IF(K19=1,1,0)))</f>
        <v>3</v>
      </c>
      <c r="M19" s="26">
        <f>B19+E19</f>
        <v>12</v>
      </c>
      <c r="N19" s="26">
        <f>C19+F19+I19</f>
        <v>2</v>
      </c>
      <c r="O19" s="26"/>
      <c r="P19" s="49" t="str">
        <f>AE19</f>
        <v>Juan Sammut</v>
      </c>
      <c r="Q19" s="39">
        <v>6.0</v>
      </c>
      <c r="R19" s="50">
        <f>IF(Q19&gt;Q17,1,0)</f>
        <v>1</v>
      </c>
      <c r="S19" s="51"/>
      <c r="T19" s="39">
        <v>6.0</v>
      </c>
      <c r="U19" s="50">
        <f>IF(T19&gt;T17,1,0)</f>
        <v>1</v>
      </c>
      <c r="V19" s="51"/>
      <c r="W19" s="42"/>
      <c r="X19" s="26">
        <f>IF(W19&gt;W17,1,0)</f>
        <v>0</v>
      </c>
      <c r="Y19" s="26">
        <f>IF(Q19="",0,1)</f>
        <v>1</v>
      </c>
      <c r="Z19" s="26">
        <f>IF(R19+U19=2,3,IF(R19+U19=1,1,0))</f>
        <v>3</v>
      </c>
      <c r="AA19" s="26">
        <f>IF(Z19=3,3,IF(X19+Z19=2,2,IF(Z19=1,1,0)))</f>
        <v>3</v>
      </c>
      <c r="AB19" s="26">
        <f>Q19+T19</f>
        <v>12</v>
      </c>
      <c r="AC19" s="26">
        <f>R19+U19+X19</f>
        <v>2</v>
      </c>
      <c r="AD19" s="26"/>
      <c r="AE19" s="98" t="str">
        <f>'Players - Men'!B43</f>
        <v>Juan Sammut</v>
      </c>
      <c r="AF19" s="44">
        <f>Y19+Y27+Y35+J19+J31</f>
        <v>5</v>
      </c>
      <c r="AG19" s="44">
        <f t="shared" ref="AG19:AI19" si="6">AA19+AA27+AA35+L19+L31</f>
        <v>6</v>
      </c>
      <c r="AH19" s="44">
        <f t="shared" si="6"/>
        <v>41</v>
      </c>
      <c r="AI19" s="45">
        <f t="shared" si="6"/>
        <v>4</v>
      </c>
      <c r="AJ19" s="26"/>
      <c r="AK19" s="33"/>
      <c r="AL19" s="33"/>
      <c r="AM19" s="26"/>
      <c r="AN19" s="26"/>
    </row>
    <row r="20" ht="14.2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33"/>
      <c r="AL20" s="26"/>
      <c r="AM20" s="26"/>
      <c r="AN20" s="26"/>
    </row>
    <row r="21" ht="14.25" customHeight="1">
      <c r="A21" s="38" t="str">
        <f>AE11</f>
        <v>Adrian Duca</v>
      </c>
      <c r="B21" s="39">
        <v>6.0</v>
      </c>
      <c r="C21" s="40">
        <f>IF(B21&gt;B23,1,0)</f>
        <v>1</v>
      </c>
      <c r="D21" s="41"/>
      <c r="E21" s="39">
        <v>3.0</v>
      </c>
      <c r="F21" s="40">
        <f>IF(E21&gt;E23,1,0)</f>
        <v>0</v>
      </c>
      <c r="G21" s="41"/>
      <c r="H21" s="39">
        <v>10.0</v>
      </c>
      <c r="I21" s="26">
        <f>IF(H21&gt;H23,1,0)</f>
        <v>1</v>
      </c>
      <c r="J21" s="26">
        <f>IF(B21="",0,1)</f>
        <v>1</v>
      </c>
      <c r="K21" s="26">
        <f>IF(C21+F21=2,3,IF(C21+F21=1,1,0))</f>
        <v>1</v>
      </c>
      <c r="L21" s="26">
        <f>IF(K21=3,3,IF(I21+K21=2,2,IF(K21=1,1,0)))</f>
        <v>2</v>
      </c>
      <c r="M21" s="26">
        <f>B21+E21</f>
        <v>9</v>
      </c>
      <c r="N21" s="26">
        <f>C21+F21+I21</f>
        <v>2</v>
      </c>
      <c r="O21" s="26"/>
      <c r="P21" s="38" t="str">
        <f>AE11</f>
        <v>Adrian Duca</v>
      </c>
      <c r="Q21" s="39">
        <v>6.0</v>
      </c>
      <c r="R21" s="40">
        <f>IF(Q21&gt;Q23,1,0)</f>
        <v>1</v>
      </c>
      <c r="S21" s="41"/>
      <c r="T21" s="39">
        <v>6.0</v>
      </c>
      <c r="U21" s="40">
        <f>IF(T21&gt;T23,1,0)</f>
        <v>1</v>
      </c>
      <c r="V21" s="41"/>
      <c r="W21" s="42"/>
      <c r="X21" s="26">
        <f>IF(W21&gt;W23,1,0)</f>
        <v>0</v>
      </c>
      <c r="Y21" s="26">
        <f>IF(Q21="",0,1)</f>
        <v>1</v>
      </c>
      <c r="Z21" s="26">
        <f>IF(R21+U21=2,3,IF(R21+U21=1,1,0))</f>
        <v>3</v>
      </c>
      <c r="AA21" s="26">
        <f>IF(Z21=3,3,IF(X21+Z21=2,2,IF(Z21=1,1,0)))</f>
        <v>3</v>
      </c>
      <c r="AB21" s="26">
        <f>Q21+T21</f>
        <v>12</v>
      </c>
      <c r="AC21" s="26">
        <f>R21+U21+X21</f>
        <v>2</v>
      </c>
      <c r="AD21" s="26"/>
      <c r="AE21" s="97" t="s">
        <v>77</v>
      </c>
      <c r="AF21" s="29"/>
      <c r="AG21" s="29"/>
      <c r="AH21" s="29"/>
      <c r="AI21" s="30"/>
      <c r="AJ21" s="26"/>
      <c r="AK21" s="26"/>
      <c r="AL21" s="26"/>
      <c r="AM21" s="26"/>
      <c r="AN21" s="26"/>
    </row>
    <row r="22" ht="14.25" customHeight="1">
      <c r="A22" s="46" t="s">
        <v>71</v>
      </c>
      <c r="H22" s="47"/>
      <c r="I22" s="48"/>
      <c r="J22" s="26"/>
      <c r="K22" s="26"/>
      <c r="L22" s="26"/>
      <c r="M22" s="26"/>
      <c r="N22" s="26"/>
      <c r="O22" s="26"/>
      <c r="P22" s="46" t="s">
        <v>71</v>
      </c>
      <c r="W22" s="47"/>
      <c r="X22" s="48"/>
      <c r="Y22" s="26"/>
      <c r="Z22" s="26"/>
      <c r="AA22" s="26"/>
      <c r="AB22" s="26"/>
      <c r="AC22" s="26"/>
      <c r="AD22" s="26"/>
      <c r="AE22" s="65" t="str">
        <f>IF(AL9=30,AM9,"")</f>
        <v>Adrian Duca</v>
      </c>
      <c r="AF22" s="29"/>
      <c r="AG22" s="29"/>
      <c r="AH22" s="29"/>
      <c r="AI22" s="30"/>
      <c r="AJ22" s="26"/>
      <c r="AK22" s="33"/>
      <c r="AL22" s="26"/>
      <c r="AM22" s="26"/>
      <c r="AN22" s="26"/>
    </row>
    <row r="23" ht="14.25" customHeight="1">
      <c r="A23" s="49" t="str">
        <f>AE13</f>
        <v>Cory Greenland</v>
      </c>
      <c r="B23" s="39">
        <v>3.0</v>
      </c>
      <c r="C23" s="50">
        <f>IF(B23&gt;B21,1,0)</f>
        <v>0</v>
      </c>
      <c r="D23" s="51"/>
      <c r="E23" s="39">
        <v>6.0</v>
      </c>
      <c r="F23" s="50">
        <f>IF(E23&gt;E21,1,0)</f>
        <v>1</v>
      </c>
      <c r="G23" s="51"/>
      <c r="H23" s="39">
        <v>4.0</v>
      </c>
      <c r="I23" s="26">
        <f>IF(H23&gt;H21,1,0)</f>
        <v>0</v>
      </c>
      <c r="J23" s="26">
        <f>IF(B23="",0,1)</f>
        <v>1</v>
      </c>
      <c r="K23" s="26">
        <f>IF(C23+F23=2,3,IF(C23+F23=1,1,0))</f>
        <v>1</v>
      </c>
      <c r="L23" s="26">
        <f>IF(K23=3,3,IF(I23+K23=2,2,IF(K23=1,1,0)))</f>
        <v>1</v>
      </c>
      <c r="M23" s="26">
        <f>B23+E23</f>
        <v>9</v>
      </c>
      <c r="N23" s="26">
        <f>C23+F23+I23</f>
        <v>1</v>
      </c>
      <c r="O23" s="26"/>
      <c r="P23" s="49" t="str">
        <f>AE15</f>
        <v>Matthew Micallef</v>
      </c>
      <c r="Q23" s="39">
        <v>2.0</v>
      </c>
      <c r="R23" s="50">
        <f>IF(Q23&gt;Q21,1,0)</f>
        <v>0</v>
      </c>
      <c r="S23" s="51"/>
      <c r="T23" s="39">
        <v>4.0</v>
      </c>
      <c r="U23" s="50">
        <f>IF(T23&gt;T21,1,0)</f>
        <v>0</v>
      </c>
      <c r="V23" s="51"/>
      <c r="W23" s="42"/>
      <c r="X23" s="26">
        <f>IF(W23&gt;W21,1,0)</f>
        <v>0</v>
      </c>
      <c r="Y23" s="26">
        <f>IF(Q23="",0,1)</f>
        <v>1</v>
      </c>
      <c r="Z23" s="26">
        <f>IF(R23+U23=2,3,IF(R23+U23=1,1,0))</f>
        <v>0</v>
      </c>
      <c r="AA23" s="26">
        <f>IF(Z23=3,3,IF(X23+Z23=2,2,IF(Z23=1,1,0)))</f>
        <v>0</v>
      </c>
      <c r="AB23" s="26">
        <f>Q23+T23</f>
        <v>6</v>
      </c>
      <c r="AC23" s="26">
        <f>R23+U23+X23</f>
        <v>0</v>
      </c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</row>
    <row r="24" ht="14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</row>
    <row r="25" ht="14.25" customHeight="1">
      <c r="A25" s="38" t="str">
        <f>AE11</f>
        <v>Adrian Duca</v>
      </c>
      <c r="B25" s="39">
        <v>6.0</v>
      </c>
      <c r="C25" s="40">
        <f>IF(B25&gt;B27,1,0)</f>
        <v>1</v>
      </c>
      <c r="D25" s="41"/>
      <c r="E25" s="39">
        <v>6.0</v>
      </c>
      <c r="F25" s="40">
        <f>IF(E25&gt;E27,1,0)</f>
        <v>1</v>
      </c>
      <c r="G25" s="41"/>
      <c r="H25" s="42"/>
      <c r="I25" s="26">
        <f>IF(H25&gt;H27,1,0)</f>
        <v>0</v>
      </c>
      <c r="J25" s="26">
        <f>IF(B25="",0,1)</f>
        <v>1</v>
      </c>
      <c r="K25" s="26">
        <f>IF(C25+F25=2,3,IF(C25+F25=1,1,0))</f>
        <v>3</v>
      </c>
      <c r="L25" s="26">
        <f>IF(K25=3,3,IF(I25+K25=2,2,IF(K25=1,1,0)))</f>
        <v>3</v>
      </c>
      <c r="M25" s="26">
        <f>B25+E25</f>
        <v>12</v>
      </c>
      <c r="N25" s="26">
        <f>C25+F25+I25</f>
        <v>2</v>
      </c>
      <c r="O25" s="26"/>
      <c r="P25" s="38" t="str">
        <f>AE11</f>
        <v>Adrian Duca</v>
      </c>
      <c r="Q25" s="39">
        <v>6.0</v>
      </c>
      <c r="R25" s="40">
        <f>IF(Q25&gt;Q27,1,0)</f>
        <v>1</v>
      </c>
      <c r="S25" s="41"/>
      <c r="T25" s="39">
        <v>6.0</v>
      </c>
      <c r="U25" s="40">
        <f>IF(T25&gt;T27,1,0)</f>
        <v>1</v>
      </c>
      <c r="V25" s="41"/>
      <c r="W25" s="42"/>
      <c r="X25" s="26">
        <f>IF(W25&gt;W27,1,0)</f>
        <v>0</v>
      </c>
      <c r="Y25" s="26">
        <f>IF(Q25="",0,1)</f>
        <v>1</v>
      </c>
      <c r="Z25" s="26">
        <f>IF(R25+U25=2,3,IF(R25+U25=1,1,0))</f>
        <v>3</v>
      </c>
      <c r="AA25" s="26">
        <f>IF(Z25=3,3,IF(X25+Z25=2,2,IF(Z25=1,1,0)))</f>
        <v>3</v>
      </c>
      <c r="AB25" s="26">
        <f>Q25+T25</f>
        <v>12</v>
      </c>
      <c r="AC25" s="26">
        <f>R25+U25+X25</f>
        <v>2</v>
      </c>
      <c r="AD25" s="26"/>
      <c r="AE25" s="97" t="s">
        <v>78</v>
      </c>
      <c r="AF25" s="29"/>
      <c r="AG25" s="29"/>
      <c r="AH25" s="29"/>
      <c r="AI25" s="30"/>
      <c r="AJ25" s="26"/>
      <c r="AK25" s="26"/>
      <c r="AL25" s="26"/>
      <c r="AM25" s="26"/>
      <c r="AN25" s="26"/>
    </row>
    <row r="26" ht="14.25" customHeight="1">
      <c r="A26" s="46" t="s">
        <v>71</v>
      </c>
      <c r="H26" s="47"/>
      <c r="I26" s="48"/>
      <c r="J26" s="26"/>
      <c r="K26" s="26"/>
      <c r="L26" s="26"/>
      <c r="M26" s="26"/>
      <c r="N26" s="26"/>
      <c r="O26" s="26"/>
      <c r="P26" s="46" t="s">
        <v>71</v>
      </c>
      <c r="W26" s="47"/>
      <c r="X26" s="48"/>
      <c r="Y26" s="26"/>
      <c r="Z26" s="26"/>
      <c r="AA26" s="26"/>
      <c r="AB26" s="26"/>
      <c r="AC26" s="26"/>
      <c r="AD26" s="26"/>
      <c r="AE26" s="65" t="str">
        <f>IF(AL9=30,AN9,"")</f>
        <v>Cory Greenland</v>
      </c>
      <c r="AF26" s="29"/>
      <c r="AG26" s="29"/>
      <c r="AH26" s="29"/>
      <c r="AI26" s="30"/>
      <c r="AJ26" s="26"/>
      <c r="AK26" s="26"/>
      <c r="AL26" s="26"/>
      <c r="AM26" s="26"/>
      <c r="AN26" s="26"/>
    </row>
    <row r="27" ht="14.25" customHeight="1">
      <c r="A27" s="49" t="str">
        <f>AE17</f>
        <v>Donald Deguzman</v>
      </c>
      <c r="B27" s="39">
        <v>1.0</v>
      </c>
      <c r="C27" s="50">
        <f>IF(B27&gt;B25,1,0)</f>
        <v>0</v>
      </c>
      <c r="D27" s="51"/>
      <c r="E27" s="39">
        <v>1.0</v>
      </c>
      <c r="F27" s="50">
        <f>IF(E27&gt;E25,1,0)</f>
        <v>0</v>
      </c>
      <c r="G27" s="51"/>
      <c r="H27" s="42"/>
      <c r="I27" s="26">
        <f>IF(H27&gt;H25,1,0)</f>
        <v>0</v>
      </c>
      <c r="J27" s="26">
        <f>IF(B27="",0,1)</f>
        <v>1</v>
      </c>
      <c r="K27" s="26">
        <f>IF(C27+F27=2,3,IF(C27+F27=1,1,0))</f>
        <v>0</v>
      </c>
      <c r="L27" s="26">
        <f>IF(K27=3,3,IF(I27+K27=2,2,IF(K27=1,1,0)))</f>
        <v>0</v>
      </c>
      <c r="M27" s="26">
        <f>B27+E27</f>
        <v>2</v>
      </c>
      <c r="N27" s="26">
        <f>C27+F27+I27</f>
        <v>0</v>
      </c>
      <c r="O27" s="26"/>
      <c r="P27" s="49" t="str">
        <f>AE19</f>
        <v>Juan Sammut</v>
      </c>
      <c r="Q27" s="39">
        <v>3.0</v>
      </c>
      <c r="R27" s="50">
        <f>IF(Q27&gt;Q25,1,0)</f>
        <v>0</v>
      </c>
      <c r="S27" s="51"/>
      <c r="T27" s="39">
        <v>2.0</v>
      </c>
      <c r="U27" s="50">
        <f>IF(T27&gt;T25,1,0)</f>
        <v>0</v>
      </c>
      <c r="V27" s="51"/>
      <c r="W27" s="42"/>
      <c r="X27" s="26">
        <f>IF(W27&gt;W25,1,0)</f>
        <v>0</v>
      </c>
      <c r="Y27" s="26">
        <f>IF(Q27="",0,1)</f>
        <v>1</v>
      </c>
      <c r="Z27" s="26">
        <f>IF(R27+U27=2,3,IF(R27+U27=1,1,0))</f>
        <v>0</v>
      </c>
      <c r="AA27" s="26">
        <f>IF(Z27=3,3,IF(X27+Z27=2,2,IF(Z27=1,1,0)))</f>
        <v>0</v>
      </c>
      <c r="AB27" s="26">
        <f>Q27+T27</f>
        <v>5</v>
      </c>
      <c r="AC27" s="26">
        <f>R27+U27+X27</f>
        <v>0</v>
      </c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</row>
    <row r="28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33"/>
      <c r="AI28" s="26"/>
      <c r="AJ28" s="26"/>
      <c r="AK28" s="26"/>
      <c r="AL28" s="26"/>
      <c r="AM28" s="26"/>
      <c r="AN28" s="26"/>
    </row>
    <row r="29" ht="14.25" customHeight="1">
      <c r="A29" s="38" t="str">
        <f>AE15</f>
        <v>Matthew Micallef</v>
      </c>
      <c r="B29" s="39">
        <v>6.0</v>
      </c>
      <c r="C29" s="40">
        <f>IF(B29&gt;B31,1,0)</f>
        <v>1</v>
      </c>
      <c r="D29" s="41"/>
      <c r="E29" s="39">
        <v>6.0</v>
      </c>
      <c r="F29" s="40">
        <f>IF(E29&gt;E31,1,0)</f>
        <v>1</v>
      </c>
      <c r="G29" s="41"/>
      <c r="H29" s="42"/>
      <c r="I29" s="26">
        <f>IF(H29&gt;H31,1,0)</f>
        <v>0</v>
      </c>
      <c r="J29" s="26">
        <f>IF(B29="",0,1)</f>
        <v>1</v>
      </c>
      <c r="K29" s="26">
        <f>IF(C29+F29=2,3,IF(C29+F29=1,1,0))</f>
        <v>3</v>
      </c>
      <c r="L29" s="26">
        <f>IF(K29=3,3,IF(I29+K29=2,2,IF(K29=1,1,0)))</f>
        <v>3</v>
      </c>
      <c r="M29" s="26">
        <f>B29+E29</f>
        <v>12</v>
      </c>
      <c r="N29" s="26">
        <f>C29+F29+I29</f>
        <v>2</v>
      </c>
      <c r="O29" s="26"/>
      <c r="P29" s="38" t="str">
        <f>AE13</f>
        <v>Cory Greenland</v>
      </c>
      <c r="Q29" s="39">
        <v>6.0</v>
      </c>
      <c r="R29" s="40">
        <f>IF(Q29&gt;Q31,1,0)</f>
        <v>1</v>
      </c>
      <c r="S29" s="41"/>
      <c r="T29" s="39">
        <v>2.0</v>
      </c>
      <c r="U29" s="40">
        <f>IF(T29&gt;T31,1,0)</f>
        <v>0</v>
      </c>
      <c r="V29" s="41"/>
      <c r="W29" s="39">
        <v>10.0</v>
      </c>
      <c r="X29" s="26">
        <f>IF(W29&gt;W31,1,0)</f>
        <v>1</v>
      </c>
      <c r="Y29" s="26">
        <f>IF(Q29="",0,1)</f>
        <v>1</v>
      </c>
      <c r="Z29" s="26">
        <f>IF(R29+U29=2,3,IF(R29+U29=1,1,0))</f>
        <v>1</v>
      </c>
      <c r="AA29" s="26">
        <f>IF(Z29=3,3,IF(X29+Z29=2,2,IF(Z29=1,1,0)))</f>
        <v>2</v>
      </c>
      <c r="AB29" s="26">
        <f>Q29+T29</f>
        <v>8</v>
      </c>
      <c r="AC29" s="26">
        <f>R29+U29+X29</f>
        <v>2</v>
      </c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</row>
    <row r="30" ht="14.25" customHeight="1">
      <c r="A30" s="46" t="s">
        <v>71</v>
      </c>
      <c r="H30" s="47"/>
      <c r="I30" s="48"/>
      <c r="J30" s="26"/>
      <c r="K30" s="26"/>
      <c r="L30" s="26"/>
      <c r="M30" s="26"/>
      <c r="N30" s="26"/>
      <c r="O30" s="26"/>
      <c r="P30" s="46" t="s">
        <v>71</v>
      </c>
      <c r="W30" s="47"/>
      <c r="X30" s="48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54"/>
      <c r="AM30" s="26"/>
      <c r="AN30" s="26"/>
    </row>
    <row r="31" ht="14.25" customHeight="1">
      <c r="A31" s="49" t="str">
        <f>AE19</f>
        <v>Juan Sammut</v>
      </c>
      <c r="B31" s="39">
        <v>4.0</v>
      </c>
      <c r="C31" s="50">
        <f>IF(B31&gt;B29,1,0)</f>
        <v>0</v>
      </c>
      <c r="D31" s="51"/>
      <c r="E31" s="39">
        <v>2.0</v>
      </c>
      <c r="F31" s="50">
        <f>IF(E31&gt;E29,1,0)</f>
        <v>0</v>
      </c>
      <c r="G31" s="51"/>
      <c r="H31" s="42"/>
      <c r="I31" s="26">
        <f>IF(H31&gt;H29,1,0)</f>
        <v>0</v>
      </c>
      <c r="J31" s="26">
        <f>IF(B31="",0,1)</f>
        <v>1</v>
      </c>
      <c r="K31" s="26">
        <f>IF(C31+F31=2,3,IF(C31+F31=1,1,0))</f>
        <v>0</v>
      </c>
      <c r="L31" s="26">
        <f>IF(K31=3,3,IF(I31+K31=2,2,IF(K31=1,1,0)))</f>
        <v>0</v>
      </c>
      <c r="M31" s="26">
        <f>B31+E31</f>
        <v>6</v>
      </c>
      <c r="N31" s="26">
        <f>C31+F31+I31</f>
        <v>0</v>
      </c>
      <c r="O31" s="26"/>
      <c r="P31" s="49" t="str">
        <f>AE15</f>
        <v>Matthew Micallef</v>
      </c>
      <c r="Q31" s="39">
        <v>1.0</v>
      </c>
      <c r="R31" s="50">
        <f>IF(Q31&gt;Q29,1,0)</f>
        <v>0</v>
      </c>
      <c r="S31" s="51"/>
      <c r="T31" s="39">
        <v>6.0</v>
      </c>
      <c r="U31" s="50">
        <f>IF(T31&gt;T29,1,0)</f>
        <v>1</v>
      </c>
      <c r="V31" s="51"/>
      <c r="W31" s="39">
        <v>5.0</v>
      </c>
      <c r="X31" s="26">
        <f>IF(W31&gt;W29,1,0)</f>
        <v>0</v>
      </c>
      <c r="Y31" s="26">
        <f>IF(Q31="",0,1)</f>
        <v>1</v>
      </c>
      <c r="Z31" s="26">
        <f>IF(R31+U31=2,3,IF(R31+U31=1,1,0))</f>
        <v>1</v>
      </c>
      <c r="AA31" s="26">
        <f>IF(Z31=3,3,IF(X31+Z31=2,2,IF(Z31=1,1,0)))</f>
        <v>1</v>
      </c>
      <c r="AB31" s="26">
        <f>Q31+T31</f>
        <v>7</v>
      </c>
      <c r="AC31" s="26">
        <f>R31+U31+X31</f>
        <v>1</v>
      </c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33"/>
    </row>
    <row r="32" ht="14.25" customHeight="1">
      <c r="A32" s="26"/>
      <c r="B32" s="26"/>
      <c r="C32" s="26"/>
      <c r="D32" s="26"/>
      <c r="E32" s="33"/>
      <c r="F32" s="26"/>
      <c r="G32" s="26"/>
      <c r="H32" s="33"/>
      <c r="I32" s="26"/>
      <c r="J32" s="33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33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54"/>
      <c r="AM32" s="26"/>
      <c r="AN32" s="26"/>
    </row>
    <row r="33" ht="14.25" customHeight="1">
      <c r="A33" s="38" t="str">
        <f>AE13</f>
        <v>Cory Greenland</v>
      </c>
      <c r="B33" s="39">
        <v>6.0</v>
      </c>
      <c r="C33" s="40">
        <f>IF(B33&gt;B35,1,0)</f>
        <v>1</v>
      </c>
      <c r="D33" s="41"/>
      <c r="E33" s="39">
        <v>6.0</v>
      </c>
      <c r="F33" s="40">
        <f>IF(E33&gt;E35,1,0)</f>
        <v>1</v>
      </c>
      <c r="G33" s="41"/>
      <c r="H33" s="42"/>
      <c r="I33" s="26">
        <f>IF(H33&gt;H35,1,0)</f>
        <v>0</v>
      </c>
      <c r="J33" s="26">
        <f>IF(B33="",0,1)</f>
        <v>1</v>
      </c>
      <c r="K33" s="26">
        <f>IF(C33+F33=2,3,IF(C33+F33=1,1,0))</f>
        <v>3</v>
      </c>
      <c r="L33" s="26">
        <f>IF(K33=3,3,IF(I33+K33=2,2,IF(K33=1,1,0)))</f>
        <v>3</v>
      </c>
      <c r="M33" s="26">
        <f>B33+E33</f>
        <v>12</v>
      </c>
      <c r="N33" s="26">
        <f>C33+F33+I33</f>
        <v>2</v>
      </c>
      <c r="O33" s="26"/>
      <c r="P33" s="38" t="str">
        <f>AE13</f>
        <v>Cory Greenland</v>
      </c>
      <c r="Q33" s="39">
        <v>7.0</v>
      </c>
      <c r="R33" s="40">
        <f>IF(Q33&gt;Q35,1,0)</f>
        <v>1</v>
      </c>
      <c r="S33" s="41"/>
      <c r="T33" s="39">
        <v>6.0</v>
      </c>
      <c r="U33" s="40">
        <f>IF(T33&gt;T35,1,0)</f>
        <v>1</v>
      </c>
      <c r="V33" s="41"/>
      <c r="W33" s="42"/>
      <c r="X33" s="26">
        <f>IF(W33&gt;W35,1,0)</f>
        <v>0</v>
      </c>
      <c r="Y33" s="26">
        <f>IF(Q33="",0,1)</f>
        <v>1</v>
      </c>
      <c r="Z33" s="26">
        <f>IF(R33+U33=2,3,IF(R33+U33=1,1,0))</f>
        <v>3</v>
      </c>
      <c r="AA33" s="26">
        <f>IF(Z33=3,3,IF(X33+Z33=2,2,IF(Z33=1,1,0)))</f>
        <v>3</v>
      </c>
      <c r="AB33" s="26">
        <f>Q33+T33</f>
        <v>13</v>
      </c>
      <c r="AC33" s="26">
        <f>R33+U33+X33</f>
        <v>2</v>
      </c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</row>
    <row r="34" ht="14.25" customHeight="1">
      <c r="A34" s="46" t="s">
        <v>71</v>
      </c>
      <c r="H34" s="47"/>
      <c r="I34" s="48"/>
      <c r="J34" s="26"/>
      <c r="K34" s="26"/>
      <c r="L34" s="26"/>
      <c r="M34" s="26"/>
      <c r="N34" s="26"/>
      <c r="O34" s="26"/>
      <c r="P34" s="46" t="s">
        <v>71</v>
      </c>
      <c r="W34" s="47"/>
      <c r="X34" s="48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</row>
    <row r="35" ht="14.25" customHeight="1">
      <c r="A35" s="49" t="str">
        <f>AE17</f>
        <v>Donald Deguzman</v>
      </c>
      <c r="B35" s="39">
        <v>1.0</v>
      </c>
      <c r="C35" s="50">
        <f>IF(B35&gt;B33,1,0)</f>
        <v>0</v>
      </c>
      <c r="D35" s="51"/>
      <c r="E35" s="39">
        <v>4.0</v>
      </c>
      <c r="F35" s="50">
        <f>IF(E35&gt;E33,1,0)</f>
        <v>0</v>
      </c>
      <c r="G35" s="51"/>
      <c r="H35" s="42"/>
      <c r="I35" s="26">
        <f>IF(H35&gt;H33,1,0)</f>
        <v>0</v>
      </c>
      <c r="J35" s="26">
        <f>IF(B35="",0,1)</f>
        <v>1</v>
      </c>
      <c r="K35" s="26">
        <f>IF(C35+F35=2,3,IF(C35+F35=1,1,0))</f>
        <v>0</v>
      </c>
      <c r="L35" s="26">
        <f>IF(K35=3,3,IF(I35+K35=2,2,IF(K35=1,1,0)))</f>
        <v>0</v>
      </c>
      <c r="M35" s="26">
        <f>B35+E35</f>
        <v>5</v>
      </c>
      <c r="N35" s="26">
        <f>C35+F35+I35</f>
        <v>0</v>
      </c>
      <c r="O35" s="26"/>
      <c r="P35" s="49" t="str">
        <f>AE19</f>
        <v>Juan Sammut</v>
      </c>
      <c r="Q35" s="39">
        <v>5.0</v>
      </c>
      <c r="R35" s="50">
        <f>IF(Q35&gt;Q33,1,0)</f>
        <v>0</v>
      </c>
      <c r="S35" s="51"/>
      <c r="T35" s="39">
        <v>1.0</v>
      </c>
      <c r="U35" s="50">
        <f>IF(T35&gt;T33,1,0)</f>
        <v>0</v>
      </c>
      <c r="V35" s="51"/>
      <c r="W35" s="42"/>
      <c r="X35" s="26">
        <f>IF(W35&gt;W33,1,0)</f>
        <v>0</v>
      </c>
      <c r="Y35" s="26">
        <f>IF(Q35="",0,1)</f>
        <v>1</v>
      </c>
      <c r="Z35" s="26">
        <f>IF(R35+U35=2,3,IF(R35+U35=1,1,0))</f>
        <v>0</v>
      </c>
      <c r="AA35" s="26">
        <f>IF(Z35=3,3,IF(X35+Z35=2,2,IF(Z35=1,1,0)))</f>
        <v>0</v>
      </c>
      <c r="AB35" s="26">
        <f>Q35+T35</f>
        <v>6</v>
      </c>
      <c r="AC35" s="26">
        <f>R35+U35+X35</f>
        <v>0</v>
      </c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</row>
    <row r="36" ht="14.2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33"/>
      <c r="AI36" s="26"/>
      <c r="AJ36" s="26"/>
      <c r="AK36" s="33"/>
      <c r="AL36" s="26"/>
      <c r="AM36" s="26"/>
      <c r="AN36" s="26"/>
    </row>
    <row r="37" ht="14.25" customHeight="1">
      <c r="A37" s="38" t="str">
        <f>AE15</f>
        <v>Matthew Micallef</v>
      </c>
      <c r="B37" s="39">
        <v>6.0</v>
      </c>
      <c r="C37" s="40">
        <f>IF(B37&gt;B39,1,0)</f>
        <v>1</v>
      </c>
      <c r="D37" s="41"/>
      <c r="E37" s="39">
        <v>4.0</v>
      </c>
      <c r="F37" s="40">
        <f>IF(E37&gt;E39,1,0)</f>
        <v>0</v>
      </c>
      <c r="G37" s="41"/>
      <c r="H37" s="39">
        <v>11.0</v>
      </c>
      <c r="I37" s="26">
        <f>IF(H37&gt;H39,1,0)</f>
        <v>0</v>
      </c>
      <c r="J37" s="26">
        <f>IF(B37="",0,1)</f>
        <v>1</v>
      </c>
      <c r="K37" s="26">
        <f>IF(C37+F37=2,3,IF(C37+F37=1,1,0))</f>
        <v>1</v>
      </c>
      <c r="L37" s="26">
        <f>IF(K37=3,3,IF(I37+K37=2,2,IF(K37=1,1,0)))</f>
        <v>1</v>
      </c>
      <c r="M37" s="26">
        <f>B37+E37</f>
        <v>10</v>
      </c>
      <c r="N37" s="26">
        <f>C37+F37+I37</f>
        <v>1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33"/>
      <c r="AL37" s="26"/>
      <c r="AM37" s="26"/>
      <c r="AN37" s="26"/>
    </row>
    <row r="38" ht="14.25" customHeight="1">
      <c r="A38" s="46" t="s">
        <v>71</v>
      </c>
      <c r="H38" s="47"/>
      <c r="I38" s="48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56"/>
      <c r="AK38" s="26"/>
      <c r="AL38" s="26"/>
      <c r="AM38" s="26"/>
      <c r="AN38" s="26"/>
    </row>
    <row r="39" ht="14.25" customHeight="1">
      <c r="A39" s="49" t="str">
        <f>AE17</f>
        <v>Donald Deguzman</v>
      </c>
      <c r="B39" s="39">
        <v>2.0</v>
      </c>
      <c r="C39" s="50">
        <f>IF(B39&gt;B37,1,0)</f>
        <v>0</v>
      </c>
      <c r="D39" s="51"/>
      <c r="E39" s="39">
        <v>6.0</v>
      </c>
      <c r="F39" s="50">
        <f>IF(E39&gt;E37,1,0)</f>
        <v>1</v>
      </c>
      <c r="G39" s="51"/>
      <c r="H39" s="39">
        <v>13.0</v>
      </c>
      <c r="I39" s="26">
        <f>IF(H39&gt;H37,1,0)</f>
        <v>1</v>
      </c>
      <c r="J39" s="26">
        <f>IF(B39="",0,1)</f>
        <v>1</v>
      </c>
      <c r="K39" s="26">
        <f>IF(C39+F39=2,3,IF(C39+F39=1,1,0))</f>
        <v>1</v>
      </c>
      <c r="L39" s="26">
        <f>IF(K39=3,3,IF(I39+K39=2,2,IF(K39=1,1,0)))</f>
        <v>2</v>
      </c>
      <c r="M39" s="26">
        <f>B39+E39</f>
        <v>8</v>
      </c>
      <c r="N39" s="26">
        <f>C39+F39+I39</f>
        <v>2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</row>
    <row r="40" ht="14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</row>
    <row r="41" ht="14.2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</row>
    <row r="42" ht="14.2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56"/>
      <c r="AK42" s="26"/>
      <c r="AL42" s="26"/>
      <c r="AM42" s="26"/>
      <c r="AN42" s="26"/>
    </row>
    <row r="43" ht="14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</row>
    <row r="44" ht="14.2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</row>
    <row r="45" ht="14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</row>
    <row r="46" ht="14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</row>
    <row r="47" ht="14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56"/>
      <c r="AK47" s="26"/>
      <c r="AL47" s="33"/>
      <c r="AM47" s="26"/>
      <c r="AN47" s="26"/>
    </row>
    <row r="48" ht="14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</row>
    <row r="49" ht="14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</row>
    <row r="50" ht="14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</row>
    <row r="51" ht="14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</row>
    <row r="52" ht="14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56"/>
      <c r="AK52" s="26"/>
      <c r="AL52" s="26"/>
      <c r="AM52" s="26"/>
      <c r="AN52" s="33"/>
    </row>
    <row r="53" ht="14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</row>
    <row r="54" ht="14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</row>
    <row r="55" ht="14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</row>
    <row r="56" ht="14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33"/>
      <c r="AI56" s="26"/>
      <c r="AJ56" s="26"/>
      <c r="AK56" s="33"/>
      <c r="AL56" s="26"/>
      <c r="AM56" s="26"/>
      <c r="AN56" s="26"/>
    </row>
    <row r="57" ht="14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</row>
    <row r="58" ht="14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</row>
    <row r="59" ht="14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</row>
    <row r="60" ht="14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</row>
    <row r="61" ht="14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</row>
    <row r="62" ht="14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</row>
    <row r="63" ht="14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</row>
    <row r="64" ht="14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</row>
    <row r="65" ht="14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</row>
    <row r="66" ht="14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</row>
    <row r="67" ht="14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</row>
    <row r="68" ht="14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</row>
    <row r="69" ht="14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</row>
    <row r="70" ht="14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</row>
    <row r="71" ht="14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</row>
    <row r="72" ht="14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</row>
    <row r="73" ht="14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</row>
    <row r="74" ht="14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</row>
    <row r="75" ht="14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</row>
    <row r="76" ht="14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</row>
    <row r="77" ht="14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</row>
    <row r="78" ht="14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</row>
    <row r="79" ht="14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</row>
    <row r="80" ht="14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</row>
    <row r="81" ht="14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</row>
    <row r="82" ht="14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</row>
    <row r="83" ht="14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</row>
    <row r="84" ht="14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</row>
    <row r="85" ht="14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</row>
    <row r="86" ht="14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</row>
    <row r="87" ht="14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</row>
    <row r="88" ht="14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</row>
    <row r="89" ht="14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</row>
    <row r="90" ht="14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</row>
    <row r="91" ht="14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</row>
    <row r="92" ht="14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</row>
    <row r="93" ht="14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ht="14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ht="14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</row>
    <row r="96" ht="14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</row>
    <row r="97" ht="14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</row>
    <row r="98" ht="14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</row>
    <row r="99" ht="14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</row>
    <row r="100" ht="14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</row>
    <row r="101" ht="14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</row>
    <row r="102" ht="14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</row>
    <row r="103" ht="14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</row>
    <row r="104" ht="14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</row>
    <row r="105" ht="14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</row>
    <row r="106" ht="14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33"/>
      <c r="R106" s="33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</row>
    <row r="107" ht="14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</row>
    <row r="108" ht="14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</row>
    <row r="109" ht="14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ht="14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ht="14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</row>
    <row r="112" ht="14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</row>
    <row r="113" ht="14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</row>
    <row r="114" ht="14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</row>
    <row r="115" ht="14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</row>
    <row r="116" ht="14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</row>
    <row r="117" ht="14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</row>
    <row r="118" ht="14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</row>
    <row r="119" ht="14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</row>
    <row r="120" ht="14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</row>
    <row r="121" ht="14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</row>
    <row r="122" ht="14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</row>
    <row r="123" ht="14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</row>
    <row r="124" ht="14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</row>
    <row r="125" ht="14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</row>
    <row r="126" ht="14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</row>
    <row r="127" ht="14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</row>
    <row r="128" ht="14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</row>
    <row r="129" ht="14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</row>
    <row r="130" ht="14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</row>
    <row r="131" ht="14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</row>
    <row r="132" ht="14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</row>
    <row r="133" ht="14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</row>
    <row r="134" ht="14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</row>
    <row r="135" ht="14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</row>
    <row r="136" ht="14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</row>
    <row r="137" ht="14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</row>
    <row r="138" ht="14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</row>
    <row r="139" ht="14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</row>
    <row r="140" ht="14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</row>
    <row r="141" ht="14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</row>
    <row r="142" ht="14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</row>
    <row r="143" ht="14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</row>
    <row r="144" ht="14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</row>
    <row r="145" ht="14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</row>
    <row r="146" ht="14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</row>
    <row r="147" ht="14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</row>
    <row r="148" ht="14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</row>
    <row r="149" ht="14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</row>
    <row r="150" ht="14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</row>
    <row r="151" ht="14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</row>
    <row r="152" ht="14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</row>
    <row r="153" ht="14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</row>
    <row r="154" ht="14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</row>
    <row r="155" ht="14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</row>
    <row r="156" ht="14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</row>
    <row r="157" ht="14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</row>
    <row r="158" ht="14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</row>
    <row r="159" ht="14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</row>
    <row r="160" ht="14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</row>
    <row r="161" ht="14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</row>
    <row r="162" ht="14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</row>
    <row r="163" ht="14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</row>
    <row r="164" ht="14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</row>
    <row r="165" ht="14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</row>
    <row r="166" ht="14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</row>
    <row r="167" ht="14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</row>
    <row r="168" ht="14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</row>
    <row r="169" ht="14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</row>
    <row r="170" ht="14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</row>
    <row r="171" ht="14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</row>
    <row r="172" ht="14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</row>
    <row r="173" ht="14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</row>
    <row r="174" ht="14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</row>
    <row r="175" ht="14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</row>
    <row r="176" ht="14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</row>
    <row r="177" ht="14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</row>
    <row r="178" ht="14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</row>
    <row r="179" ht="14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</row>
    <row r="180" ht="14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</row>
    <row r="181" ht="14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</row>
    <row r="182" ht="14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</row>
    <row r="183" ht="14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</row>
    <row r="184" ht="14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</row>
    <row r="185" ht="14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</row>
    <row r="186" ht="14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</row>
    <row r="187" ht="14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</row>
    <row r="188" ht="14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</row>
    <row r="189" ht="14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</row>
    <row r="190" ht="14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</row>
    <row r="191" ht="14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</row>
    <row r="192" ht="14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</row>
    <row r="193" ht="14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</row>
    <row r="194" ht="14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</row>
    <row r="195" ht="14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</row>
    <row r="196" ht="14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</row>
    <row r="197" ht="14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</row>
    <row r="198" ht="14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</row>
    <row r="199" ht="14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</row>
    <row r="200" ht="14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</row>
    <row r="201" ht="14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</row>
    <row r="202" ht="14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</row>
    <row r="203" ht="14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</row>
    <row r="204" ht="14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</row>
    <row r="205" ht="14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</row>
    <row r="206" ht="14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</row>
    <row r="207" ht="14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</row>
    <row r="208" ht="14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</row>
    <row r="209" ht="14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</row>
    <row r="210" ht="14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</row>
    <row r="211" ht="14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</row>
    <row r="212" ht="14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</row>
    <row r="213" ht="14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</row>
    <row r="214" ht="14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</row>
    <row r="215" ht="14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</row>
    <row r="216" ht="14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</row>
    <row r="217" ht="14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</row>
    <row r="218" ht="14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</row>
    <row r="219" ht="14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</row>
    <row r="220" ht="14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</row>
    <row r="221" ht="14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</row>
    <row r="222" ht="14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</row>
    <row r="223" ht="14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</row>
    <row r="224" ht="14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</row>
    <row r="225" ht="14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</row>
    <row r="226" ht="14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</row>
    <row r="227" ht="14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</row>
    <row r="228" ht="14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</row>
    <row r="229" ht="14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</row>
    <row r="230" ht="14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</row>
    <row r="231" ht="14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</row>
    <row r="232" ht="14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</row>
    <row r="233" ht="14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</row>
    <row r="234" ht="14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</row>
    <row r="235" ht="14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</row>
    <row r="236" ht="14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</row>
    <row r="237" ht="14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</row>
    <row r="238" ht="14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</row>
    <row r="239" ht="14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</row>
    <row r="240" ht="14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</row>
    <row r="241" ht="14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</row>
    <row r="242" ht="14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</row>
    <row r="243" ht="14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</row>
    <row r="244" ht="14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</row>
    <row r="245" ht="14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ht="14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ht="14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</row>
    <row r="248" ht="14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</row>
    <row r="249" ht="14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</row>
    <row r="250" ht="14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</row>
    <row r="251" ht="14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</row>
    <row r="252" ht="14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 ht="14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 ht="14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</row>
    <row r="255" ht="14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</row>
    <row r="256" ht="14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</row>
    <row r="257" ht="14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</row>
    <row r="258" ht="14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 ht="14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</row>
    <row r="260" ht="14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</row>
    <row r="261" ht="14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</row>
    <row r="262" ht="14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</row>
    <row r="263" ht="14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</row>
    <row r="264" ht="14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</row>
    <row r="265" ht="14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</row>
    <row r="266" ht="14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</row>
    <row r="267" ht="14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</row>
    <row r="268" ht="14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</row>
    <row r="269" ht="14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</row>
    <row r="270" ht="14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</row>
    <row r="271" ht="14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</row>
    <row r="272" ht="14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</row>
    <row r="273" ht="14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</row>
    <row r="274" ht="14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</row>
    <row r="275" ht="14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</row>
    <row r="276" ht="14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</row>
    <row r="277" ht="14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</row>
    <row r="278" ht="14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</row>
    <row r="279" ht="14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</row>
    <row r="280" ht="14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</row>
    <row r="281" ht="14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</row>
    <row r="282" ht="14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</row>
    <row r="283" ht="14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</row>
    <row r="284" ht="14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</row>
    <row r="285" ht="14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</row>
    <row r="286" ht="14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</row>
    <row r="287" ht="14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</row>
    <row r="288" ht="14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</row>
    <row r="289" ht="14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</row>
    <row r="290" ht="14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</row>
    <row r="291" ht="14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</row>
    <row r="292" ht="14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</row>
    <row r="293" ht="14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</row>
    <row r="294" ht="14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</row>
    <row r="295" ht="14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</row>
    <row r="296" ht="14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</row>
    <row r="297" ht="14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</row>
    <row r="298" ht="14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</row>
    <row r="299" ht="14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</row>
    <row r="300" ht="14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</row>
    <row r="301" ht="14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</row>
    <row r="302" ht="14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</row>
    <row r="303" ht="14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</row>
    <row r="304" ht="14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</row>
    <row r="305" ht="14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</row>
    <row r="306" ht="14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</row>
    <row r="307" ht="14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</row>
    <row r="308" ht="14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</row>
    <row r="309" ht="14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</row>
    <row r="310" ht="14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</row>
    <row r="311" ht="14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</row>
    <row r="312" ht="14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</row>
    <row r="313" ht="14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</row>
    <row r="314" ht="14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</row>
    <row r="315" ht="14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</row>
    <row r="316" ht="14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</row>
    <row r="317" ht="14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</row>
    <row r="318" ht="14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</row>
    <row r="319" ht="14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</row>
    <row r="320" ht="14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</row>
    <row r="321" ht="14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</row>
    <row r="322" ht="14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</row>
    <row r="323" ht="14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</row>
    <row r="324" ht="14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</row>
    <row r="325" ht="14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</row>
    <row r="326" ht="14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</row>
    <row r="327" ht="14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</row>
    <row r="328" ht="14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</row>
    <row r="329" ht="14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</row>
    <row r="330" ht="14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</row>
    <row r="331" ht="14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</row>
    <row r="332" ht="14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</row>
    <row r="333" ht="14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</row>
    <row r="334" ht="14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</row>
    <row r="335" ht="14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ht="14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ht="14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 ht="14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</row>
    <row r="339" ht="14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</row>
    <row r="340" ht="14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</row>
    <row r="341" ht="14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</row>
    <row r="342" ht="14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</row>
    <row r="343" ht="14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</row>
    <row r="344" ht="14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</row>
    <row r="345" ht="14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</row>
    <row r="346" ht="14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</row>
    <row r="347" ht="14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</row>
    <row r="348" ht="14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</row>
    <row r="349" ht="14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</row>
    <row r="350" ht="14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</row>
    <row r="351" ht="14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</row>
    <row r="352" ht="14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</row>
    <row r="353" ht="14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</row>
    <row r="354" ht="14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</row>
    <row r="355" ht="14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</row>
    <row r="356" ht="14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</row>
    <row r="357" ht="14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</row>
    <row r="358" ht="14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</row>
    <row r="359" ht="14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</row>
    <row r="360" ht="14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</row>
    <row r="361" ht="14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</row>
    <row r="362" ht="14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</row>
    <row r="363" ht="14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</row>
    <row r="364" ht="14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</row>
    <row r="365" ht="14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</row>
    <row r="366" ht="14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</row>
    <row r="367" ht="14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</row>
    <row r="368" ht="14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</row>
    <row r="369" ht="14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</row>
    <row r="370" ht="14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</row>
    <row r="371" ht="14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</row>
    <row r="372" ht="14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</row>
    <row r="373" ht="14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</row>
    <row r="374" ht="14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ht="14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ht="14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ht="14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ht="14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ht="14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ht="14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ht="14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ht="14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ht="14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ht="14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ht="14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ht="14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ht="14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ht="14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ht="14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ht="14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ht="14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ht="14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ht="14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ht="14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ht="14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ht="14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ht="14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ht="14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ht="14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ht="14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ht="14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ht="14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ht="14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ht="14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ht="14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ht="14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ht="14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</row>
    <row r="408" ht="14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</row>
    <row r="409" ht="14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</row>
    <row r="410" ht="14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</row>
    <row r="411" ht="14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</row>
    <row r="412" ht="14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</row>
    <row r="413" ht="14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</row>
    <row r="414" ht="14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</row>
    <row r="415" ht="14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</row>
    <row r="416" ht="14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</row>
    <row r="417" ht="14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</row>
    <row r="418" ht="14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</row>
    <row r="419" ht="14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</row>
    <row r="420" ht="14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</row>
    <row r="421" ht="14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</row>
    <row r="422" ht="14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</row>
    <row r="423" ht="14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</row>
    <row r="424" ht="14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</row>
    <row r="425" ht="14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</row>
    <row r="426" ht="14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</row>
    <row r="427" ht="14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</row>
    <row r="428" ht="14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</row>
    <row r="429" ht="14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</row>
    <row r="430" ht="14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</row>
    <row r="431" ht="14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</row>
    <row r="432" ht="14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</row>
    <row r="433" ht="14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</row>
    <row r="434" ht="14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</row>
    <row r="435" ht="14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</row>
    <row r="436" ht="14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</row>
    <row r="437" ht="14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</row>
    <row r="438" ht="14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</row>
    <row r="439" ht="14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</row>
    <row r="440" ht="14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</row>
    <row r="441" ht="14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</row>
    <row r="442" ht="14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</row>
    <row r="443" ht="14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</row>
    <row r="444" ht="14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</row>
    <row r="445" ht="14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</row>
    <row r="446" ht="14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</row>
    <row r="447" ht="14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</row>
    <row r="448" ht="14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</row>
    <row r="449" ht="14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</row>
    <row r="450" ht="14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</row>
    <row r="451" ht="14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</row>
    <row r="452" ht="14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</row>
    <row r="453" ht="14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</row>
    <row r="454" ht="14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</row>
    <row r="455" ht="14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</row>
    <row r="456" ht="14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</row>
    <row r="457" ht="14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</row>
    <row r="458" ht="14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</row>
    <row r="459" ht="14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</row>
    <row r="460" ht="14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</row>
    <row r="461" ht="14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</row>
    <row r="462" ht="14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</row>
    <row r="463" ht="14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</row>
    <row r="464" ht="14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</row>
    <row r="465" ht="14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</row>
    <row r="466" ht="14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</row>
    <row r="467" ht="14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</row>
    <row r="468" ht="14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</row>
    <row r="469" ht="14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</row>
    <row r="470" ht="14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</row>
    <row r="471" ht="14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</row>
    <row r="472" ht="14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</row>
    <row r="473" ht="14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</row>
    <row r="474" ht="14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</row>
    <row r="475" ht="14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</row>
    <row r="476" ht="14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</row>
    <row r="477" ht="14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</row>
    <row r="478" ht="14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</row>
    <row r="479" ht="14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</row>
    <row r="480" ht="14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</row>
    <row r="481" ht="14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</row>
    <row r="482" ht="14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</row>
    <row r="483" ht="14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</row>
    <row r="484" ht="14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</row>
    <row r="485" ht="14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</row>
    <row r="486" ht="14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</row>
    <row r="487" ht="14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</row>
    <row r="488" ht="14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</row>
    <row r="489" ht="14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</row>
    <row r="490" ht="14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</row>
    <row r="491" ht="14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</row>
    <row r="492" ht="14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</row>
    <row r="493" ht="14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</row>
    <row r="494" ht="14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</row>
    <row r="495" ht="14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</row>
    <row r="496" ht="14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</row>
    <row r="497" ht="14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</row>
    <row r="498" ht="14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</row>
    <row r="499" ht="14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</row>
    <row r="500" ht="14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</row>
    <row r="501" ht="14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</row>
    <row r="502" ht="14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</row>
    <row r="503" ht="14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</row>
    <row r="504" ht="14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</row>
    <row r="505" ht="14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</row>
    <row r="506" ht="14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</row>
    <row r="507" ht="14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</row>
    <row r="508" ht="14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</row>
    <row r="509" ht="14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</row>
    <row r="510" ht="14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</row>
    <row r="511" ht="14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</row>
    <row r="512" ht="14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</row>
    <row r="513" ht="14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</row>
    <row r="514" ht="14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</row>
    <row r="515" ht="14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</row>
    <row r="516" ht="14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</row>
    <row r="517" ht="14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</row>
    <row r="518" ht="14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</row>
    <row r="519" ht="14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</row>
    <row r="520" ht="14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</row>
    <row r="521" ht="14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</row>
    <row r="522" ht="14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</row>
    <row r="523" ht="14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</row>
    <row r="524" ht="14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</row>
    <row r="525" ht="14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</row>
    <row r="526" ht="14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</row>
    <row r="527" ht="14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</row>
    <row r="528" ht="14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</row>
    <row r="529" ht="14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</row>
    <row r="530" ht="14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</row>
    <row r="531" ht="14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</row>
    <row r="532" ht="14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</row>
    <row r="533" ht="14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</row>
    <row r="534" ht="14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</row>
    <row r="535" ht="14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</row>
    <row r="536" ht="14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</row>
    <row r="537" ht="14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</row>
    <row r="538" ht="14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</row>
    <row r="539" ht="14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</row>
    <row r="540" ht="14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</row>
    <row r="541" ht="14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</row>
    <row r="542" ht="14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</row>
    <row r="543" ht="14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</row>
    <row r="544" ht="14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</row>
    <row r="545" ht="14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</row>
    <row r="546" ht="14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</row>
    <row r="547" ht="14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</row>
    <row r="548" ht="14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</row>
    <row r="549" ht="14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</row>
    <row r="550" ht="14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</row>
    <row r="551" ht="14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</row>
    <row r="552" ht="14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</row>
    <row r="553" ht="14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</row>
    <row r="554" ht="14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</row>
    <row r="555" ht="14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</row>
    <row r="556" ht="14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</row>
    <row r="557" ht="14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</row>
    <row r="558" ht="14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</row>
    <row r="559" ht="14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</row>
    <row r="560" ht="14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</row>
    <row r="561" ht="14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</row>
    <row r="562" ht="14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</row>
    <row r="563" ht="14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</row>
    <row r="564" ht="14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</row>
    <row r="565" ht="14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</row>
    <row r="566" ht="14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</row>
    <row r="567" ht="14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</row>
    <row r="568" ht="14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</row>
    <row r="569" ht="14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</row>
    <row r="570" ht="14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</row>
    <row r="571" ht="14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</row>
    <row r="572" ht="14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</row>
    <row r="573" ht="14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</row>
    <row r="574" ht="14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</row>
    <row r="575" ht="14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</row>
    <row r="576" ht="14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</row>
    <row r="577" ht="14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</row>
    <row r="578" ht="14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</row>
    <row r="579" ht="14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</row>
    <row r="580" ht="14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</row>
    <row r="581" ht="14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</row>
    <row r="582" ht="14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</row>
    <row r="583" ht="14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</row>
    <row r="584" ht="14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</row>
    <row r="585" ht="14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</row>
    <row r="586" ht="14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</row>
    <row r="587" ht="14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</row>
    <row r="588" ht="14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</row>
    <row r="589" ht="14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</row>
    <row r="590" ht="14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</row>
    <row r="591" ht="14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</row>
    <row r="592" ht="14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</row>
    <row r="593" ht="14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</row>
    <row r="594" ht="14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</row>
    <row r="595" ht="14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</row>
    <row r="596" ht="14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</row>
    <row r="597" ht="14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</row>
    <row r="598" ht="14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</row>
    <row r="599" ht="14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</row>
    <row r="600" ht="14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</row>
    <row r="601" ht="14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</row>
    <row r="602" ht="14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</row>
    <row r="603" ht="14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</row>
    <row r="604" ht="14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</row>
    <row r="605" ht="14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</row>
    <row r="606" ht="14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</row>
    <row r="607" ht="14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</row>
    <row r="608" ht="14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</row>
    <row r="609" ht="14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</row>
    <row r="610" ht="14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</row>
    <row r="611" ht="14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</row>
    <row r="612" ht="14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</row>
    <row r="613" ht="14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</row>
    <row r="614" ht="14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</row>
    <row r="615" ht="14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</row>
    <row r="616" ht="14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</row>
    <row r="617" ht="14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</row>
    <row r="618" ht="14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</row>
    <row r="619" ht="14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</row>
    <row r="620" ht="14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</row>
    <row r="621" ht="14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</row>
    <row r="622" ht="14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</row>
    <row r="623" ht="14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</row>
    <row r="624" ht="14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</row>
    <row r="625" ht="14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</row>
    <row r="626" ht="14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</row>
    <row r="627" ht="14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</row>
    <row r="628" ht="14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</row>
    <row r="629" ht="14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</row>
    <row r="630" ht="14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</row>
    <row r="631" ht="14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</row>
    <row r="632" ht="14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</row>
    <row r="633" ht="14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</row>
    <row r="634" ht="14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</row>
    <row r="635" ht="14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</row>
    <row r="636" ht="14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</row>
    <row r="637" ht="14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</row>
    <row r="638" ht="14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</row>
    <row r="639" ht="14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</row>
    <row r="640" ht="14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</row>
    <row r="641" ht="14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</row>
    <row r="642" ht="14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</row>
    <row r="643" ht="14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</row>
    <row r="644" ht="14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</row>
    <row r="645" ht="14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</row>
    <row r="646" ht="14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</row>
    <row r="647" ht="14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</row>
    <row r="648" ht="14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</row>
    <row r="649" ht="14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</row>
    <row r="650" ht="14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</row>
    <row r="651" ht="14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</row>
    <row r="652" ht="14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</row>
    <row r="653" ht="14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</row>
    <row r="654" ht="14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</row>
    <row r="655" ht="14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</row>
    <row r="656" ht="14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</row>
    <row r="657" ht="14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</row>
    <row r="658" ht="14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</row>
    <row r="659" ht="14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</row>
    <row r="660" ht="14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</row>
    <row r="661" ht="14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</row>
    <row r="662" ht="14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</row>
    <row r="663" ht="14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</row>
    <row r="664" ht="14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</row>
    <row r="665" ht="14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</row>
    <row r="666" ht="14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</row>
    <row r="667" ht="14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</row>
    <row r="668" ht="14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</row>
    <row r="669" ht="14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</row>
    <row r="670" ht="14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</row>
    <row r="671" ht="14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</row>
    <row r="672" ht="14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</row>
    <row r="673" ht="14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</row>
    <row r="674" ht="14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</row>
    <row r="675" ht="14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</row>
    <row r="676" ht="14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</row>
    <row r="677" ht="14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</row>
    <row r="678" ht="14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</row>
    <row r="679" ht="14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</row>
    <row r="680" ht="14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</row>
    <row r="681" ht="14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</row>
    <row r="682" ht="14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</row>
    <row r="683" ht="14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</row>
    <row r="684" ht="14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</row>
    <row r="685" ht="14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</row>
    <row r="686" ht="14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</row>
    <row r="687" ht="14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</row>
    <row r="688" ht="14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</row>
    <row r="689" ht="14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</row>
    <row r="690" ht="14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</row>
    <row r="691" ht="14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</row>
    <row r="692" ht="14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</row>
    <row r="693" ht="14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</row>
    <row r="694" ht="14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</row>
    <row r="695" ht="14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</row>
    <row r="696" ht="14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</row>
    <row r="697" ht="14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</row>
    <row r="698" ht="14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</row>
    <row r="699" ht="14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</row>
    <row r="700" ht="14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</row>
    <row r="701" ht="14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</row>
    <row r="702" ht="14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</row>
    <row r="703" ht="14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</row>
    <row r="704" ht="14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</row>
    <row r="705" ht="14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</row>
    <row r="706" ht="14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</row>
    <row r="707" ht="14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</row>
    <row r="708" ht="14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</row>
    <row r="709" ht="14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</row>
    <row r="710" ht="14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</row>
    <row r="711" ht="14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</row>
    <row r="712" ht="14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</row>
    <row r="713" ht="14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</row>
    <row r="714" ht="14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</row>
    <row r="715" ht="14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</row>
    <row r="716" ht="14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</row>
    <row r="717" ht="14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</row>
    <row r="718" ht="14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</row>
    <row r="719" ht="14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</row>
    <row r="720" ht="14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</row>
    <row r="721" ht="14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</row>
    <row r="722" ht="14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</row>
    <row r="723" ht="14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</row>
    <row r="724" ht="14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</row>
    <row r="725" ht="14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</row>
    <row r="726" ht="14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</row>
    <row r="727" ht="14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</row>
    <row r="728" ht="14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</row>
    <row r="729" ht="14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</row>
    <row r="730" ht="14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</row>
    <row r="731" ht="14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</row>
    <row r="732" ht="14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</row>
    <row r="733" ht="14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</row>
    <row r="734" ht="14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</row>
    <row r="735" ht="14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</row>
    <row r="736" ht="14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</row>
    <row r="737" ht="14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</row>
    <row r="738" ht="14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</row>
    <row r="739" ht="14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</row>
    <row r="740" ht="14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</row>
    <row r="741" ht="14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</row>
    <row r="742" ht="14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</row>
    <row r="743" ht="14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</row>
    <row r="744" ht="14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</row>
    <row r="745" ht="14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</row>
    <row r="746" ht="14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</row>
    <row r="747" ht="14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</row>
    <row r="748" ht="14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</row>
    <row r="749" ht="14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</row>
    <row r="750" ht="14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</row>
    <row r="751" ht="14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</row>
    <row r="752" ht="14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</row>
    <row r="753" ht="14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</row>
    <row r="754" ht="14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</row>
    <row r="755" ht="14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</row>
    <row r="756" ht="14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</row>
    <row r="757" ht="14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</row>
    <row r="758" ht="14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</row>
    <row r="759" ht="14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</row>
    <row r="760" ht="14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</row>
    <row r="761" ht="14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</row>
    <row r="762" ht="14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</row>
    <row r="763" ht="14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</row>
    <row r="764" ht="14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</row>
    <row r="765" ht="14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</row>
    <row r="766" ht="14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</row>
    <row r="767" ht="14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</row>
    <row r="768" ht="14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</row>
    <row r="769" ht="14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</row>
    <row r="770" ht="14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</row>
    <row r="771" ht="14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</row>
    <row r="772" ht="14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</row>
    <row r="773" ht="14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</row>
    <row r="774" ht="14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</row>
    <row r="775" ht="14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</row>
    <row r="776" ht="14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</row>
    <row r="777" ht="14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</row>
    <row r="778" ht="14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</row>
    <row r="779" ht="14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</row>
    <row r="780" ht="14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</row>
    <row r="781" ht="14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</row>
    <row r="782" ht="14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</row>
    <row r="783" ht="14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</row>
    <row r="784" ht="14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</row>
    <row r="785" ht="14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</row>
    <row r="786" ht="14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</row>
    <row r="787" ht="14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</row>
    <row r="788" ht="14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</row>
    <row r="789" ht="14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</row>
    <row r="790" ht="14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</row>
    <row r="791" ht="14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</row>
    <row r="792" ht="14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</row>
    <row r="793" ht="14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</row>
    <row r="794" ht="14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</row>
    <row r="795" ht="14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</row>
    <row r="796" ht="14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</row>
    <row r="797" ht="14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</row>
    <row r="798" ht="14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</row>
    <row r="799" ht="14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</row>
    <row r="800" ht="14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</row>
    <row r="801" ht="14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</row>
    <row r="802" ht="14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</row>
    <row r="803" ht="14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</row>
    <row r="804" ht="14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</row>
    <row r="805" ht="14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</row>
    <row r="806" ht="14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</row>
    <row r="807" ht="14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</row>
    <row r="808" ht="14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</row>
    <row r="809" ht="14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</row>
    <row r="810" ht="14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</row>
    <row r="811" ht="14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</row>
    <row r="812" ht="14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</row>
    <row r="813" ht="14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</row>
    <row r="814" ht="14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</row>
    <row r="815" ht="14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</row>
    <row r="816" ht="14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</row>
    <row r="817" ht="14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</row>
    <row r="818" ht="14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</row>
    <row r="819" ht="14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</row>
    <row r="820" ht="14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</row>
    <row r="821" ht="14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</row>
    <row r="822" ht="14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</row>
    <row r="823" ht="14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</row>
    <row r="824" ht="14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</row>
    <row r="825" ht="14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</row>
    <row r="826" ht="14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</row>
    <row r="827" ht="14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</row>
    <row r="828" ht="14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</row>
    <row r="829" ht="14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</row>
    <row r="830" ht="14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</row>
    <row r="831" ht="14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</row>
    <row r="832" ht="14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</row>
    <row r="833" ht="14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</row>
    <row r="834" ht="14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</row>
    <row r="835" ht="14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</row>
    <row r="836" ht="14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</row>
    <row r="837" ht="14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</row>
    <row r="838" ht="14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</row>
    <row r="839" ht="14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</row>
    <row r="840" ht="14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</row>
    <row r="841" ht="14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</row>
    <row r="842" ht="14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</row>
    <row r="843" ht="14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</row>
    <row r="844" ht="14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</row>
    <row r="845" ht="14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</row>
    <row r="846" ht="14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</row>
    <row r="847" ht="14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</row>
    <row r="848" ht="14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</row>
    <row r="849" ht="14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</row>
    <row r="850" ht="14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</row>
    <row r="851" ht="14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</row>
    <row r="852" ht="14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</row>
    <row r="853" ht="14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</row>
    <row r="854" ht="14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</row>
    <row r="855" ht="14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</row>
    <row r="856" ht="14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</row>
    <row r="857" ht="14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</row>
    <row r="858" ht="14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</row>
    <row r="859" ht="14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</row>
    <row r="860" ht="14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</row>
    <row r="861" ht="14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</row>
    <row r="862" ht="14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</row>
    <row r="863" ht="14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</row>
    <row r="864" ht="14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</row>
    <row r="865" ht="14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</row>
    <row r="866" ht="14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</row>
    <row r="867" ht="14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</row>
    <row r="868" ht="14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</row>
    <row r="869" ht="14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</row>
    <row r="870" ht="14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</row>
    <row r="871" ht="14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</row>
    <row r="872" ht="14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</row>
    <row r="873" ht="14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</row>
    <row r="874" ht="14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</row>
    <row r="875" ht="14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</row>
    <row r="876" ht="14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</row>
    <row r="877" ht="14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</row>
    <row r="878" ht="14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</row>
    <row r="879" ht="14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</row>
    <row r="880" ht="14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</row>
    <row r="881" ht="14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</row>
    <row r="882" ht="14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</row>
    <row r="883" ht="14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</row>
    <row r="884" ht="14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</row>
    <row r="885" ht="14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</row>
    <row r="886" ht="14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</row>
    <row r="887" ht="14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</row>
    <row r="888" ht="14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</row>
    <row r="889" ht="14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</row>
    <row r="890" ht="14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</row>
    <row r="891" ht="14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</row>
    <row r="892" ht="14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</row>
    <row r="893" ht="14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</row>
    <row r="894" ht="14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</row>
    <row r="895" ht="14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</row>
    <row r="896" ht="14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</row>
    <row r="897" ht="14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</row>
    <row r="898" ht="14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</row>
    <row r="899" ht="14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</row>
    <row r="900" ht="14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</row>
    <row r="901" ht="14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</row>
    <row r="902" ht="14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</row>
    <row r="903" ht="14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</row>
    <row r="904" ht="14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</row>
    <row r="905" ht="14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</row>
    <row r="906" ht="14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</row>
    <row r="907" ht="14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</row>
    <row r="908" ht="14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</row>
    <row r="909" ht="14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</row>
    <row r="910" ht="14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</row>
    <row r="911" ht="14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</row>
    <row r="912" ht="14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</row>
    <row r="913" ht="14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</row>
    <row r="914" ht="14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</row>
    <row r="915" ht="14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</row>
    <row r="916" ht="14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</row>
    <row r="917" ht="14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</row>
    <row r="918" ht="14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</row>
    <row r="919" ht="14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</row>
    <row r="920" ht="14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</row>
    <row r="921" ht="14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</row>
    <row r="922" ht="14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</row>
    <row r="923" ht="14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</row>
    <row r="924" ht="14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</row>
    <row r="925" ht="14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</row>
    <row r="926" ht="14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</row>
    <row r="927" ht="14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</row>
    <row r="928" ht="14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</row>
    <row r="929" ht="14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</row>
    <row r="930" ht="14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</row>
    <row r="931" ht="14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</row>
    <row r="932" ht="14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</row>
    <row r="933" ht="14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</row>
    <row r="934" ht="14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</row>
    <row r="935" ht="14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</row>
    <row r="936" ht="14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</row>
    <row r="937" ht="14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</row>
    <row r="938" ht="14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</row>
    <row r="939" ht="14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</row>
    <row r="940" ht="14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</row>
    <row r="941" ht="14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</row>
    <row r="942" ht="14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</row>
    <row r="943" ht="14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</row>
    <row r="944" ht="14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</row>
    <row r="945" ht="14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</row>
    <row r="946" ht="14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</row>
    <row r="947" ht="14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</row>
    <row r="948" ht="14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</row>
    <row r="949" ht="14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</row>
    <row r="950" ht="14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</row>
    <row r="951" ht="14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</row>
    <row r="952" ht="14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</row>
    <row r="953" ht="14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</row>
    <row r="954" ht="14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</row>
    <row r="955" ht="14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</row>
    <row r="956" ht="14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</row>
    <row r="957" ht="14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</row>
    <row r="958" ht="14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</row>
    <row r="959" ht="14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</row>
    <row r="960" ht="14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</row>
    <row r="961" ht="14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</row>
    <row r="962" ht="14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</row>
    <row r="963" ht="14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</row>
    <row r="964" ht="14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</row>
    <row r="965" ht="14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</row>
    <row r="966" ht="14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</row>
    <row r="967" ht="14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</row>
    <row r="968" ht="14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</row>
    <row r="969" ht="14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</row>
    <row r="970" ht="14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</row>
    <row r="971" ht="14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</row>
    <row r="972" ht="14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</row>
    <row r="973" ht="14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</row>
    <row r="974" ht="14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</row>
    <row r="975" ht="14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</row>
    <row r="976" ht="14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</row>
    <row r="977" ht="14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</row>
    <row r="978" ht="14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</row>
    <row r="979" ht="14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</row>
    <row r="980" ht="14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</row>
    <row r="981" ht="14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</row>
    <row r="982" ht="14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</row>
    <row r="983" ht="14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</row>
    <row r="984" ht="14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</row>
    <row r="985" ht="14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</row>
    <row r="986" ht="14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</row>
    <row r="987" ht="14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</row>
    <row r="988" ht="14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</row>
    <row r="989" ht="14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</row>
    <row r="990" ht="14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</row>
    <row r="991" ht="14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</row>
    <row r="992" ht="14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</row>
    <row r="993" ht="14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</row>
    <row r="994" ht="14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</row>
    <row r="995" ht="14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</row>
    <row r="996" ht="14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</row>
    <row r="997" ht="14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</row>
    <row r="998" ht="14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</row>
    <row r="999" ht="14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</row>
    <row r="1000" ht="14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</row>
  </sheetData>
  <mergeCells count="23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1.0" footer="0.0" header="0.0" left="0.75" right="0.75" top="1.0"/>
  <pageSetup paperSize="9" scale="7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64.63"/>
    <col customWidth="1" min="3" max="3" width="9.13"/>
    <col customWidth="1" min="4" max="4" width="24.75"/>
    <col customWidth="1" min="5" max="8" width="9.13"/>
    <col customWidth="1" min="9" max="36" width="8.63"/>
  </cols>
  <sheetData>
    <row r="1" ht="23.25" customHeight="1">
      <c r="A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9.5" customHeight="1">
      <c r="A2" s="99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2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2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12.75" customHeight="1">
      <c r="A5" s="5"/>
      <c r="B5" s="100" t="s">
        <v>85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12.75" customHeight="1">
      <c r="A6" s="8">
        <v>1.0</v>
      </c>
      <c r="B6" s="9" t="s">
        <v>86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12.75" customHeight="1">
      <c r="A7" s="10">
        <v>2.0</v>
      </c>
      <c r="B7" s="11" t="s">
        <v>87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12.75" customHeight="1">
      <c r="A8" s="10">
        <v>3.0</v>
      </c>
      <c r="B8" s="11" t="s">
        <v>88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12.75" customHeight="1">
      <c r="A9" s="10">
        <v>4.0</v>
      </c>
      <c r="B9" s="11" t="s">
        <v>89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12.75" customHeight="1">
      <c r="A10" s="10">
        <v>5.0</v>
      </c>
      <c r="B10" s="11" t="s">
        <v>90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12.75" customHeight="1">
      <c r="A11" s="13">
        <v>6.0</v>
      </c>
      <c r="B11" s="14" t="s">
        <v>91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12.75" customHeight="1">
      <c r="A12" s="5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12.75" customHeight="1">
      <c r="A13" s="5"/>
      <c r="B13" s="101" t="s">
        <v>92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12.75" customHeight="1">
      <c r="A14" s="8">
        <v>1.0</v>
      </c>
      <c r="B14" s="9" t="s">
        <v>93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12.75" customHeight="1">
      <c r="A15" s="10">
        <v>2.0</v>
      </c>
      <c r="B15" s="11" t="s">
        <v>94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12.75" customHeight="1">
      <c r="A16" s="10">
        <v>3.0</v>
      </c>
      <c r="B16" s="11" t="s">
        <v>95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12.75" customHeight="1">
      <c r="A17" s="10">
        <v>4.0</v>
      </c>
      <c r="B17" s="11" t="s">
        <v>96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12.75" customHeight="1">
      <c r="A18" s="10">
        <v>5.0</v>
      </c>
      <c r="B18" s="11" t="s">
        <v>97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12.75" customHeight="1">
      <c r="A19" s="13">
        <v>6.0</v>
      </c>
      <c r="B19" s="14" t="s">
        <v>98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12.75" customHeight="1">
      <c r="A20" s="5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12.75" customHeight="1">
      <c r="A21" s="5"/>
      <c r="B21" s="102" t="s">
        <v>99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12.75" customHeight="1">
      <c r="A22" s="8">
        <v>1.0</v>
      </c>
      <c r="B22" s="9" t="s">
        <v>100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12.75" customHeight="1">
      <c r="A23" s="10">
        <v>2.0</v>
      </c>
      <c r="B23" s="11" t="s">
        <v>101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12.75" customHeight="1">
      <c r="A24" s="10">
        <v>3.0</v>
      </c>
      <c r="B24" s="11" t="s">
        <v>102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12.75" customHeight="1">
      <c r="A25" s="10">
        <v>4.0</v>
      </c>
      <c r="B25" s="11" t="s">
        <v>103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12.75" customHeight="1">
      <c r="A26" s="10">
        <v>5.0</v>
      </c>
      <c r="B26" s="11" t="s">
        <v>104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12.75" customHeight="1">
      <c r="A27" s="13">
        <v>6.0</v>
      </c>
      <c r="B27" s="14" t="s">
        <v>105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12.75" customHeight="1">
      <c r="A28" s="5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12.75" customHeight="1">
      <c r="A29" s="5"/>
      <c r="B29" s="103" t="s">
        <v>106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12.75" customHeight="1">
      <c r="A30" s="8">
        <v>1.0</v>
      </c>
      <c r="B30" s="9" t="s">
        <v>107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12.75" customHeight="1">
      <c r="A31" s="10">
        <v>2.0</v>
      </c>
      <c r="B31" s="11" t="s">
        <v>108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12.75" customHeight="1">
      <c r="A32" s="10">
        <v>3.0</v>
      </c>
      <c r="B32" s="11" t="s">
        <v>109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12.75" customHeight="1">
      <c r="A33" s="10">
        <v>4.0</v>
      </c>
      <c r="B33" s="11" t="s">
        <v>110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2.75" customHeight="1">
      <c r="A34" s="10">
        <v>5.0</v>
      </c>
      <c r="B34" s="11" t="s">
        <v>111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2.75" customHeight="1">
      <c r="A35" s="13">
        <v>6.0</v>
      </c>
      <c r="B35" s="14" t="s">
        <v>112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0" width="7.75"/>
    <col customWidth="1" hidden="1" min="11" max="11" width="7.38"/>
    <col customWidth="1" hidden="1" min="12" max="12" width="11.25"/>
    <col customWidth="1" hidden="1" min="13" max="13" width="8.0"/>
    <col customWidth="1" hidden="1" min="14" max="14" width="6.13"/>
    <col customWidth="1" min="15" max="15" width="5.13"/>
    <col customWidth="1" min="16" max="16" width="22.75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7.75"/>
    <col customWidth="1" hidden="1" min="26" max="26" width="7.38"/>
    <col customWidth="1" hidden="1" min="27" max="27" width="11.25"/>
    <col customWidth="1" hidden="1" min="28" max="28" width="8.0"/>
    <col customWidth="1" hidden="1" min="29" max="29" width="6.13"/>
    <col customWidth="1" min="30" max="30" width="5.38"/>
    <col customWidth="1" min="31" max="31" width="17.5"/>
    <col customWidth="1" min="32" max="35" width="8.75"/>
    <col customWidth="1" hidden="1" min="36" max="36" width="9.25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</row>
    <row r="2" ht="21.0" customHeight="1"/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4.25" customHeight="1">
      <c r="A5" s="104" t="s">
        <v>85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5"/>
      <c r="AJ5" s="26"/>
      <c r="AK5" s="26"/>
      <c r="AL5" s="26"/>
      <c r="AM5" s="26"/>
      <c r="AN5" s="26"/>
    </row>
    <row r="6" ht="14.2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</row>
    <row r="7" ht="14.25" customHeight="1">
      <c r="A7" s="105" t="s">
        <v>51</v>
      </c>
      <c r="B7" s="106" t="s">
        <v>52</v>
      </c>
      <c r="C7" s="29"/>
      <c r="D7" s="29"/>
      <c r="E7" s="30"/>
      <c r="F7" s="107"/>
      <c r="G7" s="61"/>
      <c r="H7" s="105" t="s">
        <v>53</v>
      </c>
      <c r="I7" s="26"/>
      <c r="J7" s="26"/>
      <c r="K7" s="26"/>
      <c r="L7" s="26"/>
      <c r="M7" s="33"/>
      <c r="N7" s="33"/>
      <c r="O7" s="26"/>
      <c r="P7" s="105" t="s">
        <v>51</v>
      </c>
      <c r="Q7" s="106" t="s">
        <v>52</v>
      </c>
      <c r="R7" s="29"/>
      <c r="S7" s="29"/>
      <c r="T7" s="30"/>
      <c r="U7" s="107"/>
      <c r="V7" s="61"/>
      <c r="W7" s="105" t="s">
        <v>53</v>
      </c>
      <c r="X7" s="26"/>
      <c r="Y7" s="33"/>
      <c r="Z7" s="33"/>
      <c r="AA7" s="33"/>
      <c r="AB7" s="33"/>
      <c r="AC7" s="33"/>
      <c r="AD7" s="26"/>
      <c r="AE7" s="105" t="s">
        <v>54</v>
      </c>
      <c r="AF7" s="105" t="s">
        <v>55</v>
      </c>
      <c r="AG7" s="105" t="s">
        <v>56</v>
      </c>
      <c r="AH7" s="105" t="s">
        <v>57</v>
      </c>
      <c r="AI7" s="105" t="s">
        <v>58</v>
      </c>
      <c r="AJ7" s="33"/>
      <c r="AK7" s="33"/>
      <c r="AL7" s="33"/>
      <c r="AM7" s="26"/>
      <c r="AN7" s="26"/>
    </row>
    <row r="8" ht="14.25" hidden="1" customHeight="1">
      <c r="A8" s="26"/>
      <c r="B8" s="34" t="s">
        <v>59</v>
      </c>
      <c r="C8" s="34" t="s">
        <v>60</v>
      </c>
      <c r="D8" s="34"/>
      <c r="E8" s="34" t="s">
        <v>59</v>
      </c>
      <c r="F8" s="34" t="s">
        <v>61</v>
      </c>
      <c r="G8" s="34"/>
      <c r="H8" s="34" t="s">
        <v>59</v>
      </c>
      <c r="I8" s="34" t="s">
        <v>62</v>
      </c>
      <c r="J8" s="34" t="s">
        <v>63</v>
      </c>
      <c r="K8" s="34" t="s">
        <v>64</v>
      </c>
      <c r="L8" s="34" t="s">
        <v>65</v>
      </c>
      <c r="M8" s="34" t="s">
        <v>66</v>
      </c>
      <c r="N8" s="34" t="s">
        <v>67</v>
      </c>
      <c r="O8" s="26"/>
      <c r="P8" s="26"/>
      <c r="Q8" s="34" t="s">
        <v>59</v>
      </c>
      <c r="R8" s="34" t="s">
        <v>60</v>
      </c>
      <c r="S8" s="34"/>
      <c r="T8" s="34" t="s">
        <v>59</v>
      </c>
      <c r="U8" s="34" t="s">
        <v>61</v>
      </c>
      <c r="V8" s="34"/>
      <c r="W8" s="34" t="s">
        <v>59</v>
      </c>
      <c r="X8" s="34" t="s">
        <v>62</v>
      </c>
      <c r="Y8" s="34" t="s">
        <v>63</v>
      </c>
      <c r="Z8" s="34" t="s">
        <v>64</v>
      </c>
      <c r="AA8" s="34" t="s">
        <v>65</v>
      </c>
      <c r="AB8" s="34" t="s">
        <v>66</v>
      </c>
      <c r="AC8" s="34" t="s">
        <v>67</v>
      </c>
      <c r="AD8" s="26"/>
      <c r="AE8" s="33"/>
      <c r="AF8" s="33"/>
      <c r="AG8" s="33"/>
      <c r="AH8" s="33"/>
      <c r="AI8" s="33"/>
      <c r="AJ8" s="34" t="s">
        <v>68</v>
      </c>
      <c r="AK8" s="34" t="s">
        <v>81</v>
      </c>
      <c r="AL8" s="36" t="s">
        <v>69</v>
      </c>
      <c r="AM8" s="37" t="s">
        <v>70</v>
      </c>
      <c r="AN8" s="37" t="s">
        <v>82</v>
      </c>
    </row>
    <row r="9" ht="14.25" customHeight="1">
      <c r="A9" s="38" t="str">
        <f>AE9</f>
        <v>Alison Muscat</v>
      </c>
      <c r="B9" s="39">
        <v>5.0</v>
      </c>
      <c r="C9" s="40">
        <f>IF(B9&gt;B11,1,0)</f>
        <v>0</v>
      </c>
      <c r="D9" s="41"/>
      <c r="E9" s="39">
        <v>4.0</v>
      </c>
      <c r="F9" s="40">
        <f>IF(E9&gt;E11,1,0)</f>
        <v>0</v>
      </c>
      <c r="G9" s="41"/>
      <c r="H9" s="42"/>
      <c r="I9" s="26">
        <f>IF(H9&gt;H11,1,0)</f>
        <v>0</v>
      </c>
      <c r="J9" s="26">
        <f>IF(B9="",0,1)</f>
        <v>1</v>
      </c>
      <c r="K9" s="26">
        <f>IF(C9+F9=2,3,IF(C9+F9=1,1,0))</f>
        <v>0</v>
      </c>
      <c r="L9" s="26">
        <f>IF(K9=3,3,IF(I9+K9=2,2,IF(K9=1,1,0)))</f>
        <v>0</v>
      </c>
      <c r="M9" s="26">
        <f>B9+E9</f>
        <v>9</v>
      </c>
      <c r="N9" s="26">
        <f>C9+F9+I9</f>
        <v>0</v>
      </c>
      <c r="O9" s="26"/>
      <c r="P9" s="38" t="str">
        <f>AE9</f>
        <v>Alison Muscat</v>
      </c>
      <c r="Q9" s="39">
        <v>6.0</v>
      </c>
      <c r="R9" s="40">
        <f>IF(Q9&gt;Q11,1,0)</f>
        <v>1</v>
      </c>
      <c r="S9" s="41"/>
      <c r="T9" s="39">
        <v>7.0</v>
      </c>
      <c r="U9" s="40">
        <f>IF(T9&gt;T11,1,0)</f>
        <v>1</v>
      </c>
      <c r="V9" s="41"/>
      <c r="W9" s="42"/>
      <c r="X9" s="26">
        <f>IF(W9&gt;W11,1,0)</f>
        <v>0</v>
      </c>
      <c r="Y9" s="26">
        <f>IF(Q9="",0,1)</f>
        <v>1</v>
      </c>
      <c r="Z9" s="26">
        <f>IF(R9+U9=2,3,IF(R9+U9=1,1,0))</f>
        <v>3</v>
      </c>
      <c r="AA9" s="26">
        <f>IF(Z9=3,3,IF(X9+Z9=2,2,IF(Z9=1,1,0)))</f>
        <v>3</v>
      </c>
      <c r="AB9" s="26">
        <f>Q9+T9</f>
        <v>13</v>
      </c>
      <c r="AC9" s="26">
        <f>R9+U9+X9</f>
        <v>2</v>
      </c>
      <c r="AD9" s="26"/>
      <c r="AE9" s="108" t="str">
        <f>'Players - Ladies'!B6</f>
        <v>Alison Muscat</v>
      </c>
      <c r="AF9" s="44">
        <f>J9+Y9+J13+Y13+J17</f>
        <v>5</v>
      </c>
      <c r="AG9" s="44">
        <f t="shared" ref="AG9:AI9" si="1">L9+AA9+L13+AA13+L17</f>
        <v>8</v>
      </c>
      <c r="AH9" s="44">
        <f t="shared" si="1"/>
        <v>51</v>
      </c>
      <c r="AI9" s="45">
        <f t="shared" si="1"/>
        <v>6</v>
      </c>
      <c r="AJ9" s="26">
        <f>MAX(AG9:AG19)</f>
        <v>15</v>
      </c>
      <c r="AK9" s="26">
        <f>LARGE(AG9:AG19, 2)</f>
        <v>10</v>
      </c>
      <c r="AL9" s="26">
        <f>SUM(AF9:AF19)</f>
        <v>30</v>
      </c>
      <c r="AM9" s="26" t="str">
        <f>IF(AG9=$AJ$9,AE9,IF(AG11=$AJ$9,AE11,IF(AG13=$AJ$9,AE13,IF(AG15=$AJ$9,AE15,IF(AG17=$AJ$9,AE17,"")))))</f>
        <v>Mirka Micallef</v>
      </c>
      <c r="AN9" s="26" t="str">
        <f>IF(AG9=$AK$9,AE9,IF(AG11=$AK$9,AE11,IF(AG13=$AK$9,AE13,IF(AG15=$AK$9,AE15,IF(AG17=$AK$9,AE17,"")))))</f>
        <v>Pamela Cohen</v>
      </c>
    </row>
    <row r="10" ht="14.25" customHeight="1">
      <c r="A10" s="46" t="s">
        <v>71</v>
      </c>
      <c r="H10" s="47"/>
      <c r="I10" s="48"/>
      <c r="J10" s="26"/>
      <c r="K10" s="26"/>
      <c r="L10" s="26"/>
      <c r="M10" s="26"/>
      <c r="N10" s="26"/>
      <c r="O10" s="26"/>
      <c r="P10" s="46" t="s">
        <v>71</v>
      </c>
      <c r="W10" s="47"/>
      <c r="X10" s="48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33"/>
      <c r="AL10" s="33"/>
      <c r="AM10" s="26"/>
      <c r="AN10" s="26"/>
    </row>
    <row r="11" ht="14.25" customHeight="1">
      <c r="A11" s="49" t="str">
        <f>AE11</f>
        <v>Pamela Cohen</v>
      </c>
      <c r="B11" s="39">
        <v>7.0</v>
      </c>
      <c r="C11" s="50">
        <f>IF(B11&gt;B9,1,0)</f>
        <v>1</v>
      </c>
      <c r="D11" s="51"/>
      <c r="E11" s="39">
        <v>6.0</v>
      </c>
      <c r="F11" s="50">
        <f>IF(E11&gt;E9,1,0)</f>
        <v>1</v>
      </c>
      <c r="G11" s="51"/>
      <c r="H11" s="42"/>
      <c r="I11" s="26">
        <f>IF(H11&gt;H9,1,0)</f>
        <v>0</v>
      </c>
      <c r="J11" s="26">
        <f>IF(B11="",0,1)</f>
        <v>1</v>
      </c>
      <c r="K11" s="26">
        <f>IF(C11+F11=2,3,IF(C11+F11=1,1,0))</f>
        <v>3</v>
      </c>
      <c r="L11" s="26">
        <f>IF(K11=3,3,IF(I11+K11=2,2,IF(K11=1,1,0)))</f>
        <v>3</v>
      </c>
      <c r="M11" s="26">
        <f>B11+E11</f>
        <v>13</v>
      </c>
      <c r="N11" s="26">
        <f>C11+F11+I11</f>
        <v>2</v>
      </c>
      <c r="O11" s="26"/>
      <c r="P11" s="49" t="str">
        <f>AE13</f>
        <v>Annabelle Abela</v>
      </c>
      <c r="Q11" s="39">
        <v>3.0</v>
      </c>
      <c r="R11" s="50">
        <f>IF(Q11&gt;Q9,1,0)</f>
        <v>0</v>
      </c>
      <c r="S11" s="51"/>
      <c r="T11" s="39">
        <v>5.0</v>
      </c>
      <c r="U11" s="50">
        <f>IF(T11&gt;T9,1,0)</f>
        <v>0</v>
      </c>
      <c r="V11" s="51"/>
      <c r="W11" s="42"/>
      <c r="X11" s="26">
        <f>IF(W11&gt;W9,1,0)</f>
        <v>0</v>
      </c>
      <c r="Y11" s="26">
        <f>IF(Q11="",0,1)</f>
        <v>1</v>
      </c>
      <c r="Z11" s="26">
        <f>IF(R11+U11=2,3,IF(R11+U11=1,1,0))</f>
        <v>0</v>
      </c>
      <c r="AA11" s="26">
        <f>IF(Z11=3,3,IF(X11+Z11=2,2,IF(Z11=1,1,0)))</f>
        <v>0</v>
      </c>
      <c r="AB11" s="26">
        <f>Q11+T11</f>
        <v>8</v>
      </c>
      <c r="AC11" s="26">
        <f>R11+U11+X11</f>
        <v>0</v>
      </c>
      <c r="AD11" s="26"/>
      <c r="AE11" s="108" t="str">
        <f>'Players - Ladies'!B7</f>
        <v>Pamela Cohen</v>
      </c>
      <c r="AF11" s="44">
        <f>J11+Y25+J21+Y21+Y17</f>
        <v>5</v>
      </c>
      <c r="AG11" s="44">
        <f t="shared" ref="AG11:AI11" si="2">L11+AA25+L21+AA21+AA17</f>
        <v>10</v>
      </c>
      <c r="AH11" s="44">
        <f t="shared" si="2"/>
        <v>54</v>
      </c>
      <c r="AI11" s="45">
        <f t="shared" si="2"/>
        <v>7</v>
      </c>
      <c r="AJ11" s="33"/>
      <c r="AK11" s="33"/>
      <c r="AL11" s="33"/>
      <c r="AM11" s="26"/>
      <c r="AN11" s="26"/>
    </row>
    <row r="12" ht="14.25" customHeight="1">
      <c r="A12" s="26"/>
      <c r="B12" s="26"/>
      <c r="C12" s="26"/>
      <c r="D12" s="26"/>
      <c r="E12" s="26"/>
      <c r="F12" s="26"/>
      <c r="G12" s="26"/>
      <c r="H12" s="50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50"/>
      <c r="X12" s="26"/>
      <c r="Y12" s="26"/>
      <c r="Z12" s="26"/>
      <c r="AA12" s="26"/>
      <c r="AB12" s="26"/>
      <c r="AC12" s="26"/>
      <c r="AD12" s="26"/>
      <c r="AE12" s="26"/>
      <c r="AF12" s="33"/>
      <c r="AG12" s="33"/>
      <c r="AH12" s="33"/>
      <c r="AI12" s="33"/>
      <c r="AJ12" s="33"/>
      <c r="AK12" s="33"/>
      <c r="AL12" s="33"/>
      <c r="AM12" s="26"/>
      <c r="AN12" s="26"/>
    </row>
    <row r="13" ht="14.25" customHeight="1">
      <c r="A13" s="38" t="str">
        <f>AE9</f>
        <v>Alison Muscat</v>
      </c>
      <c r="B13" s="39">
        <v>6.0</v>
      </c>
      <c r="C13" s="40">
        <f>IF(B13&gt;B15,1,0)</f>
        <v>1</v>
      </c>
      <c r="D13" s="41"/>
      <c r="E13" s="39">
        <v>7.0</v>
      </c>
      <c r="F13" s="40">
        <f>IF(E13&gt;E15,1,0)</f>
        <v>1</v>
      </c>
      <c r="G13" s="41"/>
      <c r="H13" s="42"/>
      <c r="I13" s="26">
        <f>IF(H13&gt;H15,1,0)</f>
        <v>0</v>
      </c>
      <c r="J13" s="26">
        <f>IF(B13="",0,1)</f>
        <v>1</v>
      </c>
      <c r="K13" s="26">
        <f>IF(C13+F13=2,3,IF(C13+F13=1,1,0))</f>
        <v>3</v>
      </c>
      <c r="L13" s="26">
        <f>IF(K13=3,3,IF(I13+K13=2,2,IF(K13=1,1,0)))</f>
        <v>3</v>
      </c>
      <c r="M13" s="26">
        <f>B13+E13</f>
        <v>13</v>
      </c>
      <c r="N13" s="26">
        <f>C13+F13+I13</f>
        <v>2</v>
      </c>
      <c r="O13" s="26"/>
      <c r="P13" s="38" t="str">
        <f>AE9</f>
        <v>Alison Muscat</v>
      </c>
      <c r="Q13" s="39">
        <v>4.0</v>
      </c>
      <c r="R13" s="40">
        <f>IF(Q13&gt;Q15,1,0)</f>
        <v>0</v>
      </c>
      <c r="S13" s="41"/>
      <c r="T13" s="39">
        <v>2.0</v>
      </c>
      <c r="U13" s="40">
        <f>IF(T13&gt;T15,1,0)</f>
        <v>0</v>
      </c>
      <c r="V13" s="41"/>
      <c r="W13" s="42"/>
      <c r="X13" s="26">
        <f>IF(W13&gt;W15,1,0)</f>
        <v>0</v>
      </c>
      <c r="Y13" s="26">
        <f>IF(Q13="",0,1)</f>
        <v>1</v>
      </c>
      <c r="Z13" s="26">
        <f>IF(R13+U13=2,3,IF(R13+U13=1,1,0))</f>
        <v>0</v>
      </c>
      <c r="AA13" s="26">
        <f>IF(Z13=3,3,IF(X13+Z13=2,2,IF(Z13=1,1,0)))</f>
        <v>0</v>
      </c>
      <c r="AB13" s="26">
        <f>Q13+T13</f>
        <v>6</v>
      </c>
      <c r="AC13" s="26">
        <f>R13+U13+X13</f>
        <v>0</v>
      </c>
      <c r="AD13" s="26"/>
      <c r="AE13" s="108" t="str">
        <f>'Players - Ladies'!B8</f>
        <v>Annabelle Abela</v>
      </c>
      <c r="AF13" s="44">
        <f>Y29+Y11+Y33+J25+Y19</f>
        <v>5</v>
      </c>
      <c r="AG13" s="44">
        <f t="shared" ref="AG13:AI13" si="3">AA29+AA11+AA33+L25+AA19</f>
        <v>0</v>
      </c>
      <c r="AH13" s="44">
        <f t="shared" si="3"/>
        <v>26</v>
      </c>
      <c r="AI13" s="45">
        <f t="shared" si="3"/>
        <v>0</v>
      </c>
      <c r="AJ13" s="33"/>
      <c r="AK13" s="33"/>
      <c r="AL13" s="33"/>
      <c r="AM13" s="26"/>
      <c r="AN13" s="26"/>
    </row>
    <row r="14" ht="14.25" customHeight="1">
      <c r="A14" s="46" t="s">
        <v>71</v>
      </c>
      <c r="H14" s="47"/>
      <c r="I14" s="48"/>
      <c r="J14" s="26"/>
      <c r="K14" s="26"/>
      <c r="L14" s="26"/>
      <c r="M14" s="26"/>
      <c r="N14" s="26"/>
      <c r="O14" s="26"/>
      <c r="P14" s="46" t="s">
        <v>71</v>
      </c>
      <c r="W14" s="47"/>
      <c r="X14" s="48"/>
      <c r="Y14" s="26"/>
      <c r="Z14" s="26"/>
      <c r="AA14" s="26"/>
      <c r="AB14" s="26"/>
      <c r="AC14" s="26"/>
      <c r="AD14" s="26"/>
      <c r="AE14" s="26"/>
      <c r="AF14" s="33"/>
      <c r="AG14" s="33"/>
      <c r="AH14" s="33"/>
      <c r="AI14" s="33"/>
      <c r="AJ14" s="33"/>
      <c r="AK14" s="33"/>
      <c r="AL14" s="33"/>
      <c r="AM14" s="26"/>
      <c r="AN14" s="26"/>
    </row>
    <row r="15" ht="14.25" customHeight="1">
      <c r="A15" s="49" t="str">
        <f>AE15</f>
        <v>Alexia Gouder</v>
      </c>
      <c r="B15" s="39">
        <v>2.0</v>
      </c>
      <c r="C15" s="50">
        <f>IF(B15&gt;B13,1,0)</f>
        <v>0</v>
      </c>
      <c r="D15" s="51"/>
      <c r="E15" s="39">
        <v>5.0</v>
      </c>
      <c r="F15" s="50">
        <f>IF(E15&gt;E13,1,0)</f>
        <v>0</v>
      </c>
      <c r="G15" s="51"/>
      <c r="H15" s="42"/>
      <c r="I15" s="26">
        <f>IF(H15&gt;H13,1,0)</f>
        <v>0</v>
      </c>
      <c r="J15" s="26">
        <f>IF(B15="",0,1)</f>
        <v>1</v>
      </c>
      <c r="K15" s="26">
        <f>IF(C15+F15=2,3,IF(C15+F15=1,1,0))</f>
        <v>0</v>
      </c>
      <c r="L15" s="26">
        <f>IF(K15=3,3,IF(I15+K15=2,2,IF(K15=1,1,0)))</f>
        <v>0</v>
      </c>
      <c r="M15" s="26">
        <f>B15+E15</f>
        <v>7</v>
      </c>
      <c r="N15" s="26">
        <f>C15+F15+I15</f>
        <v>0</v>
      </c>
      <c r="O15" s="26"/>
      <c r="P15" s="49" t="str">
        <f>AE17</f>
        <v>Mirka Micallef</v>
      </c>
      <c r="Q15" s="39">
        <v>6.0</v>
      </c>
      <c r="R15" s="50">
        <f>IF(Q15&gt;Q13,1,0)</f>
        <v>1</v>
      </c>
      <c r="S15" s="51"/>
      <c r="T15" s="39">
        <v>6.0</v>
      </c>
      <c r="U15" s="50">
        <f>IF(T15&gt;T13,1,0)</f>
        <v>1</v>
      </c>
      <c r="V15" s="51"/>
      <c r="W15" s="42"/>
      <c r="X15" s="26">
        <f>IF(W15&gt;W13,1,0)</f>
        <v>0</v>
      </c>
      <c r="Y15" s="26">
        <f>IF(Q15="",0,1)</f>
        <v>1</v>
      </c>
      <c r="Z15" s="26">
        <f>IF(R15+U15=2,3,IF(R15+U15=1,1,0))</f>
        <v>3</v>
      </c>
      <c r="AA15" s="26">
        <f>IF(Z15=3,3,IF(X15+Z15=2,2,IF(Z15=1,1,0)))</f>
        <v>3</v>
      </c>
      <c r="AB15" s="26">
        <f>Q15+T15</f>
        <v>12</v>
      </c>
      <c r="AC15" s="26">
        <f>R15+U15+X15</f>
        <v>2</v>
      </c>
      <c r="AD15" s="26"/>
      <c r="AE15" s="108" t="str">
        <f>'Players - Ladies'!B9</f>
        <v>Alexia Gouder</v>
      </c>
      <c r="AF15" s="44">
        <f>Y31+J37+J15+Y23+J29</f>
        <v>5</v>
      </c>
      <c r="AG15" s="44">
        <f t="shared" ref="AG15:AI15" si="4">AA31+L37+L15+AA23+L29</f>
        <v>5</v>
      </c>
      <c r="AH15" s="44">
        <f t="shared" si="4"/>
        <v>44</v>
      </c>
      <c r="AI15" s="45">
        <f t="shared" si="4"/>
        <v>4</v>
      </c>
      <c r="AJ15" s="33"/>
      <c r="AK15" s="33"/>
      <c r="AL15" s="33"/>
      <c r="AM15" s="26"/>
      <c r="AN15" s="26"/>
    </row>
    <row r="16" ht="14.25" customHeight="1">
      <c r="A16" s="26"/>
      <c r="B16" s="33"/>
      <c r="C16" s="26"/>
      <c r="D16" s="26"/>
      <c r="E16" s="26"/>
      <c r="F16" s="26"/>
      <c r="G16" s="26"/>
      <c r="H16" s="50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50"/>
      <c r="X16" s="26"/>
      <c r="Y16" s="26"/>
      <c r="Z16" s="26"/>
      <c r="AA16" s="26"/>
      <c r="AB16" s="26"/>
      <c r="AC16" s="26"/>
      <c r="AD16" s="26"/>
      <c r="AE16" s="26"/>
      <c r="AF16" s="33"/>
      <c r="AG16" s="33"/>
      <c r="AH16" s="33"/>
      <c r="AI16" s="33"/>
      <c r="AJ16" s="33"/>
      <c r="AK16" s="33"/>
      <c r="AL16" s="33"/>
      <c r="AM16" s="26"/>
      <c r="AN16" s="26"/>
    </row>
    <row r="17" ht="14.25" customHeight="1">
      <c r="A17" s="38" t="str">
        <f>AE9</f>
        <v>Alison Muscat</v>
      </c>
      <c r="B17" s="39">
        <v>4.0</v>
      </c>
      <c r="C17" s="40">
        <f>IF(B17&gt;B19,1,0)</f>
        <v>0</v>
      </c>
      <c r="D17" s="41"/>
      <c r="E17" s="39">
        <v>6.0</v>
      </c>
      <c r="F17" s="40">
        <f>IF(E17&gt;E19,1,0)</f>
        <v>1</v>
      </c>
      <c r="G17" s="41"/>
      <c r="H17" s="39">
        <v>10.0</v>
      </c>
      <c r="I17" s="26">
        <f>IF(H17&gt;H19,1,0)</f>
        <v>1</v>
      </c>
      <c r="J17" s="26">
        <f>IF(B17="",0,1)</f>
        <v>1</v>
      </c>
      <c r="K17" s="26">
        <f>IF(C17+F17=2,3,IF(C17+F17=1,1,0))</f>
        <v>1</v>
      </c>
      <c r="L17" s="26">
        <f>IF(K17=3,3,IF(I17+K17=2,2,IF(K17=1,1,0)))</f>
        <v>2</v>
      </c>
      <c r="M17" s="26">
        <f>B17+E17</f>
        <v>10</v>
      </c>
      <c r="N17" s="26">
        <f>C17+F17+I17</f>
        <v>2</v>
      </c>
      <c r="O17" s="26"/>
      <c r="P17" s="38" t="str">
        <f>AE11</f>
        <v>Pamela Cohen</v>
      </c>
      <c r="Q17" s="39">
        <v>6.0</v>
      </c>
      <c r="R17" s="40">
        <f>IF(Q17&gt;Q19,1,0)</f>
        <v>1</v>
      </c>
      <c r="S17" s="41"/>
      <c r="T17" s="39">
        <v>6.0</v>
      </c>
      <c r="U17" s="40">
        <f>IF(T17&gt;T19,1,0)</f>
        <v>1</v>
      </c>
      <c r="V17" s="41"/>
      <c r="W17" s="42"/>
      <c r="X17" s="26">
        <f>IF(W17&gt;W19,1,0)</f>
        <v>0</v>
      </c>
      <c r="Y17" s="26">
        <f>IF(Q17="",0,1)</f>
        <v>1</v>
      </c>
      <c r="Z17" s="26">
        <f>IF(R17+U17=2,3,IF(R17+U17=1,1,0))</f>
        <v>3</v>
      </c>
      <c r="AA17" s="26">
        <f>IF(Z17=3,3,IF(X17+Z17=2,2,IF(Z17=1,1,0)))</f>
        <v>3</v>
      </c>
      <c r="AB17" s="26">
        <f>Q17+T17</f>
        <v>12</v>
      </c>
      <c r="AC17" s="26">
        <f>R17+U17+X17</f>
        <v>2</v>
      </c>
      <c r="AD17" s="26"/>
      <c r="AE17" s="108" t="str">
        <f>'Players - Ladies'!B10</f>
        <v>Mirka Micallef</v>
      </c>
      <c r="AF17" s="44">
        <f>J33+J39+J23+Y15+J27</f>
        <v>5</v>
      </c>
      <c r="AG17" s="44">
        <f t="shared" ref="AG17:AI17" si="5">L33+L39+L23+AA15+L27</f>
        <v>15</v>
      </c>
      <c r="AH17" s="44">
        <f t="shared" si="5"/>
        <v>62</v>
      </c>
      <c r="AI17" s="45">
        <f t="shared" si="5"/>
        <v>10</v>
      </c>
      <c r="AJ17" s="33"/>
      <c r="AK17" s="33"/>
      <c r="AL17" s="33"/>
      <c r="AM17" s="26"/>
      <c r="AN17" s="26"/>
    </row>
    <row r="18" ht="14.25" customHeight="1">
      <c r="A18" s="46" t="s">
        <v>71</v>
      </c>
      <c r="H18" s="47"/>
      <c r="I18" s="48"/>
      <c r="J18" s="26"/>
      <c r="K18" s="26"/>
      <c r="L18" s="26"/>
      <c r="M18" s="26"/>
      <c r="N18" s="26"/>
      <c r="O18" s="26"/>
      <c r="P18" s="46" t="s">
        <v>71</v>
      </c>
      <c r="W18" s="47"/>
      <c r="X18" s="48"/>
      <c r="Y18" s="26"/>
      <c r="Z18" s="26"/>
      <c r="AA18" s="26"/>
      <c r="AB18" s="26"/>
      <c r="AC18" s="26"/>
      <c r="AD18" s="26"/>
      <c r="AE18" s="26"/>
      <c r="AF18" s="33"/>
      <c r="AG18" s="33"/>
      <c r="AH18" s="33"/>
      <c r="AI18" s="33"/>
      <c r="AJ18" s="33"/>
      <c r="AK18" s="33"/>
      <c r="AL18" s="33"/>
      <c r="AM18" s="26"/>
      <c r="AN18" s="26"/>
    </row>
    <row r="19" ht="14.25" customHeight="1">
      <c r="A19" s="49" t="str">
        <f>AE19</f>
        <v>Diane Fenech</v>
      </c>
      <c r="B19" s="39">
        <v>6.0</v>
      </c>
      <c r="C19" s="50">
        <f>IF(B19&gt;B17,1,0)</f>
        <v>1</v>
      </c>
      <c r="D19" s="51"/>
      <c r="E19" s="39">
        <v>2.0</v>
      </c>
      <c r="F19" s="50">
        <f>IF(E19&gt;E17,1,0)</f>
        <v>0</v>
      </c>
      <c r="G19" s="51"/>
      <c r="H19" s="39">
        <v>5.0</v>
      </c>
      <c r="I19" s="26">
        <f>IF(H19&gt;H17,1,0)</f>
        <v>0</v>
      </c>
      <c r="J19" s="26">
        <f>IF(B19="",0,1)</f>
        <v>1</v>
      </c>
      <c r="K19" s="26">
        <f>IF(C19+F19=2,3,IF(C19+F19=1,1,0))</f>
        <v>1</v>
      </c>
      <c r="L19" s="26">
        <f>IF(K19=3,3,IF(I19+K19=2,2,IF(K19=1,1,0)))</f>
        <v>1</v>
      </c>
      <c r="M19" s="26">
        <f>B19+E19</f>
        <v>8</v>
      </c>
      <c r="N19" s="26">
        <f>C19+F19+I19</f>
        <v>1</v>
      </c>
      <c r="O19" s="26"/>
      <c r="P19" s="49" t="str">
        <f>AE13</f>
        <v>Annabelle Abela</v>
      </c>
      <c r="Q19" s="39">
        <v>2.0</v>
      </c>
      <c r="R19" s="50">
        <f>IF(Q19&gt;Q17,1,0)</f>
        <v>0</v>
      </c>
      <c r="S19" s="51"/>
      <c r="T19" s="39">
        <v>3.0</v>
      </c>
      <c r="U19" s="50">
        <f>IF(T19&gt;T17,1,0)</f>
        <v>0</v>
      </c>
      <c r="V19" s="51"/>
      <c r="W19" s="42"/>
      <c r="X19" s="26">
        <f>IF(W19&gt;W17,1,0)</f>
        <v>0</v>
      </c>
      <c r="Y19" s="26">
        <f>IF(Q19="",0,1)</f>
        <v>1</v>
      </c>
      <c r="Z19" s="26">
        <f>IF(R19+U19=2,3,IF(R19+U19=1,1,0))</f>
        <v>0</v>
      </c>
      <c r="AA19" s="26">
        <f>IF(Z19=3,3,IF(X19+Z19=2,2,IF(Z19=1,1,0)))</f>
        <v>0</v>
      </c>
      <c r="AB19" s="26">
        <f>Q19+T19</f>
        <v>5</v>
      </c>
      <c r="AC19" s="26">
        <f>R19+U19+X19</f>
        <v>0</v>
      </c>
      <c r="AD19" s="26"/>
      <c r="AE19" s="108" t="str">
        <f>'Players - Ladies'!B11</f>
        <v>Diane Fenech</v>
      </c>
      <c r="AF19" s="44">
        <f>J35+Y27+Y35+J19+J31</f>
        <v>5</v>
      </c>
      <c r="AG19" s="44">
        <f t="shared" ref="AG19:AI19" si="6">L35+AA27+AA35+L19+L31</f>
        <v>7</v>
      </c>
      <c r="AH19" s="44">
        <f t="shared" si="6"/>
        <v>46</v>
      </c>
      <c r="AI19" s="45">
        <f t="shared" si="6"/>
        <v>6</v>
      </c>
      <c r="AJ19" s="26"/>
      <c r="AK19" s="33"/>
      <c r="AL19" s="33"/>
      <c r="AM19" s="26"/>
      <c r="AN19" s="26"/>
    </row>
    <row r="20" ht="14.25" customHeight="1">
      <c r="A20" s="26"/>
      <c r="B20" s="26"/>
      <c r="C20" s="26"/>
      <c r="D20" s="26"/>
      <c r="E20" s="26"/>
      <c r="F20" s="26"/>
      <c r="G20" s="26"/>
      <c r="H20" s="50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50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33"/>
      <c r="AL20" s="26"/>
      <c r="AM20" s="26"/>
      <c r="AN20" s="26"/>
    </row>
    <row r="21" ht="14.25" customHeight="1">
      <c r="A21" s="38" t="str">
        <f>AE11</f>
        <v>Pamela Cohen</v>
      </c>
      <c r="B21" s="39">
        <v>4.0</v>
      </c>
      <c r="C21" s="40">
        <f>IF(B21&gt;B23,1,0)</f>
        <v>0</v>
      </c>
      <c r="D21" s="41"/>
      <c r="E21" s="39">
        <v>4.0</v>
      </c>
      <c r="F21" s="40">
        <f>IF(E21&gt;E23,1,0)</f>
        <v>0</v>
      </c>
      <c r="G21" s="41"/>
      <c r="H21" s="42"/>
      <c r="I21" s="26">
        <f>IF(H21&gt;H23,1,0)</f>
        <v>0</v>
      </c>
      <c r="J21" s="26">
        <f>IF(B21="",0,1)</f>
        <v>1</v>
      </c>
      <c r="K21" s="26">
        <f>IF(C21+F21=2,3,IF(C21+F21=1,1,0))</f>
        <v>0</v>
      </c>
      <c r="L21" s="26">
        <f>IF(K21=3,3,IF(I21+K21=2,2,IF(K21=1,1,0)))</f>
        <v>0</v>
      </c>
      <c r="M21" s="26">
        <f>B21+E21</f>
        <v>8</v>
      </c>
      <c r="N21" s="26">
        <f>C21+F21+I21</f>
        <v>0</v>
      </c>
      <c r="O21" s="26"/>
      <c r="P21" s="38" t="str">
        <f>AE11</f>
        <v>Pamela Cohen</v>
      </c>
      <c r="Q21" s="39">
        <v>6.0</v>
      </c>
      <c r="R21" s="40">
        <f>IF(Q21&gt;Q23,1,0)</f>
        <v>1</v>
      </c>
      <c r="S21" s="41"/>
      <c r="T21" s="39">
        <v>7.0</v>
      </c>
      <c r="U21" s="40">
        <f>IF(T21&gt;T23,1,0)</f>
        <v>1</v>
      </c>
      <c r="V21" s="41"/>
      <c r="W21" s="42"/>
      <c r="X21" s="26">
        <f>IF(W21&gt;W23,1,0)</f>
        <v>0</v>
      </c>
      <c r="Y21" s="26">
        <f>IF(Q21="",0,1)</f>
        <v>1</v>
      </c>
      <c r="Z21" s="26">
        <f>IF(R21+U21=2,3,IF(R21+U21=1,1,0))</f>
        <v>3</v>
      </c>
      <c r="AA21" s="26">
        <f>IF(Z21=3,3,IF(X21+Z21=2,2,IF(Z21=1,1,0)))</f>
        <v>3</v>
      </c>
      <c r="AB21" s="26">
        <f>Q21+T21</f>
        <v>13</v>
      </c>
      <c r="AC21" s="26">
        <f>R21+U21+X21</f>
        <v>2</v>
      </c>
      <c r="AD21" s="26"/>
      <c r="AE21" s="106" t="s">
        <v>77</v>
      </c>
      <c r="AF21" s="29"/>
      <c r="AG21" s="29"/>
      <c r="AH21" s="29"/>
      <c r="AI21" s="30"/>
      <c r="AJ21" s="26"/>
      <c r="AK21" s="26"/>
      <c r="AL21" s="26"/>
      <c r="AM21" s="26"/>
      <c r="AN21" s="26"/>
    </row>
    <row r="22" ht="14.25" customHeight="1">
      <c r="A22" s="46" t="s">
        <v>71</v>
      </c>
      <c r="H22" s="47"/>
      <c r="I22" s="48"/>
      <c r="J22" s="26"/>
      <c r="K22" s="26"/>
      <c r="L22" s="26"/>
      <c r="M22" s="26"/>
      <c r="N22" s="26"/>
      <c r="O22" s="26"/>
      <c r="P22" s="46" t="s">
        <v>71</v>
      </c>
      <c r="W22" s="47"/>
      <c r="X22" s="48"/>
      <c r="Y22" s="26"/>
      <c r="Z22" s="26"/>
      <c r="AA22" s="26"/>
      <c r="AB22" s="26"/>
      <c r="AC22" s="26"/>
      <c r="AD22" s="26"/>
      <c r="AE22" s="53" t="s">
        <v>90</v>
      </c>
      <c r="AF22" s="29"/>
      <c r="AG22" s="29"/>
      <c r="AH22" s="29"/>
      <c r="AI22" s="30"/>
      <c r="AJ22" s="26"/>
      <c r="AK22" s="33"/>
      <c r="AL22" s="26"/>
      <c r="AM22" s="26"/>
      <c r="AN22" s="26"/>
    </row>
    <row r="23" ht="14.25" customHeight="1">
      <c r="A23" s="49" t="str">
        <f>AE17</f>
        <v>Mirka Micallef</v>
      </c>
      <c r="B23" s="39">
        <v>6.0</v>
      </c>
      <c r="C23" s="50">
        <f>IF(B23&gt;B21,1,0)</f>
        <v>1</v>
      </c>
      <c r="D23" s="51"/>
      <c r="E23" s="39">
        <v>6.0</v>
      </c>
      <c r="F23" s="50">
        <f>IF(E23&gt;E21,1,0)</f>
        <v>1</v>
      </c>
      <c r="G23" s="51"/>
      <c r="H23" s="42"/>
      <c r="I23" s="26">
        <f>IF(H23&gt;H21,1,0)</f>
        <v>0</v>
      </c>
      <c r="J23" s="26">
        <f>IF(B23="",0,1)</f>
        <v>1</v>
      </c>
      <c r="K23" s="26">
        <f>IF(C23+F23=2,3,IF(C23+F23=1,1,0))</f>
        <v>3</v>
      </c>
      <c r="L23" s="26">
        <f>IF(K23=3,3,IF(I23+K23=2,2,IF(K23=1,1,0)))</f>
        <v>3</v>
      </c>
      <c r="M23" s="26">
        <f>B23+E23</f>
        <v>12</v>
      </c>
      <c r="N23" s="26">
        <f>C23+F23+I23</f>
        <v>2</v>
      </c>
      <c r="O23" s="26"/>
      <c r="P23" s="49" t="str">
        <f>AE15</f>
        <v>Alexia Gouder</v>
      </c>
      <c r="Q23" s="39">
        <v>3.0</v>
      </c>
      <c r="R23" s="50">
        <f>IF(Q23&gt;Q21,1,0)</f>
        <v>0</v>
      </c>
      <c r="S23" s="51"/>
      <c r="T23" s="39">
        <v>6.0</v>
      </c>
      <c r="U23" s="50">
        <f>IF(T23&gt;T21,1,0)</f>
        <v>0</v>
      </c>
      <c r="V23" s="51"/>
      <c r="W23" s="42"/>
      <c r="X23" s="26">
        <f>IF(W23&gt;W21,1,0)</f>
        <v>0</v>
      </c>
      <c r="Y23" s="26">
        <f>IF(Q23="",0,1)</f>
        <v>1</v>
      </c>
      <c r="Z23" s="26">
        <f>IF(R23+U23=2,3,IF(R23+U23=1,1,0))</f>
        <v>0</v>
      </c>
      <c r="AA23" s="26">
        <f>IF(Z23=3,3,IF(X23+Z23=2,2,IF(Z23=1,1,0)))</f>
        <v>0</v>
      </c>
      <c r="AB23" s="26">
        <f>Q23+T23</f>
        <v>9</v>
      </c>
      <c r="AC23" s="26">
        <f>R23+U23+X23</f>
        <v>0</v>
      </c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</row>
    <row r="24" ht="14.25" customHeight="1">
      <c r="A24" s="26"/>
      <c r="B24" s="26"/>
      <c r="C24" s="26"/>
      <c r="D24" s="26"/>
      <c r="E24" s="26"/>
      <c r="F24" s="26"/>
      <c r="G24" s="26"/>
      <c r="H24" s="50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50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</row>
    <row r="25" ht="14.25" customHeight="1">
      <c r="A25" s="38" t="str">
        <f>AE13</f>
        <v>Annabelle Abela</v>
      </c>
      <c r="B25" s="39">
        <v>3.0</v>
      </c>
      <c r="C25" s="40">
        <f>IF(B25&gt;B27,1,0)</f>
        <v>0</v>
      </c>
      <c r="D25" s="41"/>
      <c r="E25" s="39">
        <v>2.0</v>
      </c>
      <c r="F25" s="40">
        <f>IF(E25&gt;E27,1,0)</f>
        <v>0</v>
      </c>
      <c r="G25" s="41"/>
      <c r="H25" s="42"/>
      <c r="I25" s="26">
        <f>IF(H25&gt;H27,1,0)</f>
        <v>0</v>
      </c>
      <c r="J25" s="26">
        <f>IF(B25="",0,1)</f>
        <v>1</v>
      </c>
      <c r="K25" s="26">
        <f>IF(C25+F25=2,3,IF(C25+F25=1,1,0))</f>
        <v>0</v>
      </c>
      <c r="L25" s="26">
        <f>IF(K25=3,3,IF(I25+K25=2,2,IF(K25=1,1,0)))</f>
        <v>0</v>
      </c>
      <c r="M25" s="26">
        <f>B25+E25</f>
        <v>5</v>
      </c>
      <c r="N25" s="26">
        <f>C25+F25+I25</f>
        <v>0</v>
      </c>
      <c r="O25" s="26"/>
      <c r="P25" s="38" t="str">
        <f>AE11</f>
        <v>Pamela Cohen</v>
      </c>
      <c r="Q25" s="39">
        <v>6.0</v>
      </c>
      <c r="R25" s="40">
        <f>IF(Q25&gt;Q27,1,0)</f>
        <v>1</v>
      </c>
      <c r="S25" s="41"/>
      <c r="T25" s="39">
        <v>2.0</v>
      </c>
      <c r="U25" s="40">
        <f>IF(T25&gt;T27,1,0)</f>
        <v>0</v>
      </c>
      <c r="V25" s="41"/>
      <c r="W25" s="39">
        <v>4.0</v>
      </c>
      <c r="X25" s="26">
        <f>IF(W25&gt;W27,1,0)</f>
        <v>0</v>
      </c>
      <c r="Y25" s="26">
        <f>IF(Q25="",0,1)</f>
        <v>1</v>
      </c>
      <c r="Z25" s="26">
        <f>IF(R25+U25=2,3,IF(R25+U25=1,1,0))</f>
        <v>1</v>
      </c>
      <c r="AA25" s="26">
        <f>IF(Z25=3,3,IF(X25+Z25=2,2,IF(Z25=1,1,0)))</f>
        <v>1</v>
      </c>
      <c r="AB25" s="26">
        <f>Q25+T25</f>
        <v>8</v>
      </c>
      <c r="AC25" s="26">
        <f>R25+U25+X25</f>
        <v>1</v>
      </c>
      <c r="AD25" s="26"/>
      <c r="AE25" s="109" t="s">
        <v>78</v>
      </c>
      <c r="AF25" s="29"/>
      <c r="AG25" s="29"/>
      <c r="AH25" s="29"/>
      <c r="AI25" s="30"/>
      <c r="AJ25" s="26"/>
      <c r="AK25" s="26"/>
      <c r="AL25" s="26"/>
      <c r="AM25" s="26"/>
      <c r="AN25" s="26"/>
    </row>
    <row r="26" ht="14.25" customHeight="1">
      <c r="A26" s="46" t="s">
        <v>71</v>
      </c>
      <c r="H26" s="47"/>
      <c r="I26" s="48"/>
      <c r="J26" s="26"/>
      <c r="K26" s="26"/>
      <c r="L26" s="26"/>
      <c r="M26" s="26"/>
      <c r="N26" s="26"/>
      <c r="O26" s="26"/>
      <c r="P26" s="46" t="s">
        <v>71</v>
      </c>
      <c r="W26" s="47"/>
      <c r="X26" s="48"/>
      <c r="Y26" s="26"/>
      <c r="Z26" s="26"/>
      <c r="AA26" s="26"/>
      <c r="AB26" s="26"/>
      <c r="AC26" s="26"/>
      <c r="AD26" s="26"/>
      <c r="AE26" s="53" t="s">
        <v>87</v>
      </c>
      <c r="AF26" s="29"/>
      <c r="AG26" s="29"/>
      <c r="AH26" s="29"/>
      <c r="AI26" s="30"/>
      <c r="AJ26" s="26"/>
      <c r="AK26" s="26"/>
      <c r="AL26" s="26"/>
      <c r="AM26" s="26"/>
      <c r="AN26" s="26"/>
    </row>
    <row r="27" ht="14.25" customHeight="1">
      <c r="A27" s="49" t="str">
        <f>AE17</f>
        <v>Mirka Micallef</v>
      </c>
      <c r="B27" s="39">
        <v>6.0</v>
      </c>
      <c r="C27" s="50">
        <f>IF(B27&gt;B25,1,0)</f>
        <v>1</v>
      </c>
      <c r="D27" s="51"/>
      <c r="E27" s="39">
        <v>6.0</v>
      </c>
      <c r="F27" s="50">
        <f>IF(E27&gt;E25,1,0)</f>
        <v>1</v>
      </c>
      <c r="G27" s="51"/>
      <c r="H27" s="42"/>
      <c r="I27" s="26">
        <f>IF(H27&gt;H25,1,0)</f>
        <v>0</v>
      </c>
      <c r="J27" s="26">
        <f>IF(B27="",0,1)</f>
        <v>1</v>
      </c>
      <c r="K27" s="26">
        <f>IF(C27+F27=2,3,IF(C27+F27=1,1,0))</f>
        <v>3</v>
      </c>
      <c r="L27" s="26">
        <f>IF(K27=3,3,IF(I27+K27=2,2,IF(K27=1,1,0)))</f>
        <v>3</v>
      </c>
      <c r="M27" s="26">
        <f>B27+E27</f>
        <v>12</v>
      </c>
      <c r="N27" s="26">
        <f>C27+F27+I27</f>
        <v>2</v>
      </c>
      <c r="O27" s="26"/>
      <c r="P27" s="49" t="str">
        <f>AE19</f>
        <v>Diane Fenech</v>
      </c>
      <c r="Q27" s="39">
        <v>3.0</v>
      </c>
      <c r="R27" s="50">
        <f>IF(Q27&gt;Q25,1,0)</f>
        <v>0</v>
      </c>
      <c r="S27" s="51"/>
      <c r="T27" s="39">
        <v>6.0</v>
      </c>
      <c r="U27" s="50">
        <f>IF(T27&gt;T25,1,0)</f>
        <v>1</v>
      </c>
      <c r="V27" s="51"/>
      <c r="W27" s="39">
        <v>10.0</v>
      </c>
      <c r="X27" s="26">
        <f>IF(W27&gt;W25,1,0)</f>
        <v>1</v>
      </c>
      <c r="Y27" s="26">
        <f>IF(Q27="",0,1)</f>
        <v>1</v>
      </c>
      <c r="Z27" s="26">
        <f>IF(R27+U27=2,3,IF(R27+U27=1,1,0))</f>
        <v>1</v>
      </c>
      <c r="AA27" s="26">
        <f>IF(Z27=3,3,IF(X27+Z27=2,2,IF(Z27=1,1,0)))</f>
        <v>2</v>
      </c>
      <c r="AB27" s="26">
        <f>Q27+T27</f>
        <v>9</v>
      </c>
      <c r="AC27" s="26">
        <f>R27+U27+X27</f>
        <v>2</v>
      </c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</row>
    <row r="28" ht="14.25" customHeight="1">
      <c r="A28" s="26"/>
      <c r="B28" s="26"/>
      <c r="C28" s="26"/>
      <c r="D28" s="26"/>
      <c r="E28" s="26"/>
      <c r="F28" s="26"/>
      <c r="G28" s="26"/>
      <c r="H28" s="50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50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33"/>
      <c r="AI28" s="26"/>
      <c r="AJ28" s="26"/>
      <c r="AK28" s="26"/>
      <c r="AL28" s="26"/>
      <c r="AM28" s="26"/>
      <c r="AN28" s="26"/>
    </row>
    <row r="29" ht="14.25" customHeight="1">
      <c r="A29" s="38" t="str">
        <f>AE15</f>
        <v>Alexia Gouder</v>
      </c>
      <c r="B29" s="39">
        <v>4.0</v>
      </c>
      <c r="C29" s="40">
        <f>IF(B29&gt;B31,1,0)</f>
        <v>0</v>
      </c>
      <c r="D29" s="41"/>
      <c r="E29" s="39">
        <v>6.0</v>
      </c>
      <c r="F29" s="40">
        <f>IF(E29&gt;E31,1,0)</f>
        <v>1</v>
      </c>
      <c r="G29" s="41"/>
      <c r="H29" s="39">
        <v>10.0</v>
      </c>
      <c r="I29" s="26">
        <f>IF(H29&gt;H31,1,0)</f>
        <v>1</v>
      </c>
      <c r="J29" s="26">
        <f>IF(B29="",0,1)</f>
        <v>1</v>
      </c>
      <c r="K29" s="26">
        <f>IF(C29+F29=2,3,IF(C29+F29=1,1,0))</f>
        <v>1</v>
      </c>
      <c r="L29" s="26">
        <f>IF(K29=3,3,IF(I29+K29=2,2,IF(K29=1,1,0)))</f>
        <v>2</v>
      </c>
      <c r="M29" s="26">
        <f>B29+E29</f>
        <v>10</v>
      </c>
      <c r="N29" s="26">
        <f>C29+F29+I29</f>
        <v>2</v>
      </c>
      <c r="O29" s="26"/>
      <c r="P29" s="38" t="str">
        <f>AE13</f>
        <v>Annabelle Abela</v>
      </c>
      <c r="Q29" s="39">
        <v>0.0</v>
      </c>
      <c r="R29" s="40">
        <f>IF(Q29&gt;Q31,1,0)</f>
        <v>0</v>
      </c>
      <c r="S29" s="41"/>
      <c r="T29" s="39">
        <v>1.0</v>
      </c>
      <c r="U29" s="40">
        <f>IF(T29&gt;T31,1,0)</f>
        <v>0</v>
      </c>
      <c r="V29" s="41"/>
      <c r="W29" s="42"/>
      <c r="X29" s="26">
        <f>IF(W29&gt;W31,1,0)</f>
        <v>0</v>
      </c>
      <c r="Y29" s="26">
        <f>IF(Q29="",0,1)</f>
        <v>1</v>
      </c>
      <c r="Z29" s="26">
        <f>IF(R29+U29=2,3,IF(R29+U29=1,1,0))</f>
        <v>0</v>
      </c>
      <c r="AA29" s="26">
        <f>IF(Z29=3,3,IF(X29+Z29=2,2,IF(Z29=1,1,0)))</f>
        <v>0</v>
      </c>
      <c r="AB29" s="26">
        <f>Q29+T29</f>
        <v>1</v>
      </c>
      <c r="AC29" s="26">
        <f>R29+U29+X29</f>
        <v>0</v>
      </c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</row>
    <row r="30" ht="14.25" customHeight="1">
      <c r="A30" s="46" t="s">
        <v>71</v>
      </c>
      <c r="H30" s="47"/>
      <c r="I30" s="48"/>
      <c r="J30" s="26"/>
      <c r="K30" s="26"/>
      <c r="L30" s="26"/>
      <c r="M30" s="26"/>
      <c r="N30" s="26"/>
      <c r="O30" s="26"/>
      <c r="P30" s="46" t="s">
        <v>71</v>
      </c>
      <c r="W30" s="47"/>
      <c r="X30" s="48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54"/>
      <c r="AM30" s="26"/>
      <c r="AN30" s="26"/>
    </row>
    <row r="31" ht="14.25" customHeight="1">
      <c r="A31" s="49" t="str">
        <f>AE19</f>
        <v>Diane Fenech</v>
      </c>
      <c r="B31" s="39">
        <v>6.0</v>
      </c>
      <c r="C31" s="50">
        <f>IF(B31&gt;B29,1,0)</f>
        <v>1</v>
      </c>
      <c r="D31" s="51"/>
      <c r="E31" s="39">
        <v>3.0</v>
      </c>
      <c r="F31" s="50">
        <f>IF(E31&gt;E29,1,0)</f>
        <v>0</v>
      </c>
      <c r="G31" s="51"/>
      <c r="H31" s="39">
        <v>7.0</v>
      </c>
      <c r="I31" s="26">
        <f>IF(H31&gt;H29,1,0)</f>
        <v>0</v>
      </c>
      <c r="J31" s="26">
        <f>IF(B31="",0,1)</f>
        <v>1</v>
      </c>
      <c r="K31" s="26">
        <f>IF(C31+F31=2,3,IF(C31+F31=1,1,0))</f>
        <v>1</v>
      </c>
      <c r="L31" s="26">
        <f>IF(K31=3,3,IF(I31+K31=2,2,IF(K31=1,1,0)))</f>
        <v>1</v>
      </c>
      <c r="M31" s="26">
        <f>B31+E31</f>
        <v>9</v>
      </c>
      <c r="N31" s="26">
        <f>C31+F31+I31</f>
        <v>1</v>
      </c>
      <c r="O31" s="26"/>
      <c r="P31" s="49" t="str">
        <f>AE15</f>
        <v>Alexia Gouder</v>
      </c>
      <c r="Q31" s="39">
        <v>6.0</v>
      </c>
      <c r="R31" s="50">
        <f>IF(Q31&gt;Q29,1,0)</f>
        <v>1</v>
      </c>
      <c r="S31" s="51"/>
      <c r="T31" s="39">
        <v>6.0</v>
      </c>
      <c r="U31" s="50">
        <f>IF(T31&gt;T29,1,0)</f>
        <v>1</v>
      </c>
      <c r="V31" s="51"/>
      <c r="W31" s="42"/>
      <c r="X31" s="26">
        <f>IF(W31&gt;W29,1,0)</f>
        <v>0</v>
      </c>
      <c r="Y31" s="26">
        <f>IF(Q31="",0,1)</f>
        <v>1</v>
      </c>
      <c r="Z31" s="26">
        <f>IF(R31+U31=2,3,IF(R31+U31=1,1,0))</f>
        <v>3</v>
      </c>
      <c r="AA31" s="26">
        <f>IF(Z31=3,3,IF(X31+Z31=2,2,IF(Z31=1,1,0)))</f>
        <v>3</v>
      </c>
      <c r="AB31" s="26">
        <f>Q31+T31</f>
        <v>12</v>
      </c>
      <c r="AC31" s="26">
        <f>R31+U31+X31</f>
        <v>2</v>
      </c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33"/>
    </row>
    <row r="32" ht="14.25" customHeight="1">
      <c r="A32" s="26"/>
      <c r="B32" s="26"/>
      <c r="C32" s="26"/>
      <c r="D32" s="26"/>
      <c r="E32" s="26"/>
      <c r="F32" s="26"/>
      <c r="G32" s="26"/>
      <c r="H32" s="50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50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54"/>
      <c r="AM32" s="26"/>
      <c r="AN32" s="26"/>
    </row>
    <row r="33" ht="14.25" customHeight="1">
      <c r="A33" s="38" t="str">
        <f>AE17</f>
        <v>Mirka Micallef</v>
      </c>
      <c r="B33" s="39">
        <v>7.0</v>
      </c>
      <c r="C33" s="40">
        <f>IF(B33&gt;B35,1,0)</f>
        <v>1</v>
      </c>
      <c r="D33" s="41"/>
      <c r="E33" s="39">
        <v>6.0</v>
      </c>
      <c r="F33" s="40">
        <f>IF(E33&gt;E35,1,0)</f>
        <v>1</v>
      </c>
      <c r="G33" s="41"/>
      <c r="H33" s="42"/>
      <c r="I33" s="26">
        <f>IF(H33&gt;H35,1,0)</f>
        <v>0</v>
      </c>
      <c r="J33" s="26">
        <f>IF(B33="",0,1)</f>
        <v>1</v>
      </c>
      <c r="K33" s="26">
        <f>IF(C33+F33=2,3,IF(C33+F33=1,1,0))</f>
        <v>3</v>
      </c>
      <c r="L33" s="26">
        <f>IF(K33=3,3,IF(I33+K33=2,2,IF(K33=1,1,0)))</f>
        <v>3</v>
      </c>
      <c r="M33" s="26">
        <f>B33+E33</f>
        <v>13</v>
      </c>
      <c r="N33" s="26">
        <f>C33+F33+I33</f>
        <v>2</v>
      </c>
      <c r="O33" s="26"/>
      <c r="P33" s="38" t="str">
        <f>AE13</f>
        <v>Annabelle Abela</v>
      </c>
      <c r="Q33" s="39">
        <v>3.0</v>
      </c>
      <c r="R33" s="40">
        <f>IF(Q33&gt;Q35,1,0)</f>
        <v>0</v>
      </c>
      <c r="S33" s="41"/>
      <c r="T33" s="39">
        <v>4.0</v>
      </c>
      <c r="U33" s="40">
        <f>IF(T33&gt;T35,1,0)</f>
        <v>0</v>
      </c>
      <c r="V33" s="41"/>
      <c r="W33" s="42"/>
      <c r="X33" s="26">
        <f>IF(W33&gt;W35,1,0)</f>
        <v>0</v>
      </c>
      <c r="Y33" s="26">
        <f>IF(Q33="",0,1)</f>
        <v>1</v>
      </c>
      <c r="Z33" s="26">
        <f>IF(R33+U33=2,3,IF(R33+U33=1,1,0))</f>
        <v>0</v>
      </c>
      <c r="AA33" s="26">
        <f>IF(Z33=3,3,IF(X33+Z33=2,2,IF(Z33=1,1,0)))</f>
        <v>0</v>
      </c>
      <c r="AB33" s="26">
        <f>Q33+T33</f>
        <v>7</v>
      </c>
      <c r="AC33" s="26">
        <f>R33+U33+X33</f>
        <v>0</v>
      </c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</row>
    <row r="34" ht="14.25" customHeight="1">
      <c r="A34" s="46" t="s">
        <v>71</v>
      </c>
      <c r="H34" s="47"/>
      <c r="I34" s="48"/>
      <c r="J34" s="26"/>
      <c r="K34" s="26"/>
      <c r="L34" s="26"/>
      <c r="M34" s="26"/>
      <c r="N34" s="26"/>
      <c r="O34" s="26"/>
      <c r="P34" s="46" t="s">
        <v>71</v>
      </c>
      <c r="W34" s="47"/>
      <c r="X34" s="48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</row>
    <row r="35" ht="14.25" customHeight="1">
      <c r="A35" s="49" t="str">
        <f>AE19</f>
        <v>Diane Fenech</v>
      </c>
      <c r="B35" s="39">
        <v>5.0</v>
      </c>
      <c r="C35" s="50">
        <f>IF(B35&gt;B33,1,0)</f>
        <v>0</v>
      </c>
      <c r="D35" s="51"/>
      <c r="E35" s="39">
        <v>3.0</v>
      </c>
      <c r="F35" s="50">
        <f>IF(E35&gt;E33,1,0)</f>
        <v>0</v>
      </c>
      <c r="G35" s="51"/>
      <c r="H35" s="42"/>
      <c r="I35" s="26">
        <f>IF(H35&gt;H33,1,0)</f>
        <v>0</v>
      </c>
      <c r="J35" s="26">
        <f>IF(B35="",0,1)</f>
        <v>1</v>
      </c>
      <c r="K35" s="26">
        <f>IF(C35+F35=2,3,IF(C35+F35=1,1,0))</f>
        <v>0</v>
      </c>
      <c r="L35" s="26">
        <f>IF(K35=3,3,IF(I35+K35=2,2,IF(K35=1,1,0)))</f>
        <v>0</v>
      </c>
      <c r="M35" s="26">
        <f>B35+E35</f>
        <v>8</v>
      </c>
      <c r="N35" s="26">
        <f>C35+F35+I35</f>
        <v>0</v>
      </c>
      <c r="O35" s="26"/>
      <c r="P35" s="49" t="str">
        <f>AE19</f>
        <v>Diane Fenech</v>
      </c>
      <c r="Q35" s="39">
        <v>6.0</v>
      </c>
      <c r="R35" s="50">
        <f>IF(Q35&gt;Q33,1,0)</f>
        <v>1</v>
      </c>
      <c r="S35" s="51"/>
      <c r="T35" s="39">
        <v>6.0</v>
      </c>
      <c r="U35" s="50">
        <f>IF(T35&gt;T33,1,0)</f>
        <v>1</v>
      </c>
      <c r="V35" s="51"/>
      <c r="W35" s="42"/>
      <c r="X35" s="26">
        <f>IF(W35&gt;W33,1,0)</f>
        <v>0</v>
      </c>
      <c r="Y35" s="26">
        <f>IF(Q35="",0,1)</f>
        <v>1</v>
      </c>
      <c r="Z35" s="26">
        <f>IF(R35+U35=2,3,IF(R35+U35=1,1,0))</f>
        <v>3</v>
      </c>
      <c r="AA35" s="26">
        <f>IF(Z35=3,3,IF(X35+Z35=2,2,IF(Z35=1,1,0)))</f>
        <v>3</v>
      </c>
      <c r="AB35" s="26">
        <f>Q35+T35</f>
        <v>12</v>
      </c>
      <c r="AC35" s="26">
        <f>R35+U35+X35</f>
        <v>2</v>
      </c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</row>
    <row r="36" ht="14.25" customHeight="1">
      <c r="A36" s="26"/>
      <c r="B36" s="55"/>
      <c r="C36" s="26"/>
      <c r="D36" s="26"/>
      <c r="E36" s="26"/>
      <c r="F36" s="26"/>
      <c r="G36" s="26"/>
      <c r="H36" s="50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33"/>
      <c r="AI36" s="26"/>
      <c r="AJ36" s="26"/>
      <c r="AK36" s="33"/>
      <c r="AL36" s="26"/>
      <c r="AM36" s="26"/>
      <c r="AN36" s="26"/>
    </row>
    <row r="37" ht="14.25" customHeight="1">
      <c r="A37" s="38" t="str">
        <f>AE15</f>
        <v>Alexia Gouder</v>
      </c>
      <c r="B37" s="39">
        <v>5.0</v>
      </c>
      <c r="C37" s="40">
        <f>IF(B37&gt;B39,1,0)</f>
        <v>0</v>
      </c>
      <c r="D37" s="41"/>
      <c r="E37" s="39">
        <v>1.0</v>
      </c>
      <c r="F37" s="40">
        <f>IF(E37&gt;E39,1,0)</f>
        <v>0</v>
      </c>
      <c r="G37" s="41"/>
      <c r="H37" s="42"/>
      <c r="I37" s="26">
        <f>IF(H37&gt;H39,1,0)</f>
        <v>0</v>
      </c>
      <c r="J37" s="26">
        <f>IF(B37="",0,1)</f>
        <v>1</v>
      </c>
      <c r="K37" s="26">
        <f>IF(C37+F37=2,3,IF(C37+F37=1,1,0))</f>
        <v>0</v>
      </c>
      <c r="L37" s="26">
        <f>IF(K37=3,3,IF(I37+K37=2,2,IF(K37=1,1,0)))</f>
        <v>0</v>
      </c>
      <c r="M37" s="26">
        <f>B37+E37</f>
        <v>6</v>
      </c>
      <c r="N37" s="26">
        <f>C37+F37+I37</f>
        <v>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33"/>
      <c r="AL37" s="26"/>
      <c r="AM37" s="26"/>
      <c r="AN37" s="26"/>
    </row>
    <row r="38" ht="14.25" customHeight="1">
      <c r="A38" s="46" t="s">
        <v>71</v>
      </c>
      <c r="H38" s="47"/>
      <c r="I38" s="48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56"/>
      <c r="AK38" s="26"/>
      <c r="AL38" s="26"/>
      <c r="AM38" s="26"/>
      <c r="AN38" s="26"/>
    </row>
    <row r="39" ht="14.25" customHeight="1">
      <c r="A39" s="49" t="str">
        <f>AE17</f>
        <v>Mirka Micallef</v>
      </c>
      <c r="B39" s="39">
        <v>7.0</v>
      </c>
      <c r="C39" s="50">
        <f>IF(B39&gt;B37,1,0)</f>
        <v>1</v>
      </c>
      <c r="D39" s="51"/>
      <c r="E39" s="39">
        <v>6.0</v>
      </c>
      <c r="F39" s="50">
        <f>IF(E39&gt;E37,1,0)</f>
        <v>1</v>
      </c>
      <c r="G39" s="51"/>
      <c r="H39" s="42"/>
      <c r="I39" s="26">
        <f>IF(H39&gt;H37,1,0)</f>
        <v>0</v>
      </c>
      <c r="J39" s="26">
        <f>IF(B39="",0,1)</f>
        <v>1</v>
      </c>
      <c r="K39" s="26">
        <f>IF(C39+F39=2,3,IF(C39+F39=1,1,0))</f>
        <v>3</v>
      </c>
      <c r="L39" s="26">
        <f>IF(K39=3,3,IF(I39+K39=2,2,IF(K39=1,1,0)))</f>
        <v>3</v>
      </c>
      <c r="M39" s="26">
        <f>B39+E39</f>
        <v>13</v>
      </c>
      <c r="N39" s="26">
        <f>C39+F39+I39</f>
        <v>2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</row>
    <row r="40" ht="14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</row>
    <row r="41" ht="14.2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56"/>
      <c r="AK41" s="26"/>
      <c r="AL41" s="26"/>
      <c r="AM41" s="26"/>
      <c r="AN41" s="26"/>
    </row>
    <row r="42" ht="14.2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</row>
    <row r="43" ht="14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</row>
    <row r="44" ht="14.2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</row>
    <row r="45" ht="14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</row>
    <row r="46" ht="14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56"/>
      <c r="AK46" s="26"/>
      <c r="AL46" s="33"/>
      <c r="AM46" s="26"/>
      <c r="AN46" s="26"/>
    </row>
    <row r="47" ht="14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</row>
    <row r="48" ht="14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</row>
    <row r="49" ht="14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</row>
    <row r="50" ht="14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</row>
    <row r="51" ht="14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56"/>
      <c r="AK51" s="26"/>
      <c r="AL51" s="26"/>
      <c r="AM51" s="26"/>
      <c r="AN51" s="33"/>
    </row>
    <row r="52" ht="14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</row>
    <row r="53" ht="14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</row>
    <row r="54" ht="14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</row>
    <row r="55" ht="14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33"/>
      <c r="AI55" s="26"/>
      <c r="AJ55" s="26"/>
      <c r="AK55" s="33"/>
      <c r="AL55" s="26"/>
      <c r="AM55" s="26"/>
      <c r="AN55" s="26"/>
    </row>
    <row r="56" ht="14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</row>
    <row r="57" ht="14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</row>
    <row r="58" ht="14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</row>
    <row r="59" ht="14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</row>
    <row r="60" ht="14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</row>
    <row r="61" ht="14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</row>
    <row r="62" ht="14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</row>
    <row r="63" ht="14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</row>
    <row r="64" ht="14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</row>
    <row r="65" ht="14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</row>
    <row r="66" ht="14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</row>
    <row r="67" ht="14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</row>
    <row r="68" ht="14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</row>
    <row r="69" ht="14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</row>
    <row r="70" ht="14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</row>
    <row r="71" ht="14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</row>
    <row r="72" ht="14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</row>
    <row r="73" ht="14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</row>
    <row r="74" ht="14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</row>
    <row r="75" ht="14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</row>
    <row r="76" ht="14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</row>
    <row r="77" ht="14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</row>
    <row r="78" ht="14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</row>
    <row r="79" ht="14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</row>
    <row r="80" ht="14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</row>
    <row r="81" ht="14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</row>
    <row r="82" ht="14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</row>
    <row r="83" ht="14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</row>
    <row r="84" ht="14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</row>
    <row r="85" ht="14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</row>
    <row r="86" ht="14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</row>
    <row r="87" ht="14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</row>
    <row r="88" ht="14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</row>
    <row r="89" ht="14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</row>
    <row r="90" ht="14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</row>
    <row r="91" ht="14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</row>
    <row r="92" ht="14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</row>
    <row r="93" ht="14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ht="14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ht="14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</row>
    <row r="96" ht="14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</row>
    <row r="97" ht="14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</row>
    <row r="98" ht="14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</row>
    <row r="99" ht="14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</row>
    <row r="100" ht="14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</row>
    <row r="101" ht="14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</row>
    <row r="102" ht="14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</row>
    <row r="103" ht="14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</row>
    <row r="104" ht="14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</row>
    <row r="105" ht="14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33"/>
      <c r="R105" s="33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</row>
    <row r="106" ht="14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</row>
    <row r="107" ht="14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</row>
    <row r="108" ht="14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</row>
    <row r="109" ht="14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ht="14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ht="14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</row>
    <row r="112" ht="14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</row>
    <row r="113" ht="14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</row>
    <row r="114" ht="14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</row>
    <row r="115" ht="14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</row>
    <row r="116" ht="14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</row>
    <row r="117" ht="14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</row>
    <row r="118" ht="14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</row>
    <row r="119" ht="14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</row>
    <row r="120" ht="14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</row>
    <row r="121" ht="14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</row>
    <row r="122" ht="14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</row>
    <row r="123" ht="14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</row>
    <row r="124" ht="14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</row>
    <row r="125" ht="14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</row>
    <row r="126" ht="14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</row>
    <row r="127" ht="14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</row>
    <row r="128" ht="14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</row>
    <row r="129" ht="14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</row>
    <row r="130" ht="14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</row>
    <row r="131" ht="14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</row>
    <row r="132" ht="14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</row>
    <row r="133" ht="14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</row>
    <row r="134" ht="14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</row>
    <row r="135" ht="14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</row>
    <row r="136" ht="14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</row>
    <row r="137" ht="14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</row>
    <row r="138" ht="14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</row>
    <row r="139" ht="14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</row>
    <row r="140" ht="14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</row>
    <row r="141" ht="14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</row>
    <row r="142" ht="14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</row>
    <row r="143" ht="14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</row>
    <row r="144" ht="14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</row>
    <row r="145" ht="14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</row>
    <row r="146" ht="14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</row>
    <row r="147" ht="14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</row>
    <row r="148" ht="14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</row>
    <row r="149" ht="14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</row>
    <row r="150" ht="14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</row>
    <row r="151" ht="14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</row>
    <row r="152" ht="14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</row>
    <row r="153" ht="14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</row>
    <row r="154" ht="14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</row>
    <row r="155" ht="14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</row>
    <row r="156" ht="14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</row>
    <row r="157" ht="14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</row>
    <row r="158" ht="14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</row>
    <row r="159" ht="14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</row>
    <row r="160" ht="14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</row>
    <row r="161" ht="14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</row>
    <row r="162" ht="14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</row>
    <row r="163" ht="14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</row>
    <row r="164" ht="14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</row>
    <row r="165" ht="14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</row>
    <row r="166" ht="14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</row>
    <row r="167" ht="14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</row>
    <row r="168" ht="14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</row>
    <row r="169" ht="14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</row>
    <row r="170" ht="14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</row>
    <row r="171" ht="14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</row>
    <row r="172" ht="14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</row>
    <row r="173" ht="14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</row>
    <row r="174" ht="14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</row>
    <row r="175" ht="14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</row>
    <row r="176" ht="14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</row>
    <row r="177" ht="14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</row>
    <row r="178" ht="14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</row>
    <row r="179" ht="14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</row>
    <row r="180" ht="14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</row>
    <row r="181" ht="14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</row>
    <row r="182" ht="14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</row>
    <row r="183" ht="14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</row>
    <row r="184" ht="14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</row>
    <row r="185" ht="14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</row>
    <row r="186" ht="14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</row>
    <row r="187" ht="14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</row>
    <row r="188" ht="14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</row>
    <row r="189" ht="14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</row>
    <row r="190" ht="14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</row>
    <row r="191" ht="14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</row>
    <row r="192" ht="14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</row>
    <row r="193" ht="14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</row>
    <row r="194" ht="14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</row>
    <row r="195" ht="14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</row>
    <row r="196" ht="14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</row>
    <row r="197" ht="14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</row>
    <row r="198" ht="14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</row>
    <row r="199" ht="14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</row>
    <row r="200" ht="14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</row>
    <row r="201" ht="14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</row>
    <row r="202" ht="14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</row>
    <row r="203" ht="14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</row>
    <row r="204" ht="14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</row>
    <row r="205" ht="14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</row>
    <row r="206" ht="14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</row>
    <row r="207" ht="14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</row>
    <row r="208" ht="14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</row>
    <row r="209" ht="14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</row>
    <row r="210" ht="14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</row>
    <row r="211" ht="14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</row>
    <row r="212" ht="14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</row>
    <row r="213" ht="14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</row>
    <row r="214" ht="14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</row>
    <row r="215" ht="14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</row>
    <row r="216" ht="14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</row>
    <row r="217" ht="14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</row>
    <row r="218" ht="14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</row>
    <row r="219" ht="14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</row>
    <row r="220" ht="14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</row>
    <row r="221" ht="14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</row>
    <row r="222" ht="14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</row>
    <row r="223" ht="14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</row>
    <row r="224" ht="14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</row>
    <row r="225" ht="14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</row>
    <row r="226" ht="14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</row>
    <row r="227" ht="14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</row>
    <row r="228" ht="14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</row>
    <row r="229" ht="14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</row>
    <row r="230" ht="14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</row>
    <row r="231" ht="14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</row>
    <row r="232" ht="14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</row>
    <row r="233" ht="14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</row>
    <row r="234" ht="14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</row>
    <row r="235" ht="14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</row>
    <row r="236" ht="14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</row>
    <row r="237" ht="14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</row>
    <row r="238" ht="14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</row>
    <row r="239" ht="14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</row>
    <row r="240" ht="14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</row>
    <row r="241" ht="14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</row>
    <row r="242" ht="14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</row>
    <row r="243" ht="14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</row>
    <row r="244" ht="14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</row>
    <row r="245" ht="14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ht="14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ht="14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</row>
    <row r="248" ht="14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</row>
    <row r="249" ht="14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</row>
    <row r="250" ht="14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</row>
    <row r="251" ht="14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</row>
    <row r="252" ht="14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 ht="14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 ht="14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</row>
    <row r="255" ht="14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</row>
    <row r="256" ht="14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</row>
    <row r="257" ht="14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</row>
    <row r="258" ht="14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 ht="14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</row>
    <row r="260" ht="14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</row>
    <row r="261" ht="14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</row>
    <row r="262" ht="14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</row>
    <row r="263" ht="14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</row>
    <row r="264" ht="14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</row>
    <row r="265" ht="14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</row>
    <row r="266" ht="14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</row>
    <row r="267" ht="14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</row>
    <row r="268" ht="14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</row>
    <row r="269" ht="14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</row>
    <row r="270" ht="14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</row>
    <row r="271" ht="14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</row>
    <row r="272" ht="14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</row>
    <row r="273" ht="14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</row>
    <row r="274" ht="14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</row>
    <row r="275" ht="14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</row>
    <row r="276" ht="14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</row>
    <row r="277" ht="14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</row>
    <row r="278" ht="14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</row>
    <row r="279" ht="14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</row>
    <row r="280" ht="14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</row>
    <row r="281" ht="14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</row>
    <row r="282" ht="14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</row>
    <row r="283" ht="14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</row>
    <row r="284" ht="14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</row>
    <row r="285" ht="14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</row>
    <row r="286" ht="14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</row>
    <row r="287" ht="14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</row>
    <row r="288" ht="14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</row>
    <row r="289" ht="14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</row>
    <row r="290" ht="14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</row>
    <row r="291" ht="14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</row>
    <row r="292" ht="14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</row>
    <row r="293" ht="14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</row>
    <row r="294" ht="14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</row>
    <row r="295" ht="14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</row>
    <row r="296" ht="14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</row>
    <row r="297" ht="14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</row>
    <row r="298" ht="14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</row>
    <row r="299" ht="14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</row>
    <row r="300" ht="14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</row>
    <row r="301" ht="14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</row>
    <row r="302" ht="14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</row>
    <row r="303" ht="14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</row>
    <row r="304" ht="14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</row>
    <row r="305" ht="14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</row>
    <row r="306" ht="14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</row>
    <row r="307" ht="14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</row>
    <row r="308" ht="14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</row>
    <row r="309" ht="14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</row>
    <row r="310" ht="14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</row>
    <row r="311" ht="14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</row>
    <row r="312" ht="14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</row>
    <row r="313" ht="14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</row>
    <row r="314" ht="14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</row>
    <row r="315" ht="14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</row>
    <row r="316" ht="14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</row>
    <row r="317" ht="14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</row>
    <row r="318" ht="14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</row>
    <row r="319" ht="14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</row>
    <row r="320" ht="14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</row>
    <row r="321" ht="14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</row>
    <row r="322" ht="14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</row>
    <row r="323" ht="14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</row>
    <row r="324" ht="14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</row>
    <row r="325" ht="14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</row>
    <row r="326" ht="14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</row>
    <row r="327" ht="14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</row>
    <row r="328" ht="14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</row>
    <row r="329" ht="14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</row>
    <row r="330" ht="14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</row>
    <row r="331" ht="14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</row>
    <row r="332" ht="14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</row>
    <row r="333" ht="14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</row>
    <row r="334" ht="14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</row>
    <row r="335" ht="14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ht="14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ht="14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 ht="14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</row>
    <row r="339" ht="14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</row>
    <row r="340" ht="14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</row>
    <row r="341" ht="14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</row>
    <row r="342" ht="14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</row>
    <row r="343" ht="14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</row>
    <row r="344" ht="14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</row>
    <row r="345" ht="14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</row>
    <row r="346" ht="14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</row>
    <row r="347" ht="14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</row>
    <row r="348" ht="14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</row>
    <row r="349" ht="14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</row>
    <row r="350" ht="14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</row>
    <row r="351" ht="14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</row>
    <row r="352" ht="14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</row>
    <row r="353" ht="14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</row>
    <row r="354" ht="14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</row>
    <row r="355" ht="14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</row>
    <row r="356" ht="14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</row>
    <row r="357" ht="14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</row>
    <row r="358" ht="14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</row>
    <row r="359" ht="14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</row>
    <row r="360" ht="14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</row>
    <row r="361" ht="14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</row>
    <row r="362" ht="14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</row>
    <row r="363" ht="14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</row>
    <row r="364" ht="14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</row>
    <row r="365" ht="14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</row>
    <row r="366" ht="14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</row>
    <row r="367" ht="14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</row>
    <row r="368" ht="14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</row>
    <row r="369" ht="14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</row>
    <row r="370" ht="14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</row>
    <row r="371" ht="14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</row>
    <row r="372" ht="14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</row>
    <row r="373" ht="14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</row>
    <row r="374" ht="14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ht="14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ht="14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ht="14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ht="14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ht="14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ht="14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ht="14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ht="14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ht="14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ht="14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ht="14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ht="14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ht="14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ht="14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ht="14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ht="14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ht="14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ht="14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ht="14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ht="14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ht="14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ht="14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ht="14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ht="14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ht="14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ht="14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ht="14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ht="14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ht="14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ht="14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ht="14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ht="14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ht="14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</row>
    <row r="408" ht="14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</row>
    <row r="409" ht="14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</row>
    <row r="410" ht="14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</row>
    <row r="411" ht="14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</row>
    <row r="412" ht="14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</row>
    <row r="413" ht="14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</row>
    <row r="414" ht="14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</row>
    <row r="415" ht="14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</row>
    <row r="416" ht="14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</row>
    <row r="417" ht="14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</row>
    <row r="418" ht="14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</row>
    <row r="419" ht="14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</row>
    <row r="420" ht="14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</row>
    <row r="421" ht="14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</row>
    <row r="422" ht="14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</row>
    <row r="423" ht="14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</row>
    <row r="424" ht="14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</row>
    <row r="425" ht="14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</row>
    <row r="426" ht="14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</row>
    <row r="427" ht="14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</row>
    <row r="428" ht="14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</row>
    <row r="429" ht="14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</row>
    <row r="430" ht="14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</row>
    <row r="431" ht="14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</row>
    <row r="432" ht="14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</row>
    <row r="433" ht="14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</row>
    <row r="434" ht="14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</row>
    <row r="435" ht="14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</row>
    <row r="436" ht="14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</row>
    <row r="437" ht="14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</row>
    <row r="438" ht="14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</row>
    <row r="439" ht="14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</row>
    <row r="440" ht="14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</row>
    <row r="441" ht="14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</row>
    <row r="442" ht="14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</row>
    <row r="443" ht="14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</row>
    <row r="444" ht="14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</row>
    <row r="445" ht="14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</row>
    <row r="446" ht="14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</row>
    <row r="447" ht="14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</row>
    <row r="448" ht="14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</row>
    <row r="449" ht="14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</row>
    <row r="450" ht="14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</row>
    <row r="451" ht="14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</row>
    <row r="452" ht="14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</row>
    <row r="453" ht="14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</row>
    <row r="454" ht="14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</row>
    <row r="455" ht="14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</row>
    <row r="456" ht="14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</row>
    <row r="457" ht="14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</row>
    <row r="458" ht="14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</row>
    <row r="459" ht="14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</row>
    <row r="460" ht="14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</row>
    <row r="461" ht="14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</row>
    <row r="462" ht="14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</row>
    <row r="463" ht="14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</row>
    <row r="464" ht="14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</row>
    <row r="465" ht="14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</row>
    <row r="466" ht="14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</row>
    <row r="467" ht="14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</row>
    <row r="468" ht="14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</row>
    <row r="469" ht="14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</row>
    <row r="470" ht="14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</row>
    <row r="471" ht="14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</row>
    <row r="472" ht="14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</row>
    <row r="473" ht="14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</row>
    <row r="474" ht="14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</row>
    <row r="475" ht="14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</row>
    <row r="476" ht="14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</row>
    <row r="477" ht="14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</row>
    <row r="478" ht="14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</row>
    <row r="479" ht="14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</row>
    <row r="480" ht="14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</row>
    <row r="481" ht="14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</row>
    <row r="482" ht="14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</row>
    <row r="483" ht="14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</row>
    <row r="484" ht="14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</row>
    <row r="485" ht="14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</row>
    <row r="486" ht="14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</row>
    <row r="487" ht="14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</row>
    <row r="488" ht="14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</row>
    <row r="489" ht="14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</row>
    <row r="490" ht="14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</row>
    <row r="491" ht="14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</row>
    <row r="492" ht="14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</row>
    <row r="493" ht="14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</row>
    <row r="494" ht="14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</row>
    <row r="495" ht="14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</row>
    <row r="496" ht="14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</row>
    <row r="497" ht="14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</row>
    <row r="498" ht="14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</row>
    <row r="499" ht="14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</row>
    <row r="500" ht="14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</row>
    <row r="501" ht="14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</row>
    <row r="502" ht="14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</row>
    <row r="503" ht="14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</row>
    <row r="504" ht="14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</row>
    <row r="505" ht="14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</row>
    <row r="506" ht="14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</row>
    <row r="507" ht="14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</row>
    <row r="508" ht="14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</row>
    <row r="509" ht="14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</row>
    <row r="510" ht="14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</row>
    <row r="511" ht="14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</row>
    <row r="512" ht="14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</row>
    <row r="513" ht="14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</row>
    <row r="514" ht="14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</row>
    <row r="515" ht="14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</row>
    <row r="516" ht="14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</row>
    <row r="517" ht="14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</row>
    <row r="518" ht="14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</row>
    <row r="519" ht="14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</row>
    <row r="520" ht="14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</row>
    <row r="521" ht="14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</row>
    <row r="522" ht="14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</row>
    <row r="523" ht="14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</row>
    <row r="524" ht="14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</row>
    <row r="525" ht="14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</row>
    <row r="526" ht="14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</row>
    <row r="527" ht="14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</row>
    <row r="528" ht="14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</row>
    <row r="529" ht="14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</row>
    <row r="530" ht="14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</row>
    <row r="531" ht="14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</row>
    <row r="532" ht="14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</row>
    <row r="533" ht="14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</row>
    <row r="534" ht="14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</row>
    <row r="535" ht="14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</row>
    <row r="536" ht="14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</row>
    <row r="537" ht="14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</row>
    <row r="538" ht="14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</row>
    <row r="539" ht="14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</row>
    <row r="540" ht="14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</row>
    <row r="541" ht="14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</row>
    <row r="542" ht="14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</row>
    <row r="543" ht="14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</row>
    <row r="544" ht="14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</row>
    <row r="545" ht="14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</row>
    <row r="546" ht="14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</row>
    <row r="547" ht="14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</row>
    <row r="548" ht="14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</row>
    <row r="549" ht="14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</row>
    <row r="550" ht="14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</row>
    <row r="551" ht="14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</row>
    <row r="552" ht="14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</row>
    <row r="553" ht="14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</row>
    <row r="554" ht="14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</row>
    <row r="555" ht="14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</row>
    <row r="556" ht="14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</row>
    <row r="557" ht="14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</row>
    <row r="558" ht="14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</row>
    <row r="559" ht="14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</row>
    <row r="560" ht="14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</row>
    <row r="561" ht="14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</row>
    <row r="562" ht="14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</row>
    <row r="563" ht="14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</row>
    <row r="564" ht="14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</row>
    <row r="565" ht="14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</row>
    <row r="566" ht="14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</row>
    <row r="567" ht="14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</row>
    <row r="568" ht="14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</row>
    <row r="569" ht="14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</row>
    <row r="570" ht="14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</row>
    <row r="571" ht="14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</row>
    <row r="572" ht="14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</row>
    <row r="573" ht="14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</row>
    <row r="574" ht="14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</row>
    <row r="575" ht="14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</row>
    <row r="576" ht="14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</row>
    <row r="577" ht="14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</row>
    <row r="578" ht="14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</row>
    <row r="579" ht="14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</row>
    <row r="580" ht="14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</row>
    <row r="581" ht="14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</row>
    <row r="582" ht="14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</row>
    <row r="583" ht="14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</row>
    <row r="584" ht="14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</row>
    <row r="585" ht="14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</row>
    <row r="586" ht="14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</row>
    <row r="587" ht="14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</row>
    <row r="588" ht="14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</row>
    <row r="589" ht="14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</row>
    <row r="590" ht="14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</row>
    <row r="591" ht="14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</row>
    <row r="592" ht="14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</row>
    <row r="593" ht="14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</row>
    <row r="594" ht="14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</row>
    <row r="595" ht="14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</row>
    <row r="596" ht="14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</row>
    <row r="597" ht="14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</row>
    <row r="598" ht="14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</row>
    <row r="599" ht="14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</row>
    <row r="600" ht="14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</row>
    <row r="601" ht="14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</row>
    <row r="602" ht="14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</row>
    <row r="603" ht="14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</row>
    <row r="604" ht="14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</row>
    <row r="605" ht="14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</row>
    <row r="606" ht="14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</row>
    <row r="607" ht="14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</row>
    <row r="608" ht="14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</row>
    <row r="609" ht="14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</row>
    <row r="610" ht="14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</row>
    <row r="611" ht="14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</row>
    <row r="612" ht="14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</row>
    <row r="613" ht="14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</row>
    <row r="614" ht="14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</row>
    <row r="615" ht="14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</row>
    <row r="616" ht="14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</row>
    <row r="617" ht="14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</row>
    <row r="618" ht="14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</row>
    <row r="619" ht="14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</row>
    <row r="620" ht="14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</row>
    <row r="621" ht="14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</row>
    <row r="622" ht="14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</row>
    <row r="623" ht="14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</row>
    <row r="624" ht="14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</row>
    <row r="625" ht="14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</row>
    <row r="626" ht="14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</row>
    <row r="627" ht="14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</row>
    <row r="628" ht="14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</row>
    <row r="629" ht="14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</row>
    <row r="630" ht="14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</row>
    <row r="631" ht="14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</row>
    <row r="632" ht="14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</row>
    <row r="633" ht="14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</row>
    <row r="634" ht="14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</row>
    <row r="635" ht="14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</row>
    <row r="636" ht="14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</row>
    <row r="637" ht="14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</row>
    <row r="638" ht="14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</row>
    <row r="639" ht="14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</row>
    <row r="640" ht="14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</row>
    <row r="641" ht="14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</row>
    <row r="642" ht="14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</row>
    <row r="643" ht="14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</row>
    <row r="644" ht="14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</row>
    <row r="645" ht="14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</row>
    <row r="646" ht="14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</row>
    <row r="647" ht="14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</row>
    <row r="648" ht="14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</row>
    <row r="649" ht="14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</row>
    <row r="650" ht="14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</row>
    <row r="651" ht="14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</row>
    <row r="652" ht="14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</row>
    <row r="653" ht="14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</row>
    <row r="654" ht="14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</row>
    <row r="655" ht="14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</row>
    <row r="656" ht="14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</row>
    <row r="657" ht="14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</row>
    <row r="658" ht="14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</row>
    <row r="659" ht="14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</row>
    <row r="660" ht="14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</row>
    <row r="661" ht="14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</row>
    <row r="662" ht="14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</row>
    <row r="663" ht="14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</row>
    <row r="664" ht="14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</row>
    <row r="665" ht="14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</row>
    <row r="666" ht="14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</row>
    <row r="667" ht="14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</row>
    <row r="668" ht="14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</row>
    <row r="669" ht="14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</row>
    <row r="670" ht="14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</row>
    <row r="671" ht="14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</row>
    <row r="672" ht="14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</row>
    <row r="673" ht="14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</row>
    <row r="674" ht="14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</row>
    <row r="675" ht="14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</row>
    <row r="676" ht="14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</row>
    <row r="677" ht="14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</row>
    <row r="678" ht="14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</row>
    <row r="679" ht="14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</row>
    <row r="680" ht="14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</row>
    <row r="681" ht="14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</row>
    <row r="682" ht="14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</row>
    <row r="683" ht="14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</row>
    <row r="684" ht="14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</row>
    <row r="685" ht="14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</row>
    <row r="686" ht="14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</row>
    <row r="687" ht="14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</row>
    <row r="688" ht="14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</row>
    <row r="689" ht="14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</row>
    <row r="690" ht="14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</row>
    <row r="691" ht="14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</row>
    <row r="692" ht="14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</row>
    <row r="693" ht="14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</row>
    <row r="694" ht="14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</row>
    <row r="695" ht="14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</row>
    <row r="696" ht="14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</row>
    <row r="697" ht="14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</row>
    <row r="698" ht="14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</row>
    <row r="699" ht="14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</row>
    <row r="700" ht="14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</row>
    <row r="701" ht="14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</row>
    <row r="702" ht="14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</row>
    <row r="703" ht="14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</row>
    <row r="704" ht="14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</row>
    <row r="705" ht="14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</row>
    <row r="706" ht="14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</row>
    <row r="707" ht="14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</row>
    <row r="708" ht="14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</row>
    <row r="709" ht="14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</row>
    <row r="710" ht="14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</row>
    <row r="711" ht="14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</row>
    <row r="712" ht="14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</row>
    <row r="713" ht="14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</row>
    <row r="714" ht="14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</row>
    <row r="715" ht="14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</row>
    <row r="716" ht="14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</row>
    <row r="717" ht="14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</row>
    <row r="718" ht="14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</row>
    <row r="719" ht="14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</row>
    <row r="720" ht="14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</row>
    <row r="721" ht="14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</row>
    <row r="722" ht="14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</row>
    <row r="723" ht="14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</row>
    <row r="724" ht="14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</row>
    <row r="725" ht="14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</row>
    <row r="726" ht="14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</row>
    <row r="727" ht="14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</row>
    <row r="728" ht="14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</row>
    <row r="729" ht="14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</row>
    <row r="730" ht="14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</row>
    <row r="731" ht="14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</row>
    <row r="732" ht="14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</row>
    <row r="733" ht="14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</row>
    <row r="734" ht="14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</row>
    <row r="735" ht="14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</row>
    <row r="736" ht="14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</row>
    <row r="737" ht="14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</row>
    <row r="738" ht="14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</row>
    <row r="739" ht="14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</row>
    <row r="740" ht="14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</row>
    <row r="741" ht="14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</row>
    <row r="742" ht="14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</row>
    <row r="743" ht="14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</row>
    <row r="744" ht="14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</row>
    <row r="745" ht="14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</row>
    <row r="746" ht="14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</row>
    <row r="747" ht="14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</row>
    <row r="748" ht="14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</row>
    <row r="749" ht="14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</row>
    <row r="750" ht="14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</row>
    <row r="751" ht="14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</row>
    <row r="752" ht="14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</row>
    <row r="753" ht="14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</row>
    <row r="754" ht="14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</row>
    <row r="755" ht="14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</row>
    <row r="756" ht="14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</row>
    <row r="757" ht="14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</row>
    <row r="758" ht="14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</row>
    <row r="759" ht="14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</row>
    <row r="760" ht="14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</row>
    <row r="761" ht="14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</row>
    <row r="762" ht="14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</row>
    <row r="763" ht="14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</row>
    <row r="764" ht="14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</row>
    <row r="765" ht="14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</row>
    <row r="766" ht="14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</row>
    <row r="767" ht="14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</row>
    <row r="768" ht="14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</row>
    <row r="769" ht="14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</row>
    <row r="770" ht="14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</row>
    <row r="771" ht="14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</row>
    <row r="772" ht="14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</row>
    <row r="773" ht="14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</row>
    <row r="774" ht="14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</row>
    <row r="775" ht="14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</row>
    <row r="776" ht="14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</row>
    <row r="777" ht="14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</row>
    <row r="778" ht="14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</row>
    <row r="779" ht="14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</row>
    <row r="780" ht="14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</row>
    <row r="781" ht="14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</row>
    <row r="782" ht="14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</row>
    <row r="783" ht="14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</row>
    <row r="784" ht="14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</row>
    <row r="785" ht="14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</row>
    <row r="786" ht="14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</row>
    <row r="787" ht="14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</row>
    <row r="788" ht="14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</row>
    <row r="789" ht="14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</row>
    <row r="790" ht="14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</row>
    <row r="791" ht="14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</row>
    <row r="792" ht="14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</row>
    <row r="793" ht="14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</row>
    <row r="794" ht="14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</row>
    <row r="795" ht="14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</row>
    <row r="796" ht="14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</row>
    <row r="797" ht="14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</row>
    <row r="798" ht="14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</row>
    <row r="799" ht="14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</row>
    <row r="800" ht="14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</row>
    <row r="801" ht="14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</row>
    <row r="802" ht="14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</row>
    <row r="803" ht="14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</row>
    <row r="804" ht="14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</row>
    <row r="805" ht="14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</row>
    <row r="806" ht="14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</row>
    <row r="807" ht="14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</row>
    <row r="808" ht="14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</row>
    <row r="809" ht="14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</row>
    <row r="810" ht="14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</row>
    <row r="811" ht="14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</row>
    <row r="812" ht="14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</row>
    <row r="813" ht="14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</row>
    <row r="814" ht="14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</row>
    <row r="815" ht="14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</row>
    <row r="816" ht="14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</row>
    <row r="817" ht="14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</row>
    <row r="818" ht="14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</row>
    <row r="819" ht="14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</row>
    <row r="820" ht="14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</row>
    <row r="821" ht="14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</row>
    <row r="822" ht="14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</row>
    <row r="823" ht="14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</row>
    <row r="824" ht="14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</row>
    <row r="825" ht="14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</row>
    <row r="826" ht="14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</row>
    <row r="827" ht="14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</row>
    <row r="828" ht="14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</row>
    <row r="829" ht="14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</row>
    <row r="830" ht="14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</row>
    <row r="831" ht="14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</row>
    <row r="832" ht="14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</row>
    <row r="833" ht="14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</row>
    <row r="834" ht="14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</row>
    <row r="835" ht="14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</row>
    <row r="836" ht="14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</row>
    <row r="837" ht="14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</row>
    <row r="838" ht="14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</row>
    <row r="839" ht="14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</row>
    <row r="840" ht="14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</row>
    <row r="841" ht="14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</row>
    <row r="842" ht="14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</row>
    <row r="843" ht="14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</row>
    <row r="844" ht="14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</row>
    <row r="845" ht="14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</row>
    <row r="846" ht="14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</row>
    <row r="847" ht="14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</row>
    <row r="848" ht="14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</row>
    <row r="849" ht="14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</row>
    <row r="850" ht="14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</row>
    <row r="851" ht="14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</row>
    <row r="852" ht="14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</row>
    <row r="853" ht="14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</row>
    <row r="854" ht="14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</row>
    <row r="855" ht="14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</row>
    <row r="856" ht="14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</row>
    <row r="857" ht="14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</row>
    <row r="858" ht="14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</row>
    <row r="859" ht="14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</row>
    <row r="860" ht="14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</row>
    <row r="861" ht="14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</row>
    <row r="862" ht="14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</row>
    <row r="863" ht="14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</row>
    <row r="864" ht="14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</row>
    <row r="865" ht="14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</row>
    <row r="866" ht="14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</row>
    <row r="867" ht="14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</row>
    <row r="868" ht="14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</row>
    <row r="869" ht="14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</row>
    <row r="870" ht="14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</row>
    <row r="871" ht="14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</row>
    <row r="872" ht="14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</row>
    <row r="873" ht="14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</row>
    <row r="874" ht="14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</row>
    <row r="875" ht="14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</row>
    <row r="876" ht="14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</row>
    <row r="877" ht="14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</row>
    <row r="878" ht="14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</row>
    <row r="879" ht="14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</row>
    <row r="880" ht="14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</row>
    <row r="881" ht="14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</row>
    <row r="882" ht="14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</row>
    <row r="883" ht="14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</row>
    <row r="884" ht="14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</row>
    <row r="885" ht="14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</row>
    <row r="886" ht="14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</row>
    <row r="887" ht="14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</row>
    <row r="888" ht="14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</row>
    <row r="889" ht="14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</row>
    <row r="890" ht="14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</row>
    <row r="891" ht="14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</row>
    <row r="892" ht="14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</row>
    <row r="893" ht="14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</row>
    <row r="894" ht="14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</row>
    <row r="895" ht="14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</row>
    <row r="896" ht="14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</row>
    <row r="897" ht="14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</row>
    <row r="898" ht="14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</row>
    <row r="899" ht="14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</row>
    <row r="900" ht="14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</row>
    <row r="901" ht="14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</row>
    <row r="902" ht="14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</row>
    <row r="903" ht="14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</row>
    <row r="904" ht="14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</row>
    <row r="905" ht="14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</row>
    <row r="906" ht="14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</row>
    <row r="907" ht="14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</row>
    <row r="908" ht="14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</row>
    <row r="909" ht="14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</row>
    <row r="910" ht="14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</row>
    <row r="911" ht="14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</row>
    <row r="912" ht="14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</row>
    <row r="913" ht="14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</row>
    <row r="914" ht="14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</row>
    <row r="915" ht="14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</row>
    <row r="916" ht="14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</row>
    <row r="917" ht="14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</row>
    <row r="918" ht="14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</row>
    <row r="919" ht="14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</row>
    <row r="920" ht="14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</row>
    <row r="921" ht="14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</row>
    <row r="922" ht="14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</row>
    <row r="923" ht="14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</row>
    <row r="924" ht="14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</row>
    <row r="925" ht="14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</row>
    <row r="926" ht="14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</row>
    <row r="927" ht="14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</row>
    <row r="928" ht="14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</row>
    <row r="929" ht="14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</row>
    <row r="930" ht="14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</row>
    <row r="931" ht="14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</row>
    <row r="932" ht="14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</row>
    <row r="933" ht="14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</row>
    <row r="934" ht="14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</row>
    <row r="935" ht="14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</row>
    <row r="936" ht="14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</row>
    <row r="937" ht="14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</row>
    <row r="938" ht="14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</row>
    <row r="939" ht="14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</row>
    <row r="940" ht="14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</row>
    <row r="941" ht="14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</row>
    <row r="942" ht="14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</row>
    <row r="943" ht="14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</row>
    <row r="944" ht="14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</row>
    <row r="945" ht="14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</row>
    <row r="946" ht="14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</row>
    <row r="947" ht="14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</row>
    <row r="948" ht="14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</row>
    <row r="949" ht="14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</row>
    <row r="950" ht="14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</row>
    <row r="951" ht="14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</row>
    <row r="952" ht="14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</row>
    <row r="953" ht="14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</row>
    <row r="954" ht="14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</row>
    <row r="955" ht="14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</row>
    <row r="956" ht="14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</row>
    <row r="957" ht="14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</row>
    <row r="958" ht="14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</row>
    <row r="959" ht="14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</row>
    <row r="960" ht="14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</row>
    <row r="961" ht="14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</row>
    <row r="962" ht="14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</row>
    <row r="963" ht="14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</row>
    <row r="964" ht="14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</row>
    <row r="965" ht="14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</row>
    <row r="966" ht="14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</row>
    <row r="967" ht="14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</row>
    <row r="968" ht="14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</row>
    <row r="969" ht="14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</row>
    <row r="970" ht="14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</row>
    <row r="971" ht="14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</row>
    <row r="972" ht="14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</row>
    <row r="973" ht="14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</row>
    <row r="974" ht="14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</row>
    <row r="975" ht="14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</row>
    <row r="976" ht="14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</row>
    <row r="977" ht="14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</row>
    <row r="978" ht="14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</row>
    <row r="979" ht="14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</row>
    <row r="980" ht="14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</row>
    <row r="981" ht="14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</row>
    <row r="982" ht="14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</row>
    <row r="983" ht="14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</row>
    <row r="984" ht="14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</row>
    <row r="985" ht="14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</row>
    <row r="986" ht="14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</row>
    <row r="987" ht="14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</row>
    <row r="988" ht="14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</row>
    <row r="989" ht="14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</row>
    <row r="990" ht="14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</row>
    <row r="991" ht="14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</row>
    <row r="992" ht="14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</row>
    <row r="993" ht="14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</row>
    <row r="994" ht="14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</row>
    <row r="995" ht="14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</row>
    <row r="996" ht="14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</row>
    <row r="997" ht="14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</row>
    <row r="998" ht="14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</row>
    <row r="999" ht="14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</row>
    <row r="1000" ht="14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</row>
  </sheetData>
  <mergeCells count="23">
    <mergeCell ref="A1:AN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0.75" footer="0.0" header="0.0" left="1.0" right="1.0" top="0.75"/>
  <pageSetup paperSize="9" scale="7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0" width="7.75"/>
    <col customWidth="1" hidden="1" min="11" max="11" width="7.38"/>
    <col customWidth="1" hidden="1" min="12" max="12" width="11.25"/>
    <col customWidth="1" hidden="1" min="13" max="13" width="8.0"/>
    <col customWidth="1" hidden="1" min="14" max="14" width="6.13"/>
    <col customWidth="1" min="15" max="15" width="5.0"/>
    <col customWidth="1" min="16" max="16" width="45.75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7.75"/>
    <col customWidth="1" hidden="1" min="26" max="26" width="7.38"/>
    <col customWidth="1" hidden="1" min="27" max="27" width="11.25"/>
    <col customWidth="1" hidden="1" min="28" max="28" width="8.0"/>
    <col customWidth="1" hidden="1" min="29" max="29" width="6.13"/>
    <col customWidth="1" min="30" max="30" width="5.5"/>
    <col customWidth="1" min="31" max="31" width="18.5"/>
    <col customWidth="1" min="32" max="35" width="8.75"/>
    <col customWidth="1" hidden="1" min="36" max="36" width="9.25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</row>
    <row r="2" ht="21.0" customHeight="1"/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4.25" customHeight="1">
      <c r="A5" s="110" t="s">
        <v>92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5"/>
      <c r="AJ5" s="26"/>
      <c r="AK5" s="26"/>
      <c r="AL5" s="26"/>
      <c r="AM5" s="26"/>
      <c r="AN5" s="26"/>
    </row>
    <row r="6" ht="14.2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</row>
    <row r="7" ht="14.25" customHeight="1">
      <c r="A7" s="111" t="s">
        <v>51</v>
      </c>
      <c r="B7" s="112" t="s">
        <v>52</v>
      </c>
      <c r="C7" s="29"/>
      <c r="D7" s="29"/>
      <c r="E7" s="30"/>
      <c r="F7" s="113"/>
      <c r="G7" s="61"/>
      <c r="H7" s="111" t="s">
        <v>53</v>
      </c>
      <c r="I7" s="26"/>
      <c r="J7" s="26"/>
      <c r="K7" s="26"/>
      <c r="L7" s="26"/>
      <c r="M7" s="33"/>
      <c r="N7" s="33"/>
      <c r="O7" s="26"/>
      <c r="P7" s="111" t="s">
        <v>51</v>
      </c>
      <c r="Q7" s="112" t="s">
        <v>52</v>
      </c>
      <c r="R7" s="29"/>
      <c r="S7" s="29"/>
      <c r="T7" s="30"/>
      <c r="U7" s="113"/>
      <c r="V7" s="61"/>
      <c r="W7" s="111" t="s">
        <v>53</v>
      </c>
      <c r="X7" s="26"/>
      <c r="Y7" s="33"/>
      <c r="Z7" s="33"/>
      <c r="AA7" s="33"/>
      <c r="AB7" s="33"/>
      <c r="AC7" s="33"/>
      <c r="AD7" s="26"/>
      <c r="AE7" s="111" t="s">
        <v>54</v>
      </c>
      <c r="AF7" s="111" t="s">
        <v>55</v>
      </c>
      <c r="AG7" s="111" t="s">
        <v>56</v>
      </c>
      <c r="AH7" s="111" t="s">
        <v>57</v>
      </c>
      <c r="AI7" s="111" t="s">
        <v>58</v>
      </c>
      <c r="AJ7" s="33"/>
      <c r="AK7" s="33"/>
      <c r="AL7" s="33"/>
      <c r="AM7" s="26"/>
      <c r="AN7" s="26"/>
    </row>
    <row r="8" ht="14.25" hidden="1" customHeight="1">
      <c r="A8" s="26"/>
      <c r="B8" s="34" t="s">
        <v>59</v>
      </c>
      <c r="C8" s="34" t="s">
        <v>60</v>
      </c>
      <c r="D8" s="34"/>
      <c r="E8" s="34" t="s">
        <v>59</v>
      </c>
      <c r="F8" s="34" t="s">
        <v>61</v>
      </c>
      <c r="G8" s="34"/>
      <c r="H8" s="34" t="s">
        <v>59</v>
      </c>
      <c r="I8" s="34" t="s">
        <v>62</v>
      </c>
      <c r="J8" s="34" t="s">
        <v>63</v>
      </c>
      <c r="K8" s="34" t="s">
        <v>64</v>
      </c>
      <c r="L8" s="34" t="s">
        <v>65</v>
      </c>
      <c r="M8" s="34" t="s">
        <v>66</v>
      </c>
      <c r="N8" s="34" t="s">
        <v>67</v>
      </c>
      <c r="O8" s="26"/>
      <c r="P8" s="26"/>
      <c r="Q8" s="34" t="s">
        <v>59</v>
      </c>
      <c r="R8" s="34" t="s">
        <v>60</v>
      </c>
      <c r="S8" s="34"/>
      <c r="T8" s="34" t="s">
        <v>59</v>
      </c>
      <c r="U8" s="34" t="s">
        <v>61</v>
      </c>
      <c r="V8" s="34"/>
      <c r="W8" s="34" t="s">
        <v>59</v>
      </c>
      <c r="X8" s="34" t="s">
        <v>62</v>
      </c>
      <c r="Y8" s="34" t="s">
        <v>63</v>
      </c>
      <c r="Z8" s="34" t="s">
        <v>64</v>
      </c>
      <c r="AA8" s="34" t="s">
        <v>65</v>
      </c>
      <c r="AB8" s="34" t="s">
        <v>66</v>
      </c>
      <c r="AC8" s="34" t="s">
        <v>67</v>
      </c>
      <c r="AD8" s="26"/>
      <c r="AE8" s="33"/>
      <c r="AF8" s="33"/>
      <c r="AG8" s="33"/>
      <c r="AH8" s="33"/>
      <c r="AI8" s="33"/>
      <c r="AJ8" s="34" t="s">
        <v>68</v>
      </c>
      <c r="AK8" s="34" t="s">
        <v>81</v>
      </c>
      <c r="AL8" s="36" t="s">
        <v>69</v>
      </c>
      <c r="AM8" s="37" t="s">
        <v>70</v>
      </c>
      <c r="AN8" s="37" t="s">
        <v>82</v>
      </c>
    </row>
    <row r="9" ht="14.25" customHeight="1">
      <c r="A9" s="114" t="str">
        <f>AE9</f>
        <v>Julie Spiteri</v>
      </c>
      <c r="B9" s="115"/>
      <c r="C9" s="116">
        <f>IF(B9&gt;B11,1,0)</f>
        <v>0</v>
      </c>
      <c r="D9" s="117"/>
      <c r="E9" s="115"/>
      <c r="F9" s="116">
        <f>IF(E9&gt;E11,1,0)</f>
        <v>0</v>
      </c>
      <c r="G9" s="117"/>
      <c r="H9" s="118"/>
      <c r="I9" s="26">
        <f>IF(H9&gt;H11,1,0)</f>
        <v>0</v>
      </c>
      <c r="J9" s="26">
        <f>IF(B9="",0,1)</f>
        <v>0</v>
      </c>
      <c r="K9" s="26">
        <f>IF(C9+F9=2,3,IF(C9+F9=1,1,0))</f>
        <v>0</v>
      </c>
      <c r="L9" s="26">
        <f>IF(K9=3,3,IF(I9+K9=2,2,IF(K9=1,1,0)))</f>
        <v>0</v>
      </c>
      <c r="M9" s="26">
        <f>B9+E9</f>
        <v>0</v>
      </c>
      <c r="N9" s="26">
        <f>C9+F9+I9</f>
        <v>0</v>
      </c>
      <c r="O9" s="26"/>
      <c r="P9" s="114" t="str">
        <f>AE9</f>
        <v>Julie Spiteri</v>
      </c>
      <c r="Q9" s="118"/>
      <c r="R9" s="116">
        <f>IF(Q9&gt;Q11,1,0)</f>
        <v>0</v>
      </c>
      <c r="S9" s="117"/>
      <c r="T9" s="118"/>
      <c r="U9" s="116">
        <f>IF(T9&gt;T11,1,0)</f>
        <v>0</v>
      </c>
      <c r="V9" s="117"/>
      <c r="W9" s="118"/>
      <c r="X9" s="26">
        <f>IF(W9&gt;W11,1,0)</f>
        <v>0</v>
      </c>
      <c r="Y9" s="26">
        <f>IF(Q9="",0,1)</f>
        <v>0</v>
      </c>
      <c r="Z9" s="26">
        <f>IF(R9+U9=2,3,IF(R9+U9=1,1,0))</f>
        <v>0</v>
      </c>
      <c r="AA9" s="26">
        <f>IF(Z9=3,3,IF(X9+Z9=2,2,IF(Z9=1,1,0)))</f>
        <v>0</v>
      </c>
      <c r="AB9" s="26">
        <f>Q9+T9</f>
        <v>0</v>
      </c>
      <c r="AC9" s="26">
        <f>R9+U9+X9</f>
        <v>0</v>
      </c>
      <c r="AD9" s="26"/>
      <c r="AE9" s="119" t="str">
        <f>'Players - Ladies'!B14</f>
        <v>Julie Spiteri</v>
      </c>
      <c r="AF9" s="120">
        <f>J9+Y9+J13+Y13+J17</f>
        <v>0</v>
      </c>
      <c r="AG9" s="120">
        <f t="shared" ref="AG9:AI9" si="1">L9+AA9+L13+AA13+L17</f>
        <v>0</v>
      </c>
      <c r="AH9" s="120">
        <f t="shared" si="1"/>
        <v>0</v>
      </c>
      <c r="AI9" s="121">
        <f t="shared" si="1"/>
        <v>0</v>
      </c>
      <c r="AJ9" s="26">
        <f>MAX(AG9:AG19)</f>
        <v>9</v>
      </c>
      <c r="AK9" s="26">
        <f>LARGE(AG9:AG19, 2)</f>
        <v>7</v>
      </c>
      <c r="AL9" s="26">
        <f>SUM(AF9:AF19)</f>
        <v>20</v>
      </c>
      <c r="AM9" s="26" t="str">
        <f>IF(AG9=$AJ$9,AE9,IF(AG11=$AJ$9,AE11,IF(AG13=$AJ$9,AE13,IF(AG15=$AJ$9,AE15,IF(AG17=$AJ$9,AE17,"")))))</f>
        <v/>
      </c>
      <c r="AN9" s="26" t="str">
        <f>IF(AG9=$AK$9,AE9,IF(AG11=$AK$9,AE11,IF(AG13=$AK$9,AE13,IF(AG15=$AK$9,AE15,IF(AG17=$AK$9,AE17,"")))))</f>
        <v>Jin Attard</v>
      </c>
    </row>
    <row r="10" ht="14.25" customHeight="1">
      <c r="A10" s="122" t="s">
        <v>71</v>
      </c>
      <c r="H10" s="47"/>
      <c r="I10" s="48"/>
      <c r="J10" s="26"/>
      <c r="K10" s="26"/>
      <c r="L10" s="26"/>
      <c r="M10" s="26"/>
      <c r="N10" s="26"/>
      <c r="O10" s="26"/>
      <c r="P10" s="122" t="s">
        <v>71</v>
      </c>
      <c r="W10" s="47"/>
      <c r="X10" s="48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33"/>
      <c r="AL10" s="33"/>
      <c r="AM10" s="26"/>
      <c r="AN10" s="26"/>
    </row>
    <row r="11" ht="14.25" customHeight="1">
      <c r="A11" s="123" t="str">
        <f>AE11</f>
        <v>Kristina Briffa</v>
      </c>
      <c r="B11" s="115"/>
      <c r="C11" s="124">
        <f>IF(B11&gt;B9,1,0)</f>
        <v>0</v>
      </c>
      <c r="D11" s="125"/>
      <c r="E11" s="115"/>
      <c r="F11" s="124">
        <f>IF(E11&gt;E9,1,0)</f>
        <v>0</v>
      </c>
      <c r="G11" s="125"/>
      <c r="H11" s="118"/>
      <c r="I11" s="26">
        <f>IF(H11&gt;H9,1,0)</f>
        <v>0</v>
      </c>
      <c r="J11" s="26">
        <f>IF(B11="",0,1)</f>
        <v>0</v>
      </c>
      <c r="K11" s="26">
        <f>IF(C11+F11=2,3,IF(C11+F11=1,1,0))</f>
        <v>0</v>
      </c>
      <c r="L11" s="26">
        <f>IF(K11=3,3,IF(I11+K11=2,2,IF(K11=1,1,0)))</f>
        <v>0</v>
      </c>
      <c r="M11" s="26">
        <f>B11+E11</f>
        <v>0</v>
      </c>
      <c r="N11" s="26">
        <f>C11+F11+I11</f>
        <v>0</v>
      </c>
      <c r="O11" s="26"/>
      <c r="P11" s="123" t="str">
        <f>AE13</f>
        <v>Francesca Sciortino</v>
      </c>
      <c r="Q11" s="118"/>
      <c r="R11" s="124">
        <f>IF(Q11&gt;Q9,1,0)</f>
        <v>0</v>
      </c>
      <c r="S11" s="125"/>
      <c r="T11" s="118"/>
      <c r="U11" s="124">
        <f>IF(T11&gt;T9,1,0)</f>
        <v>0</v>
      </c>
      <c r="V11" s="125"/>
      <c r="W11" s="118"/>
      <c r="X11" s="26">
        <f>IF(W11&gt;W9,1,0)</f>
        <v>0</v>
      </c>
      <c r="Y11" s="26">
        <f>IF(Q11="",0,1)</f>
        <v>0</v>
      </c>
      <c r="Z11" s="26">
        <f>IF(R11+U11=2,3,IF(R11+U11=1,1,0))</f>
        <v>0</v>
      </c>
      <c r="AA11" s="26">
        <f>IF(Z11=3,3,IF(X11+Z11=2,2,IF(Z11=1,1,0)))</f>
        <v>0</v>
      </c>
      <c r="AB11" s="26">
        <f>Q11+T11</f>
        <v>0</v>
      </c>
      <c r="AC11" s="26">
        <f>R11+U11+X11</f>
        <v>0</v>
      </c>
      <c r="AD11" s="26"/>
      <c r="AE11" s="119" t="str">
        <f>'Players - Ladies'!B15</f>
        <v>Kristina Briffa</v>
      </c>
      <c r="AF11" s="44">
        <f>J11+Y25+J21+Y21+Y17</f>
        <v>4</v>
      </c>
      <c r="AG11" s="44">
        <f t="shared" ref="AG11:AI11" si="2">L11+AA25+L21+AA21+AA17</f>
        <v>6</v>
      </c>
      <c r="AH11" s="44">
        <f t="shared" si="2"/>
        <v>36</v>
      </c>
      <c r="AI11" s="45">
        <f t="shared" si="2"/>
        <v>6</v>
      </c>
      <c r="AJ11" s="33"/>
      <c r="AK11" s="33"/>
      <c r="AL11" s="33"/>
      <c r="AM11" s="26"/>
      <c r="AN11" s="26"/>
    </row>
    <row r="12" ht="14.25" customHeight="1">
      <c r="A12" s="26"/>
      <c r="B12" s="26"/>
      <c r="C12" s="26"/>
      <c r="D12" s="26"/>
      <c r="E12" s="26"/>
      <c r="F12" s="26"/>
      <c r="G12" s="26"/>
      <c r="H12" s="50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50"/>
      <c r="X12" s="26"/>
      <c r="Y12" s="26"/>
      <c r="Z12" s="26"/>
      <c r="AA12" s="26"/>
      <c r="AB12" s="26"/>
      <c r="AC12" s="26"/>
      <c r="AD12" s="26"/>
      <c r="AE12" s="26"/>
      <c r="AF12" s="33"/>
      <c r="AG12" s="33"/>
      <c r="AH12" s="33"/>
      <c r="AI12" s="33"/>
      <c r="AJ12" s="33"/>
      <c r="AK12" s="33"/>
      <c r="AL12" s="33"/>
      <c r="AM12" s="26"/>
      <c r="AN12" s="26"/>
    </row>
    <row r="13" ht="14.25" customHeight="1">
      <c r="A13" s="114" t="str">
        <f>AE9</f>
        <v>Julie Spiteri</v>
      </c>
      <c r="B13" s="115"/>
      <c r="C13" s="116">
        <f>IF(B13&gt;B15,1,0)</f>
        <v>0</v>
      </c>
      <c r="D13" s="117"/>
      <c r="E13" s="115"/>
      <c r="F13" s="116">
        <f>IF(E13&gt;E15,1,0)</f>
        <v>0</v>
      </c>
      <c r="G13" s="117"/>
      <c r="H13" s="118"/>
      <c r="I13" s="26">
        <f>IF(H13&gt;H15,1,0)</f>
        <v>0</v>
      </c>
      <c r="J13" s="26">
        <f>IF(B13="",0,1)</f>
        <v>0</v>
      </c>
      <c r="K13" s="26">
        <f>IF(C13+F13=2,3,IF(C13+F13=1,1,0))</f>
        <v>0</v>
      </c>
      <c r="L13" s="26">
        <f>IF(K13=3,3,IF(I13+K13=2,2,IF(K13=1,1,0)))</f>
        <v>0</v>
      </c>
      <c r="M13" s="26">
        <f>B13+E13</f>
        <v>0</v>
      </c>
      <c r="N13" s="26">
        <f>C13+F13+I13</f>
        <v>0</v>
      </c>
      <c r="O13" s="26"/>
      <c r="P13" s="114" t="str">
        <f>AE9</f>
        <v>Julie Spiteri</v>
      </c>
      <c r="Q13" s="118"/>
      <c r="R13" s="116">
        <f>IF(Q13&gt;Q15,1,0)</f>
        <v>0</v>
      </c>
      <c r="S13" s="117"/>
      <c r="T13" s="118"/>
      <c r="U13" s="116">
        <f>IF(T13&gt;T15,1,0)</f>
        <v>0</v>
      </c>
      <c r="V13" s="117"/>
      <c r="W13" s="118"/>
      <c r="X13" s="26">
        <f>IF(W13&gt;W15,1,0)</f>
        <v>0</v>
      </c>
      <c r="Y13" s="26">
        <f>IF(Q13="",0,1)</f>
        <v>0</v>
      </c>
      <c r="Z13" s="26">
        <f>IF(R13+U13=2,3,IF(R13+U13=1,1,0))</f>
        <v>0</v>
      </c>
      <c r="AA13" s="26">
        <f>IF(Z13=3,3,IF(X13+Z13=2,2,IF(Z13=1,1,0)))</f>
        <v>0</v>
      </c>
      <c r="AB13" s="26">
        <f>Q13+T13</f>
        <v>0</v>
      </c>
      <c r="AC13" s="26">
        <f>R13+U13+X13</f>
        <v>0</v>
      </c>
      <c r="AD13" s="26"/>
      <c r="AE13" s="119" t="str">
        <f>'Players - Ladies'!B16</f>
        <v>Francesca Sciortino</v>
      </c>
      <c r="AF13" s="44">
        <f>Y29+Y11+Y33+J25+Y19</f>
        <v>4</v>
      </c>
      <c r="AG13" s="44">
        <f t="shared" ref="AG13:AI13" si="3">AA29+AA11+AA33+L25+AA19</f>
        <v>5</v>
      </c>
      <c r="AH13" s="44">
        <f t="shared" si="3"/>
        <v>36</v>
      </c>
      <c r="AI13" s="45">
        <f t="shared" si="3"/>
        <v>4</v>
      </c>
      <c r="AJ13" s="33"/>
      <c r="AK13" s="33"/>
      <c r="AL13" s="33"/>
      <c r="AM13" s="26"/>
      <c r="AN13" s="26"/>
    </row>
    <row r="14" ht="14.25" customHeight="1">
      <c r="A14" s="122" t="s">
        <v>71</v>
      </c>
      <c r="H14" s="47"/>
      <c r="I14" s="48"/>
      <c r="J14" s="26"/>
      <c r="K14" s="26"/>
      <c r="L14" s="26"/>
      <c r="M14" s="26"/>
      <c r="N14" s="26"/>
      <c r="O14" s="26"/>
      <c r="P14" s="122" t="s">
        <v>71</v>
      </c>
      <c r="W14" s="47"/>
      <c r="X14" s="48"/>
      <c r="Y14" s="26"/>
      <c r="Z14" s="26"/>
      <c r="AA14" s="26"/>
      <c r="AB14" s="26"/>
      <c r="AC14" s="26"/>
      <c r="AD14" s="26"/>
      <c r="AE14" s="26"/>
      <c r="AF14" s="33"/>
      <c r="AG14" s="33"/>
      <c r="AH14" s="33"/>
      <c r="AI14" s="33"/>
      <c r="AJ14" s="33"/>
      <c r="AK14" s="33"/>
      <c r="AL14" s="33"/>
      <c r="AM14" s="26"/>
      <c r="AN14" s="26"/>
    </row>
    <row r="15" ht="14.25" customHeight="1">
      <c r="A15" s="123" t="str">
        <f>AE15</f>
        <v>Dawn Azzopardi</v>
      </c>
      <c r="B15" s="115"/>
      <c r="C15" s="124">
        <f>IF(B15&gt;B13,1,0)</f>
        <v>0</v>
      </c>
      <c r="D15" s="125"/>
      <c r="E15" s="115"/>
      <c r="F15" s="124">
        <f>IF(E15&gt;E13,1,0)</f>
        <v>0</v>
      </c>
      <c r="G15" s="125"/>
      <c r="H15" s="118"/>
      <c r="I15" s="26">
        <f>IF(H15&gt;H13,1,0)</f>
        <v>0</v>
      </c>
      <c r="J15" s="26">
        <f>IF(B15="",0,1)</f>
        <v>0</v>
      </c>
      <c r="K15" s="26">
        <f>IF(C15+F15=2,3,IF(C15+F15=1,1,0))</f>
        <v>0</v>
      </c>
      <c r="L15" s="26">
        <f>IF(K15=3,3,IF(I15+K15=2,2,IF(K15=1,1,0)))</f>
        <v>0</v>
      </c>
      <c r="M15" s="26">
        <f>B15+E15</f>
        <v>0</v>
      </c>
      <c r="N15" s="26">
        <f>C15+F15+I15</f>
        <v>0</v>
      </c>
      <c r="O15" s="26"/>
      <c r="P15" s="123" t="str">
        <f>AE17</f>
        <v>Jin Attard</v>
      </c>
      <c r="Q15" s="118"/>
      <c r="R15" s="124">
        <f>IF(Q15&gt;Q13,1,0)</f>
        <v>0</v>
      </c>
      <c r="S15" s="125"/>
      <c r="T15" s="118"/>
      <c r="U15" s="124">
        <f>IF(T15&gt;T13,1,0)</f>
        <v>0</v>
      </c>
      <c r="V15" s="125"/>
      <c r="W15" s="118"/>
      <c r="X15" s="26">
        <f>IF(W15&gt;W13,1,0)</f>
        <v>0</v>
      </c>
      <c r="Y15" s="26">
        <f>IF(Q15="",0,1)</f>
        <v>0</v>
      </c>
      <c r="Z15" s="26">
        <f>IF(R15+U15=2,3,IF(R15+U15=1,1,0))</f>
        <v>0</v>
      </c>
      <c r="AA15" s="26">
        <f>IF(Z15=3,3,IF(X15+Z15=2,2,IF(Z15=1,1,0)))</f>
        <v>0</v>
      </c>
      <c r="AB15" s="26">
        <f>Q15+T15</f>
        <v>0</v>
      </c>
      <c r="AC15" s="26">
        <f>R15+U15+X15</f>
        <v>0</v>
      </c>
      <c r="AD15" s="26"/>
      <c r="AE15" s="119" t="str">
        <f>'Players - Ladies'!B17</f>
        <v>Dawn Azzopardi</v>
      </c>
      <c r="AF15" s="44">
        <f>Y31+J37+J15+Y23+J29</f>
        <v>4</v>
      </c>
      <c r="AG15" s="44">
        <f t="shared" ref="AG15:AI15" si="4">AA31+L37+L15+AA23+L29</f>
        <v>3</v>
      </c>
      <c r="AH15" s="44">
        <f t="shared" si="4"/>
        <v>37</v>
      </c>
      <c r="AI15" s="45">
        <f t="shared" si="4"/>
        <v>3</v>
      </c>
      <c r="AJ15" s="33"/>
      <c r="AK15" s="33"/>
      <c r="AL15" s="33"/>
      <c r="AM15" s="26"/>
      <c r="AN15" s="26"/>
    </row>
    <row r="16" ht="14.25" customHeight="1">
      <c r="A16" s="26"/>
      <c r="B16" s="33"/>
      <c r="C16" s="26"/>
      <c r="D16" s="26"/>
      <c r="E16" s="26"/>
      <c r="F16" s="26"/>
      <c r="G16" s="26"/>
      <c r="H16" s="50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50"/>
      <c r="X16" s="26"/>
      <c r="Y16" s="26"/>
      <c r="Z16" s="26"/>
      <c r="AA16" s="26"/>
      <c r="AB16" s="26"/>
      <c r="AC16" s="26"/>
      <c r="AD16" s="26"/>
      <c r="AE16" s="26"/>
      <c r="AF16" s="33"/>
      <c r="AG16" s="33"/>
      <c r="AH16" s="33"/>
      <c r="AI16" s="33"/>
      <c r="AJ16" s="33"/>
      <c r="AK16" s="33"/>
      <c r="AL16" s="33"/>
      <c r="AM16" s="26"/>
      <c r="AN16" s="26"/>
    </row>
    <row r="17" ht="14.25" customHeight="1">
      <c r="A17" s="114" t="str">
        <f>AE9</f>
        <v>Julie Spiteri</v>
      </c>
      <c r="B17" s="118"/>
      <c r="C17" s="116">
        <f>IF(B17&gt;B19,1,0)</f>
        <v>0</v>
      </c>
      <c r="D17" s="117"/>
      <c r="E17" s="118"/>
      <c r="F17" s="116">
        <f>IF(E17&gt;E19,1,0)</f>
        <v>0</v>
      </c>
      <c r="G17" s="117"/>
      <c r="H17" s="118"/>
      <c r="I17" s="26">
        <f>IF(H17&gt;H19,1,0)</f>
        <v>0</v>
      </c>
      <c r="J17" s="26">
        <f>IF(B17="",0,1)</f>
        <v>0</v>
      </c>
      <c r="K17" s="26">
        <f>IF(C17+F17=2,3,IF(C17+F17=1,1,0))</f>
        <v>0</v>
      </c>
      <c r="L17" s="26">
        <f>IF(K17=3,3,IF(I17+K17=2,2,IF(K17=1,1,0)))</f>
        <v>0</v>
      </c>
      <c r="M17" s="26">
        <f>B17+E17</f>
        <v>0</v>
      </c>
      <c r="N17" s="26">
        <f>C17+F17+I17</f>
        <v>0</v>
      </c>
      <c r="O17" s="26"/>
      <c r="P17" s="38" t="str">
        <f>AE11</f>
        <v>Kristina Briffa</v>
      </c>
      <c r="Q17" s="39">
        <v>6.0</v>
      </c>
      <c r="R17" s="40">
        <f>IF(Q17&gt;Q19,1,0)</f>
        <v>1</v>
      </c>
      <c r="S17" s="41"/>
      <c r="T17" s="39">
        <v>4.0</v>
      </c>
      <c r="U17" s="40">
        <f>IF(T17&gt;T19,1,0)</f>
        <v>0</v>
      </c>
      <c r="V17" s="41"/>
      <c r="W17" s="39">
        <v>10.0</v>
      </c>
      <c r="X17" s="26">
        <f>IF(W17&gt;W19,1,0)</f>
        <v>1</v>
      </c>
      <c r="Y17" s="26">
        <f>IF(Q17="",0,1)</f>
        <v>1</v>
      </c>
      <c r="Z17" s="26">
        <f>IF(R17+U17=2,3,IF(R17+U17=1,1,0))</f>
        <v>1</v>
      </c>
      <c r="AA17" s="26">
        <f>IF(Z17=3,3,IF(X17+Z17=2,2,IF(Z17=1,1,0)))</f>
        <v>2</v>
      </c>
      <c r="AB17" s="26">
        <f>Q17+T17</f>
        <v>10</v>
      </c>
      <c r="AC17" s="26">
        <f>R17+U17+X17</f>
        <v>2</v>
      </c>
      <c r="AD17" s="26"/>
      <c r="AE17" s="119" t="str">
        <f>'Players - Ladies'!B18</f>
        <v>Jin Attard</v>
      </c>
      <c r="AF17" s="44">
        <f>J33+J39+J23+Y15+J27</f>
        <v>4</v>
      </c>
      <c r="AG17" s="44">
        <f t="shared" ref="AG17:AI17" si="5">L33+L39+L23+AA15+L27</f>
        <v>7</v>
      </c>
      <c r="AH17" s="44">
        <f t="shared" si="5"/>
        <v>43</v>
      </c>
      <c r="AI17" s="45">
        <f t="shared" si="5"/>
        <v>5</v>
      </c>
      <c r="AJ17" s="33"/>
      <c r="AK17" s="33"/>
      <c r="AL17" s="33"/>
      <c r="AM17" s="26"/>
      <c r="AN17" s="26"/>
    </row>
    <row r="18" ht="14.25" customHeight="1">
      <c r="A18" s="122" t="s">
        <v>71</v>
      </c>
      <c r="H18" s="47"/>
      <c r="I18" s="48"/>
      <c r="J18" s="26"/>
      <c r="K18" s="26"/>
      <c r="L18" s="26"/>
      <c r="M18" s="26"/>
      <c r="N18" s="26"/>
      <c r="O18" s="26"/>
      <c r="P18" s="46" t="s">
        <v>71</v>
      </c>
      <c r="W18" s="47"/>
      <c r="X18" s="48"/>
      <c r="Y18" s="26"/>
      <c r="Z18" s="26"/>
      <c r="AA18" s="26"/>
      <c r="AB18" s="26"/>
      <c r="AC18" s="26"/>
      <c r="AD18" s="26"/>
      <c r="AE18" s="26"/>
      <c r="AF18" s="33"/>
      <c r="AG18" s="33"/>
      <c r="AH18" s="33"/>
      <c r="AI18" s="33"/>
      <c r="AJ18" s="33"/>
      <c r="AK18" s="33"/>
      <c r="AL18" s="33"/>
      <c r="AM18" s="26"/>
      <c r="AN18" s="26"/>
    </row>
    <row r="19" ht="14.25" customHeight="1">
      <c r="A19" s="123" t="str">
        <f>AE19</f>
        <v>Kelsey Gauci</v>
      </c>
      <c r="B19" s="118"/>
      <c r="C19" s="124">
        <f>IF(B19&gt;B17,1,0)</f>
        <v>0</v>
      </c>
      <c r="D19" s="125"/>
      <c r="E19" s="118"/>
      <c r="F19" s="124">
        <f>IF(E19&gt;E17,1,0)</f>
        <v>0</v>
      </c>
      <c r="G19" s="125"/>
      <c r="H19" s="118"/>
      <c r="I19" s="26">
        <f>IF(H19&gt;H17,1,0)</f>
        <v>0</v>
      </c>
      <c r="J19" s="26">
        <f>IF(B19="",0,1)</f>
        <v>0</v>
      </c>
      <c r="K19" s="26">
        <f>IF(C19+F19=2,3,IF(C19+F19=1,1,0))</f>
        <v>0</v>
      </c>
      <c r="L19" s="26">
        <f>IF(K19=3,3,IF(I19+K19=2,2,IF(K19=1,1,0)))</f>
        <v>0</v>
      </c>
      <c r="M19" s="26">
        <f>B19+E19</f>
        <v>0</v>
      </c>
      <c r="N19" s="26">
        <f>C19+F19+I19</f>
        <v>0</v>
      </c>
      <c r="O19" s="26"/>
      <c r="P19" s="49" t="str">
        <f>AE13</f>
        <v>Francesca Sciortino</v>
      </c>
      <c r="Q19" s="39">
        <v>1.0</v>
      </c>
      <c r="R19" s="50">
        <f>IF(Q19&gt;Q17,1,0)</f>
        <v>0</v>
      </c>
      <c r="S19" s="51"/>
      <c r="T19" s="39">
        <v>6.0</v>
      </c>
      <c r="U19" s="50">
        <f>IF(T19&gt;T17,1,0)</f>
        <v>1</v>
      </c>
      <c r="V19" s="51"/>
      <c r="W19" s="39">
        <v>6.0</v>
      </c>
      <c r="X19" s="26">
        <f>IF(W19&gt;W17,1,0)</f>
        <v>0</v>
      </c>
      <c r="Y19" s="26">
        <f>IF(Q19="",0,1)</f>
        <v>1</v>
      </c>
      <c r="Z19" s="26">
        <f>IF(R19+U19=2,3,IF(R19+U19=1,1,0))</f>
        <v>1</v>
      </c>
      <c r="AA19" s="26">
        <f>IF(Z19=3,3,IF(X19+Z19=2,2,IF(Z19=1,1,0)))</f>
        <v>1</v>
      </c>
      <c r="AB19" s="26">
        <f>Q19+T19</f>
        <v>7</v>
      </c>
      <c r="AC19" s="26">
        <f>R19+U19+X19</f>
        <v>1</v>
      </c>
      <c r="AD19" s="26"/>
      <c r="AE19" s="119" t="str">
        <f>'Players - Ladies'!B19</f>
        <v>Kelsey Gauci</v>
      </c>
      <c r="AF19" s="44">
        <f>J35+Y27+Y35+J19+J31</f>
        <v>4</v>
      </c>
      <c r="AG19" s="44">
        <f t="shared" ref="AG19:AI19" si="6">L35+AA27+AA35+L19+L31</f>
        <v>9</v>
      </c>
      <c r="AH19" s="44">
        <f t="shared" si="6"/>
        <v>36</v>
      </c>
      <c r="AI19" s="45">
        <f t="shared" si="6"/>
        <v>6</v>
      </c>
      <c r="AJ19" s="26"/>
      <c r="AK19" s="33"/>
      <c r="AL19" s="33"/>
      <c r="AM19" s="26"/>
      <c r="AN19" s="26"/>
    </row>
    <row r="20" ht="14.25" customHeight="1">
      <c r="A20" s="26"/>
      <c r="B20" s="26"/>
      <c r="C20" s="26"/>
      <c r="D20" s="26"/>
      <c r="E20" s="26"/>
      <c r="F20" s="26"/>
      <c r="G20" s="26"/>
      <c r="H20" s="50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50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33"/>
      <c r="AL20" s="26"/>
      <c r="AM20" s="26"/>
      <c r="AN20" s="26"/>
    </row>
    <row r="21" ht="14.25" customHeight="1">
      <c r="A21" s="38" t="str">
        <f>AE11</f>
        <v>Kristina Briffa</v>
      </c>
      <c r="B21" s="39">
        <v>7.0</v>
      </c>
      <c r="C21" s="40">
        <f>IF(B21&gt;B23,1,0)</f>
        <v>1</v>
      </c>
      <c r="D21" s="41"/>
      <c r="E21" s="39">
        <v>4.0</v>
      </c>
      <c r="F21" s="40">
        <f>IF(E21&gt;E23,1,0)</f>
        <v>0</v>
      </c>
      <c r="G21" s="41"/>
      <c r="H21" s="39">
        <v>10.0</v>
      </c>
      <c r="I21" s="26">
        <f>IF(H21&gt;H23,1,0)</f>
        <v>1</v>
      </c>
      <c r="J21" s="26">
        <f>IF(B21="",0,1)</f>
        <v>1</v>
      </c>
      <c r="K21" s="26">
        <f>IF(C21+F21=2,3,IF(C21+F21=1,1,0))</f>
        <v>1</v>
      </c>
      <c r="L21" s="26">
        <f>IF(K21=3,3,IF(I21+K21=2,2,IF(K21=1,1,0)))</f>
        <v>2</v>
      </c>
      <c r="M21" s="26">
        <f>B21+E21</f>
        <v>11</v>
      </c>
      <c r="N21" s="26">
        <f>C21+F21+I21</f>
        <v>2</v>
      </c>
      <c r="O21" s="26"/>
      <c r="P21" s="38" t="str">
        <f>AE11</f>
        <v>Kristina Briffa</v>
      </c>
      <c r="Q21" s="39">
        <v>7.0</v>
      </c>
      <c r="R21" s="40">
        <f>IF(Q21&gt;Q23,1,0)</f>
        <v>1</v>
      </c>
      <c r="S21" s="41"/>
      <c r="T21" s="39">
        <v>4.0</v>
      </c>
      <c r="U21" s="40">
        <f>IF(T21&gt;T23,1,0)</f>
        <v>0</v>
      </c>
      <c r="V21" s="41"/>
      <c r="W21" s="39">
        <v>10.0</v>
      </c>
      <c r="X21" s="26">
        <f>IF(W21&gt;W23,1,0)</f>
        <v>1</v>
      </c>
      <c r="Y21" s="26">
        <f>IF(Q21="",0,1)</f>
        <v>1</v>
      </c>
      <c r="Z21" s="26">
        <f>IF(R21+U21=2,3,IF(R21+U21=1,1,0))</f>
        <v>1</v>
      </c>
      <c r="AA21" s="26">
        <f>IF(Z21=3,3,IF(X21+Z21=2,2,IF(Z21=1,1,0)))</f>
        <v>2</v>
      </c>
      <c r="AB21" s="26">
        <f>Q21+T21</f>
        <v>11</v>
      </c>
      <c r="AC21" s="26">
        <f>R21+U21+X21</f>
        <v>2</v>
      </c>
      <c r="AD21" s="52"/>
      <c r="AE21" s="112" t="s">
        <v>77</v>
      </c>
      <c r="AF21" s="29"/>
      <c r="AG21" s="29"/>
      <c r="AH21" s="29"/>
      <c r="AI21" s="30"/>
      <c r="AJ21" s="26"/>
      <c r="AK21" s="26"/>
      <c r="AL21" s="26"/>
      <c r="AM21" s="26"/>
      <c r="AN21" s="26"/>
    </row>
    <row r="22" ht="14.25" customHeight="1">
      <c r="A22" s="46" t="s">
        <v>71</v>
      </c>
      <c r="H22" s="47"/>
      <c r="I22" s="48"/>
      <c r="J22" s="26"/>
      <c r="K22" s="26"/>
      <c r="L22" s="26"/>
      <c r="M22" s="26"/>
      <c r="N22" s="26"/>
      <c r="O22" s="26"/>
      <c r="P22" s="46" t="s">
        <v>71</v>
      </c>
      <c r="W22" s="47"/>
      <c r="X22" s="48"/>
      <c r="Y22" s="26"/>
      <c r="Z22" s="26"/>
      <c r="AA22" s="26"/>
      <c r="AB22" s="26"/>
      <c r="AC22" s="26"/>
      <c r="AD22" s="26"/>
      <c r="AE22" s="53" t="s">
        <v>98</v>
      </c>
      <c r="AF22" s="29"/>
      <c r="AG22" s="29"/>
      <c r="AH22" s="29"/>
      <c r="AI22" s="30"/>
      <c r="AJ22" s="26"/>
      <c r="AK22" s="33"/>
      <c r="AL22" s="26"/>
      <c r="AM22" s="26"/>
      <c r="AN22" s="26"/>
    </row>
    <row r="23" ht="14.25" customHeight="1">
      <c r="A23" s="49" t="str">
        <f>AE17</f>
        <v>Jin Attard</v>
      </c>
      <c r="B23" s="39">
        <v>6.0</v>
      </c>
      <c r="C23" s="50">
        <f>IF(B23&gt;B21,1,0)</f>
        <v>0</v>
      </c>
      <c r="D23" s="51"/>
      <c r="E23" s="39">
        <v>6.0</v>
      </c>
      <c r="F23" s="50">
        <f>IF(E23&gt;E21,1,0)</f>
        <v>1</v>
      </c>
      <c r="G23" s="51"/>
      <c r="H23" s="39">
        <v>8.0</v>
      </c>
      <c r="I23" s="26">
        <f>IF(H23&gt;H21,1,0)</f>
        <v>0</v>
      </c>
      <c r="J23" s="26">
        <f>IF(B23="",0,1)</f>
        <v>1</v>
      </c>
      <c r="K23" s="26">
        <f>IF(C23+F23=2,3,IF(C23+F23=1,1,0))</f>
        <v>1</v>
      </c>
      <c r="L23" s="26">
        <f>IF(K23=3,3,IF(I23+K23=2,2,IF(K23=1,1,0)))</f>
        <v>1</v>
      </c>
      <c r="M23" s="26">
        <f>B23+E23</f>
        <v>12</v>
      </c>
      <c r="N23" s="26">
        <f>C23+F23+I23</f>
        <v>1</v>
      </c>
      <c r="O23" s="26"/>
      <c r="P23" s="49" t="str">
        <f>AE15</f>
        <v>Dawn Azzopardi</v>
      </c>
      <c r="Q23" s="39">
        <v>6.0</v>
      </c>
      <c r="R23" s="50">
        <f>IF(Q23&gt;Q21,1,0)</f>
        <v>0</v>
      </c>
      <c r="S23" s="51"/>
      <c r="T23" s="39">
        <v>6.0</v>
      </c>
      <c r="U23" s="50">
        <f>IF(T23&gt;T21,1,0)</f>
        <v>1</v>
      </c>
      <c r="V23" s="51"/>
      <c r="W23" s="39">
        <v>1.0</v>
      </c>
      <c r="X23" s="26">
        <f>IF(W23&gt;W21,1,0)</f>
        <v>0</v>
      </c>
      <c r="Y23" s="26">
        <f>IF(Q23="",0,1)</f>
        <v>1</v>
      </c>
      <c r="Z23" s="26">
        <f>IF(R23+U23=2,3,IF(R23+U23=1,1,0))</f>
        <v>1</v>
      </c>
      <c r="AA23" s="26">
        <f>IF(Z23=3,3,IF(X23+Z23=2,2,IF(Z23=1,1,0)))</f>
        <v>1</v>
      </c>
      <c r="AB23" s="26">
        <f>Q23+T23</f>
        <v>12</v>
      </c>
      <c r="AC23" s="26">
        <f>R23+U23+X23</f>
        <v>1</v>
      </c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</row>
    <row r="24" ht="14.25" customHeight="1">
      <c r="A24" s="26"/>
      <c r="B24" s="26"/>
      <c r="C24" s="26"/>
      <c r="D24" s="26"/>
      <c r="E24" s="26"/>
      <c r="F24" s="26"/>
      <c r="G24" s="26"/>
      <c r="H24" s="50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50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</row>
    <row r="25" ht="14.25" customHeight="1">
      <c r="A25" s="38" t="str">
        <f>AE13</f>
        <v>Francesca Sciortino</v>
      </c>
      <c r="B25" s="39">
        <v>4.0</v>
      </c>
      <c r="C25" s="40">
        <f>IF(B25&gt;B27,1,0)</f>
        <v>0</v>
      </c>
      <c r="D25" s="41"/>
      <c r="E25" s="39">
        <v>3.0</v>
      </c>
      <c r="F25" s="40">
        <f>IF(E25&gt;E27,1,0)</f>
        <v>0</v>
      </c>
      <c r="G25" s="41"/>
      <c r="H25" s="42"/>
      <c r="I25" s="26">
        <f>IF(H25&gt;H27,1,0)</f>
        <v>0</v>
      </c>
      <c r="J25" s="26">
        <f>IF(B25="",0,1)</f>
        <v>1</v>
      </c>
      <c r="K25" s="26">
        <f>IF(C25+F25=2,3,IF(C25+F25=1,1,0))</f>
        <v>0</v>
      </c>
      <c r="L25" s="26">
        <f>IF(K25=3,3,IF(I25+K25=2,2,IF(K25=1,1,0)))</f>
        <v>0</v>
      </c>
      <c r="M25" s="26">
        <f>B25+E25</f>
        <v>7</v>
      </c>
      <c r="N25" s="26">
        <f>C25+F25+I25</f>
        <v>0</v>
      </c>
      <c r="O25" s="26"/>
      <c r="P25" s="38" t="str">
        <f>AE11</f>
        <v>Kristina Briffa</v>
      </c>
      <c r="Q25" s="39">
        <v>1.0</v>
      </c>
      <c r="R25" s="40">
        <f>IF(Q25&gt;Q27,1,0)</f>
        <v>0</v>
      </c>
      <c r="S25" s="41"/>
      <c r="T25" s="39">
        <v>3.0</v>
      </c>
      <c r="U25" s="40">
        <f>IF(T25&gt;T27,1,0)</f>
        <v>0</v>
      </c>
      <c r="V25" s="41"/>
      <c r="W25" s="42"/>
      <c r="X25" s="26">
        <f>IF(W25&gt;W27,1,0)</f>
        <v>0</v>
      </c>
      <c r="Y25" s="26">
        <f>IF(Q25="",0,1)</f>
        <v>1</v>
      </c>
      <c r="Z25" s="26">
        <f>IF(R25+U25=2,3,IF(R25+U25=1,1,0))</f>
        <v>0</v>
      </c>
      <c r="AA25" s="26">
        <f>IF(Z25=3,3,IF(X25+Z25=2,2,IF(Z25=1,1,0)))</f>
        <v>0</v>
      </c>
      <c r="AB25" s="26">
        <f>Q25+T25</f>
        <v>4</v>
      </c>
      <c r="AC25" s="26">
        <f>R25+U25+X25</f>
        <v>0</v>
      </c>
      <c r="AD25" s="26"/>
      <c r="AE25" s="112" t="s">
        <v>78</v>
      </c>
      <c r="AF25" s="29"/>
      <c r="AG25" s="29"/>
      <c r="AH25" s="29"/>
      <c r="AI25" s="30"/>
      <c r="AJ25" s="26"/>
      <c r="AK25" s="26"/>
      <c r="AL25" s="26"/>
      <c r="AM25" s="26"/>
      <c r="AN25" s="26"/>
    </row>
    <row r="26" ht="14.25" customHeight="1">
      <c r="A26" s="46" t="s">
        <v>71</v>
      </c>
      <c r="H26" s="47"/>
      <c r="I26" s="48"/>
      <c r="J26" s="26"/>
      <c r="K26" s="26"/>
      <c r="L26" s="26"/>
      <c r="M26" s="26"/>
      <c r="N26" s="26"/>
      <c r="O26" s="26"/>
      <c r="P26" s="46" t="s">
        <v>71</v>
      </c>
      <c r="W26" s="47"/>
      <c r="X26" s="48"/>
      <c r="Y26" s="26"/>
      <c r="Z26" s="26"/>
      <c r="AA26" s="26"/>
      <c r="AB26" s="26"/>
      <c r="AC26" s="26"/>
      <c r="AD26" s="26"/>
      <c r="AE26" s="53" t="s">
        <v>97</v>
      </c>
      <c r="AF26" s="29"/>
      <c r="AG26" s="29"/>
      <c r="AH26" s="29"/>
      <c r="AI26" s="30"/>
      <c r="AJ26" s="26"/>
      <c r="AK26" s="26"/>
      <c r="AL26" s="26"/>
      <c r="AM26" s="26"/>
      <c r="AN26" s="26"/>
    </row>
    <row r="27" ht="14.25" customHeight="1">
      <c r="A27" s="49" t="str">
        <f>AE17</f>
        <v>Jin Attard</v>
      </c>
      <c r="B27" s="39">
        <v>6.0</v>
      </c>
      <c r="C27" s="50">
        <f>IF(B27&gt;B25,1,0)</f>
        <v>1</v>
      </c>
      <c r="D27" s="51"/>
      <c r="E27" s="39">
        <v>6.0</v>
      </c>
      <c r="F27" s="50">
        <f>IF(E27&gt;E25,1,0)</f>
        <v>1</v>
      </c>
      <c r="G27" s="51"/>
      <c r="H27" s="42"/>
      <c r="I27" s="26">
        <f>IF(H27&gt;H25,1,0)</f>
        <v>0</v>
      </c>
      <c r="J27" s="26">
        <f>IF(B27="",0,1)</f>
        <v>1</v>
      </c>
      <c r="K27" s="26">
        <f>IF(C27+F27=2,3,IF(C27+F27=1,1,0))</f>
        <v>3</v>
      </c>
      <c r="L27" s="26">
        <f>IF(K27=3,3,IF(I27+K27=2,2,IF(K27=1,1,0)))</f>
        <v>3</v>
      </c>
      <c r="M27" s="26">
        <f>B27+E27</f>
        <v>12</v>
      </c>
      <c r="N27" s="26">
        <f>C27+F27+I27</f>
        <v>2</v>
      </c>
      <c r="O27" s="26"/>
      <c r="P27" s="49" t="str">
        <f>AE19</f>
        <v>Kelsey Gauci</v>
      </c>
      <c r="Q27" s="39">
        <v>6.0</v>
      </c>
      <c r="R27" s="50">
        <f>IF(Q27&gt;Q25,1,0)</f>
        <v>1</v>
      </c>
      <c r="S27" s="51"/>
      <c r="T27" s="39">
        <v>6.0</v>
      </c>
      <c r="U27" s="50">
        <f>IF(T27&gt;T25,1,0)</f>
        <v>1</v>
      </c>
      <c r="V27" s="51"/>
      <c r="W27" s="42"/>
      <c r="X27" s="26">
        <f>IF(W27&gt;W25,1,0)</f>
        <v>0</v>
      </c>
      <c r="Y27" s="26">
        <f>IF(Q27="",0,1)</f>
        <v>1</v>
      </c>
      <c r="Z27" s="26">
        <f>IF(R27+U27=2,3,IF(R27+U27=1,1,0))</f>
        <v>3</v>
      </c>
      <c r="AA27" s="26">
        <f>IF(Z27=3,3,IF(X27+Z27=2,2,IF(Z27=1,1,0)))</f>
        <v>3</v>
      </c>
      <c r="AB27" s="26">
        <f>Q27+T27</f>
        <v>12</v>
      </c>
      <c r="AC27" s="26">
        <f>R27+U27+X27</f>
        <v>2</v>
      </c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</row>
    <row r="28" ht="14.25" customHeight="1">
      <c r="A28" s="26"/>
      <c r="B28" s="26"/>
      <c r="C28" s="26"/>
      <c r="D28" s="26"/>
      <c r="E28" s="26"/>
      <c r="F28" s="26"/>
      <c r="G28" s="26"/>
      <c r="H28" s="50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50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33"/>
      <c r="AI28" s="26"/>
      <c r="AJ28" s="26"/>
      <c r="AK28" s="26"/>
      <c r="AL28" s="26"/>
      <c r="AM28" s="26"/>
      <c r="AN28" s="26"/>
    </row>
    <row r="29" ht="14.25" customHeight="1">
      <c r="A29" s="38" t="str">
        <f>AE15</f>
        <v>Dawn Azzopardi</v>
      </c>
      <c r="B29" s="39">
        <v>1.0</v>
      </c>
      <c r="C29" s="40">
        <f>IF(B29&gt;B31,1,0)</f>
        <v>0</v>
      </c>
      <c r="D29" s="41"/>
      <c r="E29" s="39">
        <v>4.0</v>
      </c>
      <c r="F29" s="40">
        <f>IF(E29&gt;E31,1,0)</f>
        <v>0</v>
      </c>
      <c r="G29" s="41"/>
      <c r="H29" s="42"/>
      <c r="I29" s="26">
        <f>IF(H29&gt;H31,1,0)</f>
        <v>0</v>
      </c>
      <c r="J29" s="26">
        <f>IF(B29="",0,1)</f>
        <v>1</v>
      </c>
      <c r="K29" s="26">
        <f>IF(C29+F29=2,3,IF(C29+F29=1,1,0))</f>
        <v>0</v>
      </c>
      <c r="L29" s="26">
        <f>IF(K29=3,3,IF(I29+K29=2,2,IF(K29=1,1,0)))</f>
        <v>0</v>
      </c>
      <c r="M29" s="26">
        <f>B29+E29</f>
        <v>5</v>
      </c>
      <c r="N29" s="26">
        <f>C29+F29+I29</f>
        <v>0</v>
      </c>
      <c r="O29" s="26"/>
      <c r="P29" s="38" t="str">
        <f>AE13</f>
        <v>Francesca Sciortino</v>
      </c>
      <c r="Q29" s="39">
        <v>3.0</v>
      </c>
      <c r="R29" s="40">
        <f>IF(Q29&gt;Q31,1,0)</f>
        <v>0</v>
      </c>
      <c r="S29" s="41"/>
      <c r="T29" s="39">
        <v>7.0</v>
      </c>
      <c r="U29" s="40">
        <f>IF(T29&gt;T31,1,0)</f>
        <v>1</v>
      </c>
      <c r="V29" s="41"/>
      <c r="W29" s="39">
        <v>5.0</v>
      </c>
      <c r="X29" s="26">
        <f>IF(W29&gt;W31,1,0)</f>
        <v>0</v>
      </c>
      <c r="Y29" s="26">
        <f>IF(Q29="",0,1)</f>
        <v>1</v>
      </c>
      <c r="Z29" s="26">
        <f>IF(R29+U29=2,3,IF(R29+U29=1,1,0))</f>
        <v>1</v>
      </c>
      <c r="AA29" s="26">
        <f>IF(Z29=3,3,IF(X29+Z29=2,2,IF(Z29=1,1,0)))</f>
        <v>1</v>
      </c>
      <c r="AB29" s="26">
        <f>Q29+T29</f>
        <v>10</v>
      </c>
      <c r="AC29" s="26">
        <f>R29+U29+X29</f>
        <v>1</v>
      </c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</row>
    <row r="30" ht="14.25" customHeight="1">
      <c r="A30" s="46" t="s">
        <v>71</v>
      </c>
      <c r="H30" s="47"/>
      <c r="I30" s="48"/>
      <c r="J30" s="26"/>
      <c r="K30" s="26"/>
      <c r="L30" s="26"/>
      <c r="M30" s="26"/>
      <c r="N30" s="26"/>
      <c r="O30" s="26"/>
      <c r="P30" s="46" t="s">
        <v>71</v>
      </c>
      <c r="W30" s="47"/>
      <c r="X30" s="48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54"/>
      <c r="AM30" s="26"/>
      <c r="AN30" s="26"/>
    </row>
    <row r="31" ht="14.25" customHeight="1">
      <c r="A31" s="49" t="str">
        <f>AE19</f>
        <v>Kelsey Gauci</v>
      </c>
      <c r="B31" s="39">
        <v>6.0</v>
      </c>
      <c r="C31" s="50">
        <f>IF(B31&gt;B29,1,0)</f>
        <v>1</v>
      </c>
      <c r="D31" s="51"/>
      <c r="E31" s="39">
        <v>6.0</v>
      </c>
      <c r="F31" s="50">
        <f>IF(E31&gt;E29,1,0)</f>
        <v>1</v>
      </c>
      <c r="G31" s="51"/>
      <c r="H31" s="42"/>
      <c r="I31" s="26">
        <f>IF(H31&gt;H29,1,0)</f>
        <v>0</v>
      </c>
      <c r="J31" s="26">
        <f>IF(B31="",0,1)</f>
        <v>1</v>
      </c>
      <c r="K31" s="26">
        <f>IF(C31+F31=2,3,IF(C31+F31=1,1,0))</f>
        <v>3</v>
      </c>
      <c r="L31" s="26">
        <f>IF(K31=3,3,IF(I31+K31=2,2,IF(K31=1,1,0)))</f>
        <v>3</v>
      </c>
      <c r="M31" s="26">
        <f>B31+E31</f>
        <v>12</v>
      </c>
      <c r="N31" s="26">
        <f>C31+F31+I31</f>
        <v>2</v>
      </c>
      <c r="O31" s="26"/>
      <c r="P31" s="49" t="str">
        <f>AE15</f>
        <v>Dawn Azzopardi</v>
      </c>
      <c r="Q31" s="39">
        <v>6.0</v>
      </c>
      <c r="R31" s="50">
        <f>IF(Q31&gt;Q29,1,0)</f>
        <v>1</v>
      </c>
      <c r="S31" s="51"/>
      <c r="T31" s="39">
        <v>6.0</v>
      </c>
      <c r="U31" s="50">
        <f>IF(T31&gt;T29,1,0)</f>
        <v>0</v>
      </c>
      <c r="V31" s="51"/>
      <c r="W31" s="39">
        <v>10.0</v>
      </c>
      <c r="X31" s="26">
        <f>IF(W31&gt;W29,1,0)</f>
        <v>1</v>
      </c>
      <c r="Y31" s="26">
        <f>IF(Q31="",0,1)</f>
        <v>1</v>
      </c>
      <c r="Z31" s="26">
        <f>IF(R31+U31=2,3,IF(R31+U31=1,1,0))</f>
        <v>1</v>
      </c>
      <c r="AA31" s="26">
        <f>IF(Z31=3,3,IF(X31+Z31=2,2,IF(Z31=1,1,0)))</f>
        <v>2</v>
      </c>
      <c r="AB31" s="26">
        <f>Q31+T31</f>
        <v>12</v>
      </c>
      <c r="AC31" s="26">
        <f>R31+U31+X31</f>
        <v>2</v>
      </c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33"/>
    </row>
    <row r="32" ht="14.25" customHeight="1">
      <c r="A32" s="26"/>
      <c r="B32" s="26"/>
      <c r="C32" s="26"/>
      <c r="D32" s="26"/>
      <c r="E32" s="26"/>
      <c r="F32" s="26"/>
      <c r="G32" s="26"/>
      <c r="H32" s="50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50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54"/>
      <c r="AM32" s="26"/>
      <c r="AN32" s="26"/>
    </row>
    <row r="33" ht="14.25" customHeight="1">
      <c r="A33" s="38" t="str">
        <f>AE17</f>
        <v>Jin Attard</v>
      </c>
      <c r="B33" s="39">
        <v>4.0</v>
      </c>
      <c r="C33" s="40">
        <f>IF(B33&gt;B35,1,0)</f>
        <v>0</v>
      </c>
      <c r="D33" s="41"/>
      <c r="E33" s="39">
        <v>3.0</v>
      </c>
      <c r="F33" s="40">
        <f>IF(E33&gt;E35,1,0)</f>
        <v>0</v>
      </c>
      <c r="G33" s="41"/>
      <c r="H33" s="42"/>
      <c r="I33" s="26">
        <f>IF(H33&gt;H35,1,0)</f>
        <v>0</v>
      </c>
      <c r="J33" s="26">
        <f>IF(B33="",0,1)</f>
        <v>1</v>
      </c>
      <c r="K33" s="26">
        <f>IF(C33+F33=2,3,IF(C33+F33=1,1,0))</f>
        <v>0</v>
      </c>
      <c r="L33" s="26">
        <f>IF(K33=3,3,IF(I33+K33=2,2,IF(K33=1,1,0)))</f>
        <v>0</v>
      </c>
      <c r="M33" s="26">
        <f>B33+E33</f>
        <v>7</v>
      </c>
      <c r="N33" s="26">
        <f>C33+F33+I33</f>
        <v>0</v>
      </c>
      <c r="O33" s="26"/>
      <c r="P33" s="38" t="str">
        <f>AE13</f>
        <v>Francesca Sciortino</v>
      </c>
      <c r="Q33" s="39">
        <v>6.0</v>
      </c>
      <c r="R33" s="40">
        <f>IF(Q33&gt;Q35,1,0)</f>
        <v>1</v>
      </c>
      <c r="S33" s="41"/>
      <c r="T33" s="39">
        <v>6.0</v>
      </c>
      <c r="U33" s="40">
        <f>IF(T33&gt;T35,1,0)</f>
        <v>1</v>
      </c>
      <c r="V33" s="41"/>
      <c r="W33" s="42"/>
      <c r="X33" s="26">
        <f>IF(W33&gt;W35,1,0)</f>
        <v>0</v>
      </c>
      <c r="Y33" s="26">
        <f>IF(Q33="",0,1)</f>
        <v>1</v>
      </c>
      <c r="Z33" s="26">
        <f>IF(R33+U33=2,3,IF(R33+U33=1,1,0))</f>
        <v>3</v>
      </c>
      <c r="AA33" s="26">
        <f>IF(Z33=3,3,IF(X33+Z33=2,2,IF(Z33=1,1,0)))</f>
        <v>3</v>
      </c>
      <c r="AB33" s="26">
        <f>Q33+T33</f>
        <v>12</v>
      </c>
      <c r="AC33" s="26">
        <f>R33+U33+X33</f>
        <v>2</v>
      </c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</row>
    <row r="34" ht="14.25" customHeight="1">
      <c r="A34" s="46" t="s">
        <v>71</v>
      </c>
      <c r="H34" s="47"/>
      <c r="I34" s="48"/>
      <c r="J34" s="26"/>
      <c r="K34" s="26"/>
      <c r="L34" s="26"/>
      <c r="M34" s="26"/>
      <c r="N34" s="26"/>
      <c r="O34" s="26"/>
      <c r="P34" s="46" t="s">
        <v>71</v>
      </c>
      <c r="W34" s="47"/>
      <c r="X34" s="48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</row>
    <row r="35" ht="14.25" customHeight="1">
      <c r="A35" s="49" t="str">
        <f>AE19</f>
        <v>Kelsey Gauci</v>
      </c>
      <c r="B35" s="39">
        <v>6.0</v>
      </c>
      <c r="C35" s="50">
        <f>IF(B35&gt;B33,1,0)</f>
        <v>1</v>
      </c>
      <c r="D35" s="51"/>
      <c r="E35" s="39">
        <v>6.0</v>
      </c>
      <c r="F35" s="50">
        <f>IF(E35&gt;E33,1,0)</f>
        <v>1</v>
      </c>
      <c r="G35" s="51"/>
      <c r="H35" s="42"/>
      <c r="I35" s="26">
        <f>IF(H35&gt;H33,1,0)</f>
        <v>0</v>
      </c>
      <c r="J35" s="26">
        <f>IF(B35="",0,1)</f>
        <v>1</v>
      </c>
      <c r="K35" s="26">
        <f>IF(C35+F35=2,3,IF(C35+F35=1,1,0))</f>
        <v>3</v>
      </c>
      <c r="L35" s="26">
        <f>IF(K35=3,3,IF(I35+K35=2,2,IF(K35=1,1,0)))</f>
        <v>3</v>
      </c>
      <c r="M35" s="26">
        <f>B35+E35</f>
        <v>12</v>
      </c>
      <c r="N35" s="26">
        <f>C35+F35+I35</f>
        <v>2</v>
      </c>
      <c r="O35" s="26"/>
      <c r="P35" s="49" t="str">
        <f>AE19</f>
        <v>Kelsey Gauci</v>
      </c>
      <c r="Q35" s="39">
        <v>0.0</v>
      </c>
      <c r="R35" s="50">
        <f>IF(Q35&gt;Q33,1,0)</f>
        <v>0</v>
      </c>
      <c r="S35" s="51"/>
      <c r="T35" s="39">
        <v>0.0</v>
      </c>
      <c r="U35" s="50">
        <f>IF(T35&gt;T33,1,0)</f>
        <v>0</v>
      </c>
      <c r="V35" s="51"/>
      <c r="W35" s="42"/>
      <c r="X35" s="26">
        <f>IF(W35&gt;W33,1,0)</f>
        <v>0</v>
      </c>
      <c r="Y35" s="26">
        <f>IF(Q35="",0,1)</f>
        <v>1</v>
      </c>
      <c r="Z35" s="26">
        <f>IF(R35+U35=2,3,IF(R35+U35=1,1,0))</f>
        <v>0</v>
      </c>
      <c r="AA35" s="26">
        <f>IF(Z35=3,3,IF(X35+Z35=2,2,IF(Z35=1,1,0)))</f>
        <v>0</v>
      </c>
      <c r="AB35" s="26">
        <f>Q35+T35</f>
        <v>0</v>
      </c>
      <c r="AC35" s="26">
        <f>R35+U35+X35</f>
        <v>0</v>
      </c>
      <c r="AD35" s="55" t="s">
        <v>73</v>
      </c>
      <c r="AE35" s="26"/>
      <c r="AF35" s="26"/>
      <c r="AG35" s="26"/>
      <c r="AH35" s="26"/>
      <c r="AI35" s="26"/>
      <c r="AJ35" s="26"/>
      <c r="AK35" s="26"/>
      <c r="AL35" s="26"/>
      <c r="AM35" s="26"/>
      <c r="AN35" s="26"/>
    </row>
    <row r="36" ht="14.25" customHeight="1">
      <c r="A36" s="26"/>
      <c r="B36" s="26"/>
      <c r="C36" s="26"/>
      <c r="D36" s="26"/>
      <c r="E36" s="26"/>
      <c r="F36" s="26"/>
      <c r="G36" s="26"/>
      <c r="H36" s="50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33"/>
      <c r="AI36" s="26"/>
      <c r="AJ36" s="26"/>
      <c r="AK36" s="33"/>
      <c r="AL36" s="26"/>
      <c r="AM36" s="26"/>
      <c r="AN36" s="26"/>
    </row>
    <row r="37" ht="14.25" customHeight="1">
      <c r="A37" s="38" t="str">
        <f>AE15</f>
        <v>Dawn Azzopardi</v>
      </c>
      <c r="B37" s="39">
        <v>4.0</v>
      </c>
      <c r="C37" s="40">
        <f>IF(B37&gt;B39,1,0)</f>
        <v>0</v>
      </c>
      <c r="D37" s="41"/>
      <c r="E37" s="39">
        <v>4.0</v>
      </c>
      <c r="F37" s="40">
        <f>IF(E37&gt;E39,1,0)</f>
        <v>0</v>
      </c>
      <c r="G37" s="41"/>
      <c r="H37" s="42"/>
      <c r="I37" s="26">
        <f>IF(H37&gt;H39,1,0)</f>
        <v>0</v>
      </c>
      <c r="J37" s="26">
        <f>IF(B37="",0,1)</f>
        <v>1</v>
      </c>
      <c r="K37" s="26">
        <f>IF(C37+F37=2,3,IF(C37+F37=1,1,0))</f>
        <v>0</v>
      </c>
      <c r="L37" s="26">
        <f>IF(K37=3,3,IF(I37+K37=2,2,IF(K37=1,1,0)))</f>
        <v>0</v>
      </c>
      <c r="M37" s="26">
        <f>B37+E37</f>
        <v>8</v>
      </c>
      <c r="N37" s="26">
        <f>C37+F37+I37</f>
        <v>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33"/>
      <c r="AL37" s="26"/>
      <c r="AM37" s="26"/>
      <c r="AN37" s="26"/>
    </row>
    <row r="38" ht="14.25" customHeight="1">
      <c r="A38" s="46" t="s">
        <v>71</v>
      </c>
      <c r="H38" s="47"/>
      <c r="I38" s="48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56"/>
      <c r="AK38" s="26"/>
      <c r="AL38" s="26"/>
      <c r="AM38" s="26"/>
      <c r="AN38" s="26"/>
    </row>
    <row r="39" ht="14.25" customHeight="1">
      <c r="A39" s="49" t="str">
        <f>AE17</f>
        <v>Jin Attard</v>
      </c>
      <c r="B39" s="39">
        <v>6.0</v>
      </c>
      <c r="C39" s="50">
        <f>IF(B39&gt;B37,1,0)</f>
        <v>1</v>
      </c>
      <c r="D39" s="51"/>
      <c r="E39" s="39">
        <v>6.0</v>
      </c>
      <c r="F39" s="50">
        <f>IF(E39&gt;E37,1,0)</f>
        <v>1</v>
      </c>
      <c r="G39" s="51"/>
      <c r="H39" s="42"/>
      <c r="I39" s="26">
        <f>IF(H39&gt;H37,1,0)</f>
        <v>0</v>
      </c>
      <c r="J39" s="26">
        <f>IF(B39="",0,1)</f>
        <v>1</v>
      </c>
      <c r="K39" s="26">
        <f>IF(C39+F39=2,3,IF(C39+F39=1,1,0))</f>
        <v>3</v>
      </c>
      <c r="L39" s="26">
        <f>IF(K39=3,3,IF(I39+K39=2,2,IF(K39=1,1,0)))</f>
        <v>3</v>
      </c>
      <c r="M39" s="26">
        <f>B39+E39</f>
        <v>12</v>
      </c>
      <c r="N39" s="26">
        <f>C39+F39+I39</f>
        <v>2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</row>
    <row r="40" ht="14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</row>
    <row r="41" ht="14.2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56"/>
      <c r="AK41" s="26"/>
      <c r="AL41" s="26"/>
      <c r="AM41" s="26"/>
      <c r="AN41" s="26"/>
    </row>
    <row r="42" ht="14.2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</row>
    <row r="43" ht="14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</row>
    <row r="44" ht="14.2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</row>
    <row r="45" ht="14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</row>
    <row r="46" ht="14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56"/>
      <c r="AK46" s="26"/>
      <c r="AL46" s="33"/>
      <c r="AM46" s="26"/>
      <c r="AN46" s="26"/>
    </row>
    <row r="47" ht="14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</row>
    <row r="48" ht="14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</row>
    <row r="49" ht="14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</row>
    <row r="50" ht="14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</row>
    <row r="51" ht="14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56"/>
      <c r="AK51" s="26"/>
      <c r="AL51" s="26"/>
      <c r="AM51" s="26"/>
      <c r="AN51" s="33"/>
    </row>
    <row r="52" ht="14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</row>
    <row r="53" ht="14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</row>
    <row r="54" ht="14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</row>
    <row r="55" ht="14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33"/>
      <c r="AI55" s="26"/>
      <c r="AJ55" s="26"/>
      <c r="AK55" s="33"/>
      <c r="AL55" s="26"/>
      <c r="AM55" s="26"/>
      <c r="AN55" s="26"/>
    </row>
    <row r="56" ht="14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</row>
    <row r="57" ht="14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</row>
    <row r="58" ht="14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</row>
    <row r="59" ht="14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</row>
    <row r="60" ht="14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</row>
    <row r="61" ht="14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</row>
    <row r="62" ht="14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</row>
    <row r="63" ht="14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</row>
    <row r="64" ht="14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</row>
    <row r="65" ht="14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</row>
    <row r="66" ht="14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</row>
    <row r="67" ht="14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</row>
    <row r="68" ht="14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</row>
    <row r="69" ht="14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</row>
    <row r="70" ht="14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</row>
    <row r="71" ht="14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</row>
    <row r="72" ht="14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</row>
    <row r="73" ht="14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</row>
    <row r="74" ht="14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</row>
    <row r="75" ht="14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</row>
    <row r="76" ht="14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</row>
    <row r="77" ht="14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</row>
    <row r="78" ht="14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</row>
    <row r="79" ht="14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</row>
    <row r="80" ht="14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</row>
    <row r="81" ht="14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</row>
    <row r="82" ht="14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</row>
    <row r="83" ht="14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</row>
    <row r="84" ht="14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</row>
    <row r="85" ht="14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</row>
    <row r="86" ht="14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</row>
    <row r="87" ht="14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</row>
    <row r="88" ht="14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</row>
    <row r="89" ht="14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</row>
    <row r="90" ht="14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</row>
    <row r="91" ht="14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</row>
    <row r="92" ht="14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</row>
    <row r="93" ht="14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ht="14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ht="14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</row>
    <row r="96" ht="14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</row>
    <row r="97" ht="14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</row>
    <row r="98" ht="14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</row>
    <row r="99" ht="14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</row>
    <row r="100" ht="14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</row>
    <row r="101" ht="14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</row>
    <row r="102" ht="14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</row>
    <row r="103" ht="14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</row>
    <row r="104" ht="14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</row>
    <row r="105" ht="14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33"/>
      <c r="R105" s="33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</row>
    <row r="106" ht="14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</row>
    <row r="107" ht="14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</row>
    <row r="108" ht="14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</row>
    <row r="109" ht="14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ht="14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ht="14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</row>
    <row r="112" ht="14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</row>
    <row r="113" ht="14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</row>
    <row r="114" ht="14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</row>
    <row r="115" ht="14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</row>
    <row r="116" ht="14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</row>
    <row r="117" ht="14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</row>
    <row r="118" ht="14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</row>
    <row r="119" ht="14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</row>
    <row r="120" ht="14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</row>
    <row r="121" ht="14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</row>
    <row r="122" ht="14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</row>
    <row r="123" ht="14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</row>
    <row r="124" ht="14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</row>
    <row r="125" ht="14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</row>
    <row r="126" ht="14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</row>
    <row r="127" ht="14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</row>
    <row r="128" ht="14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</row>
    <row r="129" ht="14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</row>
    <row r="130" ht="14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</row>
    <row r="131" ht="14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</row>
    <row r="132" ht="14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</row>
    <row r="133" ht="14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</row>
    <row r="134" ht="14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</row>
    <row r="135" ht="14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</row>
    <row r="136" ht="14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</row>
    <row r="137" ht="14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</row>
    <row r="138" ht="14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</row>
    <row r="139" ht="14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</row>
    <row r="140" ht="14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</row>
    <row r="141" ht="14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</row>
    <row r="142" ht="14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</row>
    <row r="143" ht="14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</row>
    <row r="144" ht="14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</row>
    <row r="145" ht="14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</row>
    <row r="146" ht="14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</row>
    <row r="147" ht="14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</row>
    <row r="148" ht="14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</row>
    <row r="149" ht="14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</row>
    <row r="150" ht="14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</row>
    <row r="151" ht="14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</row>
    <row r="152" ht="14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</row>
    <row r="153" ht="14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</row>
    <row r="154" ht="14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</row>
    <row r="155" ht="14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</row>
    <row r="156" ht="14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</row>
    <row r="157" ht="14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</row>
    <row r="158" ht="14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</row>
    <row r="159" ht="14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</row>
    <row r="160" ht="14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</row>
    <row r="161" ht="14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</row>
    <row r="162" ht="14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</row>
    <row r="163" ht="14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</row>
    <row r="164" ht="14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</row>
    <row r="165" ht="14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</row>
    <row r="166" ht="14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</row>
    <row r="167" ht="14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</row>
    <row r="168" ht="14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</row>
    <row r="169" ht="14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</row>
    <row r="170" ht="14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</row>
    <row r="171" ht="14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</row>
    <row r="172" ht="14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</row>
    <row r="173" ht="14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</row>
    <row r="174" ht="14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</row>
    <row r="175" ht="14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</row>
    <row r="176" ht="14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</row>
    <row r="177" ht="14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</row>
    <row r="178" ht="14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</row>
    <row r="179" ht="14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</row>
    <row r="180" ht="14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</row>
    <row r="181" ht="14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</row>
    <row r="182" ht="14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</row>
    <row r="183" ht="14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</row>
    <row r="184" ht="14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</row>
    <row r="185" ht="14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</row>
    <row r="186" ht="14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</row>
    <row r="187" ht="14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</row>
    <row r="188" ht="14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</row>
    <row r="189" ht="14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</row>
    <row r="190" ht="14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</row>
    <row r="191" ht="14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</row>
    <row r="192" ht="14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</row>
    <row r="193" ht="14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</row>
    <row r="194" ht="14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</row>
    <row r="195" ht="14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</row>
    <row r="196" ht="14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</row>
    <row r="197" ht="14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</row>
    <row r="198" ht="14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</row>
    <row r="199" ht="14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</row>
    <row r="200" ht="14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</row>
    <row r="201" ht="14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</row>
    <row r="202" ht="14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</row>
    <row r="203" ht="14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</row>
    <row r="204" ht="14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</row>
    <row r="205" ht="14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</row>
    <row r="206" ht="14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</row>
    <row r="207" ht="14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</row>
    <row r="208" ht="14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</row>
    <row r="209" ht="14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</row>
    <row r="210" ht="14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</row>
    <row r="211" ht="14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</row>
    <row r="212" ht="14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</row>
    <row r="213" ht="14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</row>
    <row r="214" ht="14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</row>
    <row r="215" ht="14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</row>
    <row r="216" ht="14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</row>
    <row r="217" ht="14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</row>
    <row r="218" ht="14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</row>
    <row r="219" ht="14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</row>
    <row r="220" ht="14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</row>
    <row r="221" ht="14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</row>
    <row r="222" ht="14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</row>
    <row r="223" ht="14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</row>
    <row r="224" ht="14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</row>
    <row r="225" ht="14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</row>
    <row r="226" ht="14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</row>
    <row r="227" ht="14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</row>
    <row r="228" ht="14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</row>
    <row r="229" ht="14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</row>
    <row r="230" ht="14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</row>
    <row r="231" ht="14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</row>
    <row r="232" ht="14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</row>
    <row r="233" ht="14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</row>
    <row r="234" ht="14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</row>
    <row r="235" ht="14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</row>
    <row r="236" ht="14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</row>
    <row r="237" ht="14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</row>
    <row r="238" ht="14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</row>
    <row r="239" ht="14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</row>
    <row r="240" ht="14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</row>
    <row r="241" ht="14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</row>
    <row r="242" ht="14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</row>
    <row r="243" ht="14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</row>
    <row r="244" ht="14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</row>
    <row r="245" ht="14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ht="14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ht="14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</row>
    <row r="248" ht="14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</row>
    <row r="249" ht="14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</row>
    <row r="250" ht="14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</row>
    <row r="251" ht="14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</row>
    <row r="252" ht="14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 ht="14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 ht="14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</row>
    <row r="255" ht="14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</row>
    <row r="256" ht="14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</row>
    <row r="257" ht="14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</row>
    <row r="258" ht="14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 ht="14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</row>
    <row r="260" ht="14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</row>
    <row r="261" ht="14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</row>
    <row r="262" ht="14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</row>
    <row r="263" ht="14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</row>
    <row r="264" ht="14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</row>
    <row r="265" ht="14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</row>
    <row r="266" ht="14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</row>
    <row r="267" ht="14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</row>
    <row r="268" ht="14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</row>
    <row r="269" ht="14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</row>
    <row r="270" ht="14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</row>
    <row r="271" ht="14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</row>
    <row r="272" ht="14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</row>
    <row r="273" ht="14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</row>
    <row r="274" ht="14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</row>
    <row r="275" ht="14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</row>
    <row r="276" ht="14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</row>
    <row r="277" ht="14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</row>
    <row r="278" ht="14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</row>
    <row r="279" ht="14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</row>
    <row r="280" ht="14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</row>
    <row r="281" ht="14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</row>
    <row r="282" ht="14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</row>
    <row r="283" ht="14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</row>
    <row r="284" ht="14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</row>
    <row r="285" ht="14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</row>
    <row r="286" ht="14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</row>
    <row r="287" ht="14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</row>
    <row r="288" ht="14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</row>
    <row r="289" ht="14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</row>
    <row r="290" ht="14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</row>
    <row r="291" ht="14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</row>
    <row r="292" ht="14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</row>
    <row r="293" ht="14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</row>
    <row r="294" ht="14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</row>
    <row r="295" ht="14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</row>
    <row r="296" ht="14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</row>
    <row r="297" ht="14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</row>
    <row r="298" ht="14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</row>
    <row r="299" ht="14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</row>
    <row r="300" ht="14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</row>
    <row r="301" ht="14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</row>
    <row r="302" ht="14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</row>
    <row r="303" ht="14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</row>
    <row r="304" ht="14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</row>
    <row r="305" ht="14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</row>
    <row r="306" ht="14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</row>
    <row r="307" ht="14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</row>
    <row r="308" ht="14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</row>
    <row r="309" ht="14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</row>
    <row r="310" ht="14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</row>
    <row r="311" ht="14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</row>
    <row r="312" ht="14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</row>
    <row r="313" ht="14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</row>
    <row r="314" ht="14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</row>
    <row r="315" ht="14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</row>
    <row r="316" ht="14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</row>
    <row r="317" ht="14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</row>
    <row r="318" ht="14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</row>
    <row r="319" ht="14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</row>
    <row r="320" ht="14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</row>
    <row r="321" ht="14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</row>
    <row r="322" ht="14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</row>
    <row r="323" ht="14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</row>
    <row r="324" ht="14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</row>
    <row r="325" ht="14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</row>
    <row r="326" ht="14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</row>
    <row r="327" ht="14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</row>
    <row r="328" ht="14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</row>
    <row r="329" ht="14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</row>
    <row r="330" ht="14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</row>
    <row r="331" ht="14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</row>
    <row r="332" ht="14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</row>
    <row r="333" ht="14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</row>
    <row r="334" ht="14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</row>
    <row r="335" ht="14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ht="14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ht="14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 ht="14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</row>
    <row r="339" ht="14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</row>
    <row r="340" ht="14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</row>
    <row r="341" ht="14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</row>
    <row r="342" ht="14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</row>
    <row r="343" ht="14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</row>
    <row r="344" ht="14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</row>
    <row r="345" ht="14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</row>
    <row r="346" ht="14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</row>
    <row r="347" ht="14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</row>
    <row r="348" ht="14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</row>
    <row r="349" ht="14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</row>
    <row r="350" ht="14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</row>
    <row r="351" ht="14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</row>
    <row r="352" ht="14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</row>
    <row r="353" ht="14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</row>
    <row r="354" ht="14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</row>
    <row r="355" ht="14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</row>
    <row r="356" ht="14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</row>
    <row r="357" ht="14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</row>
    <row r="358" ht="14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</row>
    <row r="359" ht="14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</row>
    <row r="360" ht="14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</row>
    <row r="361" ht="14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</row>
    <row r="362" ht="14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</row>
    <row r="363" ht="14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</row>
    <row r="364" ht="14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</row>
    <row r="365" ht="14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</row>
    <row r="366" ht="14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</row>
    <row r="367" ht="14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</row>
    <row r="368" ht="14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</row>
    <row r="369" ht="14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</row>
    <row r="370" ht="14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</row>
    <row r="371" ht="14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</row>
    <row r="372" ht="14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</row>
    <row r="373" ht="14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</row>
    <row r="374" ht="14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ht="14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ht="14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ht="14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ht="14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ht="14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ht="14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ht="14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ht="14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ht="14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ht="14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ht="14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ht="14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ht="14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ht="14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ht="14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ht="14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ht="14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ht="14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ht="14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ht="14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ht="14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ht="14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ht="14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ht="14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ht="14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ht="14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ht="14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ht="14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ht="14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ht="14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ht="14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ht="14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ht="14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</row>
    <row r="408" ht="14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</row>
    <row r="409" ht="14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</row>
    <row r="410" ht="14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</row>
    <row r="411" ht="14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</row>
    <row r="412" ht="14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</row>
    <row r="413" ht="14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</row>
    <row r="414" ht="14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</row>
    <row r="415" ht="14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</row>
    <row r="416" ht="14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</row>
    <row r="417" ht="14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</row>
    <row r="418" ht="14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</row>
    <row r="419" ht="14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</row>
    <row r="420" ht="14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</row>
    <row r="421" ht="14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</row>
    <row r="422" ht="14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</row>
    <row r="423" ht="14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</row>
    <row r="424" ht="14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</row>
    <row r="425" ht="14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</row>
    <row r="426" ht="14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</row>
    <row r="427" ht="14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</row>
    <row r="428" ht="14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</row>
    <row r="429" ht="14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</row>
    <row r="430" ht="14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</row>
    <row r="431" ht="14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</row>
    <row r="432" ht="14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</row>
    <row r="433" ht="14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</row>
    <row r="434" ht="14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</row>
    <row r="435" ht="14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</row>
    <row r="436" ht="14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</row>
    <row r="437" ht="14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</row>
    <row r="438" ht="14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</row>
    <row r="439" ht="14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</row>
    <row r="440" ht="14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</row>
    <row r="441" ht="14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</row>
    <row r="442" ht="14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</row>
    <row r="443" ht="14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</row>
    <row r="444" ht="14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</row>
    <row r="445" ht="14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</row>
    <row r="446" ht="14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</row>
    <row r="447" ht="14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</row>
    <row r="448" ht="14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</row>
    <row r="449" ht="14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</row>
    <row r="450" ht="14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</row>
    <row r="451" ht="14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</row>
    <row r="452" ht="14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</row>
    <row r="453" ht="14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</row>
    <row r="454" ht="14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</row>
    <row r="455" ht="14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</row>
    <row r="456" ht="14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</row>
    <row r="457" ht="14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</row>
    <row r="458" ht="14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</row>
    <row r="459" ht="14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</row>
    <row r="460" ht="14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</row>
    <row r="461" ht="14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</row>
    <row r="462" ht="14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</row>
    <row r="463" ht="14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</row>
    <row r="464" ht="14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</row>
    <row r="465" ht="14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</row>
    <row r="466" ht="14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</row>
    <row r="467" ht="14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</row>
    <row r="468" ht="14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</row>
    <row r="469" ht="14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</row>
    <row r="470" ht="14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</row>
    <row r="471" ht="14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</row>
    <row r="472" ht="14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</row>
    <row r="473" ht="14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</row>
    <row r="474" ht="14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</row>
    <row r="475" ht="14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</row>
    <row r="476" ht="14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</row>
    <row r="477" ht="14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</row>
    <row r="478" ht="14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</row>
    <row r="479" ht="14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</row>
    <row r="480" ht="14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</row>
    <row r="481" ht="14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</row>
    <row r="482" ht="14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</row>
    <row r="483" ht="14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</row>
    <row r="484" ht="14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</row>
    <row r="485" ht="14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</row>
    <row r="486" ht="14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</row>
    <row r="487" ht="14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</row>
    <row r="488" ht="14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</row>
    <row r="489" ht="14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</row>
    <row r="490" ht="14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</row>
    <row r="491" ht="14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</row>
    <row r="492" ht="14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</row>
    <row r="493" ht="14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</row>
    <row r="494" ht="14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</row>
    <row r="495" ht="14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</row>
    <row r="496" ht="14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</row>
    <row r="497" ht="14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</row>
    <row r="498" ht="14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</row>
    <row r="499" ht="14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</row>
    <row r="500" ht="14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</row>
    <row r="501" ht="14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</row>
    <row r="502" ht="14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</row>
    <row r="503" ht="14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</row>
    <row r="504" ht="14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</row>
    <row r="505" ht="14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</row>
    <row r="506" ht="14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</row>
    <row r="507" ht="14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</row>
    <row r="508" ht="14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</row>
    <row r="509" ht="14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</row>
    <row r="510" ht="14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</row>
    <row r="511" ht="14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</row>
    <row r="512" ht="14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</row>
    <row r="513" ht="14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</row>
    <row r="514" ht="14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</row>
    <row r="515" ht="14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</row>
    <row r="516" ht="14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</row>
    <row r="517" ht="14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</row>
    <row r="518" ht="14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</row>
    <row r="519" ht="14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</row>
    <row r="520" ht="14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</row>
    <row r="521" ht="14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</row>
    <row r="522" ht="14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</row>
    <row r="523" ht="14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</row>
    <row r="524" ht="14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</row>
    <row r="525" ht="14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</row>
    <row r="526" ht="14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</row>
    <row r="527" ht="14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</row>
    <row r="528" ht="14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</row>
    <row r="529" ht="14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</row>
    <row r="530" ht="14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</row>
    <row r="531" ht="14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</row>
    <row r="532" ht="14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</row>
    <row r="533" ht="14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</row>
    <row r="534" ht="14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</row>
    <row r="535" ht="14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</row>
    <row r="536" ht="14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</row>
    <row r="537" ht="14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</row>
    <row r="538" ht="14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</row>
    <row r="539" ht="14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</row>
    <row r="540" ht="14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</row>
    <row r="541" ht="14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</row>
    <row r="542" ht="14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</row>
    <row r="543" ht="14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</row>
    <row r="544" ht="14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</row>
    <row r="545" ht="14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</row>
    <row r="546" ht="14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</row>
    <row r="547" ht="14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</row>
    <row r="548" ht="14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</row>
    <row r="549" ht="14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</row>
    <row r="550" ht="14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</row>
    <row r="551" ht="14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</row>
    <row r="552" ht="14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</row>
    <row r="553" ht="14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</row>
    <row r="554" ht="14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</row>
    <row r="555" ht="14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</row>
    <row r="556" ht="14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</row>
    <row r="557" ht="14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</row>
    <row r="558" ht="14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</row>
    <row r="559" ht="14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</row>
    <row r="560" ht="14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</row>
    <row r="561" ht="14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</row>
    <row r="562" ht="14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</row>
    <row r="563" ht="14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</row>
    <row r="564" ht="14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</row>
    <row r="565" ht="14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</row>
    <row r="566" ht="14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</row>
    <row r="567" ht="14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</row>
    <row r="568" ht="14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</row>
    <row r="569" ht="14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</row>
    <row r="570" ht="14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</row>
    <row r="571" ht="14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</row>
    <row r="572" ht="14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</row>
    <row r="573" ht="14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</row>
    <row r="574" ht="14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</row>
    <row r="575" ht="14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</row>
    <row r="576" ht="14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</row>
    <row r="577" ht="14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</row>
    <row r="578" ht="14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</row>
    <row r="579" ht="14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</row>
    <row r="580" ht="14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</row>
    <row r="581" ht="14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</row>
    <row r="582" ht="14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</row>
    <row r="583" ht="14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</row>
    <row r="584" ht="14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</row>
    <row r="585" ht="14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</row>
    <row r="586" ht="14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</row>
    <row r="587" ht="14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</row>
    <row r="588" ht="14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</row>
    <row r="589" ht="14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</row>
    <row r="590" ht="14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</row>
    <row r="591" ht="14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</row>
    <row r="592" ht="14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</row>
    <row r="593" ht="14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</row>
    <row r="594" ht="14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</row>
    <row r="595" ht="14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</row>
    <row r="596" ht="14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</row>
    <row r="597" ht="14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</row>
    <row r="598" ht="14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</row>
    <row r="599" ht="14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</row>
    <row r="600" ht="14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</row>
    <row r="601" ht="14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</row>
    <row r="602" ht="14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</row>
    <row r="603" ht="14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</row>
    <row r="604" ht="14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</row>
    <row r="605" ht="14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</row>
    <row r="606" ht="14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</row>
    <row r="607" ht="14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</row>
    <row r="608" ht="14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</row>
    <row r="609" ht="14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</row>
    <row r="610" ht="14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</row>
    <row r="611" ht="14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</row>
    <row r="612" ht="14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</row>
    <row r="613" ht="14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</row>
    <row r="614" ht="14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</row>
    <row r="615" ht="14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</row>
    <row r="616" ht="14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</row>
    <row r="617" ht="14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</row>
    <row r="618" ht="14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</row>
    <row r="619" ht="14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</row>
    <row r="620" ht="14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</row>
    <row r="621" ht="14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</row>
    <row r="622" ht="14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</row>
    <row r="623" ht="14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</row>
    <row r="624" ht="14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</row>
    <row r="625" ht="14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</row>
    <row r="626" ht="14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</row>
    <row r="627" ht="14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</row>
    <row r="628" ht="14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</row>
    <row r="629" ht="14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</row>
    <row r="630" ht="14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</row>
    <row r="631" ht="14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</row>
    <row r="632" ht="14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</row>
    <row r="633" ht="14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</row>
    <row r="634" ht="14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</row>
    <row r="635" ht="14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</row>
    <row r="636" ht="14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</row>
    <row r="637" ht="14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</row>
    <row r="638" ht="14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</row>
    <row r="639" ht="14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</row>
    <row r="640" ht="14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</row>
    <row r="641" ht="14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</row>
    <row r="642" ht="14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</row>
    <row r="643" ht="14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</row>
    <row r="644" ht="14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</row>
    <row r="645" ht="14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</row>
    <row r="646" ht="14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</row>
    <row r="647" ht="14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</row>
    <row r="648" ht="14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</row>
    <row r="649" ht="14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</row>
    <row r="650" ht="14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</row>
    <row r="651" ht="14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</row>
    <row r="652" ht="14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</row>
    <row r="653" ht="14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</row>
    <row r="654" ht="14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</row>
    <row r="655" ht="14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</row>
    <row r="656" ht="14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</row>
    <row r="657" ht="14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</row>
    <row r="658" ht="14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</row>
    <row r="659" ht="14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</row>
    <row r="660" ht="14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</row>
    <row r="661" ht="14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</row>
    <row r="662" ht="14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</row>
    <row r="663" ht="14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</row>
    <row r="664" ht="14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</row>
    <row r="665" ht="14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</row>
    <row r="666" ht="14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</row>
    <row r="667" ht="14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</row>
    <row r="668" ht="14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</row>
    <row r="669" ht="14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</row>
    <row r="670" ht="14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</row>
    <row r="671" ht="14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</row>
    <row r="672" ht="14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</row>
    <row r="673" ht="14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</row>
    <row r="674" ht="14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</row>
    <row r="675" ht="14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</row>
    <row r="676" ht="14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</row>
    <row r="677" ht="14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</row>
    <row r="678" ht="14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</row>
    <row r="679" ht="14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</row>
    <row r="680" ht="14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</row>
    <row r="681" ht="14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</row>
    <row r="682" ht="14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</row>
    <row r="683" ht="14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</row>
    <row r="684" ht="14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</row>
    <row r="685" ht="14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</row>
    <row r="686" ht="14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</row>
    <row r="687" ht="14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</row>
    <row r="688" ht="14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</row>
    <row r="689" ht="14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</row>
    <row r="690" ht="14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</row>
    <row r="691" ht="14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</row>
    <row r="692" ht="14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</row>
    <row r="693" ht="14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</row>
    <row r="694" ht="14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</row>
    <row r="695" ht="14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</row>
    <row r="696" ht="14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</row>
    <row r="697" ht="14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</row>
    <row r="698" ht="14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</row>
    <row r="699" ht="14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</row>
    <row r="700" ht="14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</row>
    <row r="701" ht="14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</row>
    <row r="702" ht="14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</row>
    <row r="703" ht="14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</row>
    <row r="704" ht="14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</row>
    <row r="705" ht="14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</row>
    <row r="706" ht="14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</row>
    <row r="707" ht="14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</row>
    <row r="708" ht="14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</row>
    <row r="709" ht="14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</row>
    <row r="710" ht="14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</row>
    <row r="711" ht="14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</row>
    <row r="712" ht="14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</row>
    <row r="713" ht="14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</row>
    <row r="714" ht="14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</row>
    <row r="715" ht="14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</row>
    <row r="716" ht="14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</row>
    <row r="717" ht="14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</row>
    <row r="718" ht="14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</row>
    <row r="719" ht="14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</row>
    <row r="720" ht="14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</row>
    <row r="721" ht="14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</row>
    <row r="722" ht="14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</row>
    <row r="723" ht="14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</row>
    <row r="724" ht="14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</row>
    <row r="725" ht="14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</row>
    <row r="726" ht="14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</row>
    <row r="727" ht="14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</row>
    <row r="728" ht="14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</row>
    <row r="729" ht="14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</row>
    <row r="730" ht="14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</row>
    <row r="731" ht="14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</row>
    <row r="732" ht="14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</row>
    <row r="733" ht="14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</row>
    <row r="734" ht="14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</row>
    <row r="735" ht="14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</row>
    <row r="736" ht="14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</row>
    <row r="737" ht="14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</row>
    <row r="738" ht="14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</row>
    <row r="739" ht="14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</row>
    <row r="740" ht="14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</row>
    <row r="741" ht="14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</row>
    <row r="742" ht="14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</row>
    <row r="743" ht="14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</row>
    <row r="744" ht="14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</row>
    <row r="745" ht="14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</row>
    <row r="746" ht="14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</row>
    <row r="747" ht="14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</row>
    <row r="748" ht="14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</row>
    <row r="749" ht="14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</row>
    <row r="750" ht="14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</row>
    <row r="751" ht="14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</row>
    <row r="752" ht="14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</row>
    <row r="753" ht="14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</row>
    <row r="754" ht="14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</row>
    <row r="755" ht="14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</row>
    <row r="756" ht="14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</row>
    <row r="757" ht="14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</row>
    <row r="758" ht="14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</row>
    <row r="759" ht="14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</row>
    <row r="760" ht="14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</row>
    <row r="761" ht="14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</row>
    <row r="762" ht="14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</row>
    <row r="763" ht="14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</row>
    <row r="764" ht="14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</row>
    <row r="765" ht="14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</row>
    <row r="766" ht="14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</row>
    <row r="767" ht="14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</row>
    <row r="768" ht="14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</row>
    <row r="769" ht="14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</row>
    <row r="770" ht="14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</row>
    <row r="771" ht="14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</row>
    <row r="772" ht="14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</row>
    <row r="773" ht="14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</row>
    <row r="774" ht="14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</row>
    <row r="775" ht="14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</row>
    <row r="776" ht="14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</row>
    <row r="777" ht="14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</row>
    <row r="778" ht="14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</row>
    <row r="779" ht="14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</row>
    <row r="780" ht="14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</row>
    <row r="781" ht="14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</row>
    <row r="782" ht="14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</row>
    <row r="783" ht="14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</row>
    <row r="784" ht="14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</row>
    <row r="785" ht="14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</row>
    <row r="786" ht="14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</row>
    <row r="787" ht="14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</row>
    <row r="788" ht="14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</row>
    <row r="789" ht="14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</row>
    <row r="790" ht="14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</row>
    <row r="791" ht="14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</row>
    <row r="792" ht="14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</row>
    <row r="793" ht="14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</row>
    <row r="794" ht="14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</row>
    <row r="795" ht="14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</row>
    <row r="796" ht="14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</row>
    <row r="797" ht="14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</row>
    <row r="798" ht="14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</row>
    <row r="799" ht="14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</row>
    <row r="800" ht="14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</row>
    <row r="801" ht="14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</row>
    <row r="802" ht="14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</row>
    <row r="803" ht="14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</row>
    <row r="804" ht="14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</row>
    <row r="805" ht="14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</row>
    <row r="806" ht="14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</row>
    <row r="807" ht="14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</row>
    <row r="808" ht="14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</row>
    <row r="809" ht="14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</row>
    <row r="810" ht="14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</row>
    <row r="811" ht="14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</row>
    <row r="812" ht="14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</row>
    <row r="813" ht="14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</row>
    <row r="814" ht="14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</row>
    <row r="815" ht="14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</row>
    <row r="816" ht="14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</row>
    <row r="817" ht="14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</row>
    <row r="818" ht="14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</row>
    <row r="819" ht="14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</row>
    <row r="820" ht="14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</row>
    <row r="821" ht="14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</row>
    <row r="822" ht="14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</row>
    <row r="823" ht="14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</row>
    <row r="824" ht="14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</row>
    <row r="825" ht="14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</row>
    <row r="826" ht="14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</row>
    <row r="827" ht="14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</row>
    <row r="828" ht="14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</row>
    <row r="829" ht="14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</row>
    <row r="830" ht="14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</row>
    <row r="831" ht="14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</row>
    <row r="832" ht="14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</row>
    <row r="833" ht="14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</row>
    <row r="834" ht="14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</row>
    <row r="835" ht="14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</row>
    <row r="836" ht="14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</row>
    <row r="837" ht="14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</row>
    <row r="838" ht="14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</row>
    <row r="839" ht="14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</row>
    <row r="840" ht="14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</row>
    <row r="841" ht="14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</row>
    <row r="842" ht="14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</row>
    <row r="843" ht="14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</row>
    <row r="844" ht="14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</row>
    <row r="845" ht="14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</row>
    <row r="846" ht="14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</row>
    <row r="847" ht="14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</row>
    <row r="848" ht="14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</row>
    <row r="849" ht="14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</row>
    <row r="850" ht="14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</row>
    <row r="851" ht="14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</row>
    <row r="852" ht="14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</row>
    <row r="853" ht="14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</row>
    <row r="854" ht="14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</row>
    <row r="855" ht="14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</row>
    <row r="856" ht="14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</row>
    <row r="857" ht="14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</row>
    <row r="858" ht="14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</row>
    <row r="859" ht="14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</row>
    <row r="860" ht="14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</row>
    <row r="861" ht="14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</row>
    <row r="862" ht="14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</row>
    <row r="863" ht="14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</row>
    <row r="864" ht="14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</row>
    <row r="865" ht="14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</row>
    <row r="866" ht="14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</row>
    <row r="867" ht="14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</row>
    <row r="868" ht="14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</row>
    <row r="869" ht="14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</row>
    <row r="870" ht="14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</row>
    <row r="871" ht="14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</row>
    <row r="872" ht="14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</row>
    <row r="873" ht="14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</row>
    <row r="874" ht="14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</row>
    <row r="875" ht="14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</row>
    <row r="876" ht="14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</row>
    <row r="877" ht="14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</row>
    <row r="878" ht="14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</row>
    <row r="879" ht="14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</row>
    <row r="880" ht="14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</row>
    <row r="881" ht="14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</row>
    <row r="882" ht="14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</row>
    <row r="883" ht="14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</row>
    <row r="884" ht="14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</row>
    <row r="885" ht="14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</row>
    <row r="886" ht="14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</row>
    <row r="887" ht="14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</row>
    <row r="888" ht="14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</row>
    <row r="889" ht="14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</row>
    <row r="890" ht="14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</row>
    <row r="891" ht="14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</row>
    <row r="892" ht="14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</row>
    <row r="893" ht="14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</row>
    <row r="894" ht="14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</row>
    <row r="895" ht="14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</row>
    <row r="896" ht="14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</row>
    <row r="897" ht="14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</row>
    <row r="898" ht="14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</row>
    <row r="899" ht="14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</row>
    <row r="900" ht="14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</row>
    <row r="901" ht="14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</row>
    <row r="902" ht="14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</row>
    <row r="903" ht="14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</row>
    <row r="904" ht="14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</row>
    <row r="905" ht="14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</row>
    <row r="906" ht="14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</row>
    <row r="907" ht="14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</row>
    <row r="908" ht="14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</row>
    <row r="909" ht="14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</row>
    <row r="910" ht="14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</row>
    <row r="911" ht="14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</row>
    <row r="912" ht="14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</row>
    <row r="913" ht="14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</row>
    <row r="914" ht="14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</row>
    <row r="915" ht="14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</row>
    <row r="916" ht="14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</row>
    <row r="917" ht="14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</row>
    <row r="918" ht="14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</row>
    <row r="919" ht="14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</row>
    <row r="920" ht="14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</row>
    <row r="921" ht="14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</row>
    <row r="922" ht="14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</row>
    <row r="923" ht="14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</row>
    <row r="924" ht="14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</row>
    <row r="925" ht="14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</row>
    <row r="926" ht="14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</row>
    <row r="927" ht="14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</row>
    <row r="928" ht="14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</row>
    <row r="929" ht="14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</row>
    <row r="930" ht="14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</row>
    <row r="931" ht="14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</row>
    <row r="932" ht="14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</row>
    <row r="933" ht="14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</row>
    <row r="934" ht="14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</row>
    <row r="935" ht="14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</row>
    <row r="936" ht="14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</row>
    <row r="937" ht="14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</row>
    <row r="938" ht="14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</row>
    <row r="939" ht="14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</row>
    <row r="940" ht="14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</row>
    <row r="941" ht="14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</row>
    <row r="942" ht="14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</row>
    <row r="943" ht="14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</row>
    <row r="944" ht="14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</row>
    <row r="945" ht="14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</row>
    <row r="946" ht="14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</row>
    <row r="947" ht="14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</row>
    <row r="948" ht="14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</row>
    <row r="949" ht="14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</row>
    <row r="950" ht="14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</row>
    <row r="951" ht="14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</row>
    <row r="952" ht="14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</row>
    <row r="953" ht="14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</row>
    <row r="954" ht="14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</row>
    <row r="955" ht="14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</row>
    <row r="956" ht="14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</row>
    <row r="957" ht="14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</row>
    <row r="958" ht="14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</row>
    <row r="959" ht="14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</row>
    <row r="960" ht="14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</row>
    <row r="961" ht="14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</row>
    <row r="962" ht="14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</row>
    <row r="963" ht="14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</row>
    <row r="964" ht="14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</row>
    <row r="965" ht="14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</row>
    <row r="966" ht="14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</row>
    <row r="967" ht="14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</row>
    <row r="968" ht="14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</row>
    <row r="969" ht="14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</row>
    <row r="970" ht="14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</row>
    <row r="971" ht="14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</row>
    <row r="972" ht="14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</row>
    <row r="973" ht="14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</row>
    <row r="974" ht="14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</row>
    <row r="975" ht="14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</row>
    <row r="976" ht="14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</row>
    <row r="977" ht="14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</row>
    <row r="978" ht="14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</row>
    <row r="979" ht="14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</row>
    <row r="980" ht="14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</row>
    <row r="981" ht="14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</row>
    <row r="982" ht="14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</row>
    <row r="983" ht="14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</row>
    <row r="984" ht="14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</row>
    <row r="985" ht="14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</row>
    <row r="986" ht="14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</row>
    <row r="987" ht="14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</row>
    <row r="988" ht="14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</row>
    <row r="989" ht="14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</row>
    <row r="990" ht="14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</row>
    <row r="991" ht="14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</row>
    <row r="992" ht="14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</row>
    <row r="993" ht="14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</row>
    <row r="994" ht="14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</row>
    <row r="995" ht="14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</row>
    <row r="996" ht="14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</row>
    <row r="997" ht="14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</row>
    <row r="998" ht="14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</row>
    <row r="999" ht="14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</row>
    <row r="1000" ht="14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</row>
  </sheetData>
  <mergeCells count="23">
    <mergeCell ref="A1:AN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0.75" footer="0.0" header="0.0" left="0.25" right="0.25" top="0.75"/>
  <pageSetup paperSize="9" scale="7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0" width="7.75"/>
    <col customWidth="1" hidden="1" min="11" max="11" width="7.38"/>
    <col customWidth="1" hidden="1" min="12" max="12" width="11.25"/>
    <col customWidth="1" hidden="1" min="13" max="13" width="8.0"/>
    <col customWidth="1" hidden="1" min="14" max="14" width="6.13"/>
    <col customWidth="1" min="15" max="15" width="5.5"/>
    <col customWidth="1" min="16" max="16" width="41.0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7.75"/>
    <col customWidth="1" hidden="1" min="26" max="26" width="7.38"/>
    <col customWidth="1" hidden="1" min="27" max="27" width="11.25"/>
    <col customWidth="1" hidden="1" min="28" max="28" width="8.0"/>
    <col customWidth="1" hidden="1" min="29" max="29" width="6.13"/>
    <col customWidth="1" min="30" max="30" width="8.75"/>
    <col customWidth="1" min="31" max="31" width="24.0"/>
    <col customWidth="1" min="32" max="35" width="8.75"/>
    <col customWidth="1" hidden="1" min="36" max="36" width="9.25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</row>
    <row r="2" ht="21.0" customHeight="1"/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4.25" customHeight="1">
      <c r="A5" s="126" t="s">
        <v>106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5"/>
      <c r="AJ5" s="26"/>
      <c r="AK5" s="26"/>
      <c r="AL5" s="26"/>
      <c r="AM5" s="26"/>
      <c r="AN5" s="26"/>
    </row>
    <row r="6" ht="14.2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</row>
    <row r="7" ht="30.0" customHeight="1">
      <c r="A7" s="127" t="s">
        <v>51</v>
      </c>
      <c r="B7" s="128" t="s">
        <v>52</v>
      </c>
      <c r="C7" s="29"/>
      <c r="D7" s="29"/>
      <c r="E7" s="30"/>
      <c r="F7" s="129"/>
      <c r="G7" s="61"/>
      <c r="H7" s="128" t="s">
        <v>53</v>
      </c>
      <c r="I7" s="29"/>
      <c r="J7" s="29"/>
      <c r="K7" s="30"/>
      <c r="L7" s="26"/>
      <c r="M7" s="33"/>
      <c r="N7" s="33"/>
      <c r="O7" s="130"/>
      <c r="P7" s="127" t="s">
        <v>51</v>
      </c>
      <c r="Q7" s="128" t="s">
        <v>52</v>
      </c>
      <c r="R7" s="29"/>
      <c r="S7" s="29"/>
      <c r="T7" s="30"/>
      <c r="U7" s="129"/>
      <c r="V7" s="61"/>
      <c r="W7" s="128" t="s">
        <v>53</v>
      </c>
      <c r="X7" s="29"/>
      <c r="Y7" s="29"/>
      <c r="Z7" s="30"/>
      <c r="AA7" s="33"/>
      <c r="AB7" s="33"/>
      <c r="AC7" s="33"/>
      <c r="AD7" s="26"/>
      <c r="AE7" s="127" t="s">
        <v>54</v>
      </c>
      <c r="AF7" s="127" t="s">
        <v>55</v>
      </c>
      <c r="AG7" s="127" t="s">
        <v>56</v>
      </c>
      <c r="AH7" s="131" t="s">
        <v>57</v>
      </c>
      <c r="AI7" s="131" t="s">
        <v>58</v>
      </c>
      <c r="AJ7" s="33"/>
      <c r="AK7" s="33"/>
      <c r="AL7" s="33"/>
      <c r="AM7" s="26"/>
      <c r="AN7" s="26"/>
    </row>
    <row r="8" ht="14.25" hidden="1" customHeight="1">
      <c r="A8" s="26"/>
      <c r="B8" s="34" t="s">
        <v>59</v>
      </c>
      <c r="C8" s="34" t="s">
        <v>60</v>
      </c>
      <c r="D8" s="34"/>
      <c r="E8" s="34" t="s">
        <v>59</v>
      </c>
      <c r="F8" s="34" t="s">
        <v>61</v>
      </c>
      <c r="G8" s="34"/>
      <c r="H8" s="34" t="s">
        <v>59</v>
      </c>
      <c r="I8" s="34" t="s">
        <v>62</v>
      </c>
      <c r="J8" s="34" t="s">
        <v>63</v>
      </c>
      <c r="K8" s="34" t="s">
        <v>64</v>
      </c>
      <c r="L8" s="34" t="s">
        <v>65</v>
      </c>
      <c r="M8" s="34" t="s">
        <v>66</v>
      </c>
      <c r="N8" s="34" t="s">
        <v>67</v>
      </c>
      <c r="O8" s="26"/>
      <c r="P8" s="26"/>
      <c r="Q8" s="34" t="s">
        <v>59</v>
      </c>
      <c r="R8" s="34" t="s">
        <v>60</v>
      </c>
      <c r="S8" s="34"/>
      <c r="T8" s="34" t="s">
        <v>59</v>
      </c>
      <c r="U8" s="34" t="s">
        <v>61</v>
      </c>
      <c r="V8" s="34"/>
      <c r="W8" s="34" t="s">
        <v>59</v>
      </c>
      <c r="X8" s="34" t="s">
        <v>62</v>
      </c>
      <c r="Y8" s="34" t="s">
        <v>63</v>
      </c>
      <c r="Z8" s="34" t="s">
        <v>64</v>
      </c>
      <c r="AA8" s="34" t="s">
        <v>65</v>
      </c>
      <c r="AB8" s="34" t="s">
        <v>66</v>
      </c>
      <c r="AC8" s="34" t="s">
        <v>67</v>
      </c>
      <c r="AD8" s="26"/>
      <c r="AE8" s="33"/>
      <c r="AF8" s="33"/>
      <c r="AG8" s="33"/>
      <c r="AH8" s="33"/>
      <c r="AI8" s="33"/>
      <c r="AJ8" s="34" t="s">
        <v>68</v>
      </c>
      <c r="AK8" s="34" t="s">
        <v>81</v>
      </c>
      <c r="AL8" s="36" t="s">
        <v>69</v>
      </c>
      <c r="AM8" s="37" t="s">
        <v>70</v>
      </c>
      <c r="AN8" s="37" t="s">
        <v>82</v>
      </c>
    </row>
    <row r="9" ht="14.25" customHeight="1">
      <c r="A9" s="38" t="str">
        <f>AE9</f>
        <v>Nancy Wong</v>
      </c>
      <c r="B9" s="39">
        <v>4.0</v>
      </c>
      <c r="C9" s="40">
        <f>IF(B9&gt;B11,1,0)</f>
        <v>0</v>
      </c>
      <c r="D9" s="41"/>
      <c r="E9" s="39">
        <v>1.0</v>
      </c>
      <c r="F9" s="40">
        <f>IF(E9&gt;E11,1,0)</f>
        <v>0</v>
      </c>
      <c r="G9" s="41"/>
      <c r="H9" s="42"/>
      <c r="I9" s="26">
        <f>IF(H9&gt;H11,1,0)</f>
        <v>0</v>
      </c>
      <c r="J9" s="26">
        <f>IF(B9="",0,1)</f>
        <v>1</v>
      </c>
      <c r="K9" s="26">
        <f>IF(C9+F9=2,3,IF(C9+F9=1,1,0))</f>
        <v>0</v>
      </c>
      <c r="L9" s="26">
        <f>IF(K9=3,3,IF(I9+K9=2,2,IF(K9=1,1,0)))</f>
        <v>0</v>
      </c>
      <c r="M9" s="26">
        <f>B9+E9</f>
        <v>5</v>
      </c>
      <c r="N9" s="26">
        <f>C9+F9+I9</f>
        <v>0</v>
      </c>
      <c r="O9" s="26"/>
      <c r="P9" s="38" t="str">
        <f>AE9</f>
        <v>Nancy Wong</v>
      </c>
      <c r="Q9" s="39">
        <v>6.0</v>
      </c>
      <c r="R9" s="40">
        <f>IF(Q9&gt;Q11,1,0)</f>
        <v>1</v>
      </c>
      <c r="S9" s="41"/>
      <c r="T9" s="39">
        <v>6.0</v>
      </c>
      <c r="U9" s="40">
        <f>IF(T9&gt;T11,1,0)</f>
        <v>1</v>
      </c>
      <c r="V9" s="41"/>
      <c r="W9" s="42"/>
      <c r="X9" s="26">
        <f>IF(W9&gt;W11,1,0)</f>
        <v>0</v>
      </c>
      <c r="Y9" s="26">
        <f>IF(Q9="",0,1)</f>
        <v>1</v>
      </c>
      <c r="Z9" s="26">
        <f>IF(R9+U9=2,3,IF(R9+U9=1,1,0))</f>
        <v>3</v>
      </c>
      <c r="AA9" s="26">
        <f>IF(Z9=3,3,IF(X9+Z9=2,2,IF(Z9=1,1,0)))</f>
        <v>3</v>
      </c>
      <c r="AB9" s="26">
        <f>Q9+T9</f>
        <v>12</v>
      </c>
      <c r="AC9" s="26">
        <f>R9+U9+X9</f>
        <v>2</v>
      </c>
      <c r="AD9" s="26"/>
      <c r="AE9" s="127" t="s">
        <v>100</v>
      </c>
      <c r="AF9" s="44">
        <f>J9+Y9+J13+Y13+J17</f>
        <v>4</v>
      </c>
      <c r="AG9" s="44">
        <f t="shared" ref="AG9:AI9" si="1">L9+AA9+L13+AA13+L17</f>
        <v>9</v>
      </c>
      <c r="AH9" s="44">
        <f t="shared" si="1"/>
        <v>41</v>
      </c>
      <c r="AI9" s="45">
        <f t="shared" si="1"/>
        <v>6</v>
      </c>
      <c r="AJ9" s="26">
        <f>MAX(AG9:AG19)</f>
        <v>12</v>
      </c>
      <c r="AK9" s="26">
        <f>LARGE(AG9:AG19, 2)</f>
        <v>9</v>
      </c>
      <c r="AL9" s="26">
        <f>SUM(AF9:AF19)</f>
        <v>20</v>
      </c>
      <c r="AM9" s="26" t="str">
        <f>IF(AG9=$AJ$9,AE9,IF(AG11=$AJ$9,AE11,IF(AG13=$AJ$9,AE13,IF(AG15=$AJ$9,AE15,IF(AG17=$AJ$9,AE17,"")))))</f>
        <v>Dorianne Caruana Bonnici</v>
      </c>
      <c r="AN9" s="26" t="str">
        <f>IF(AG9=$AK$9,AE9,IF(AG11=$AK$9,AE11,IF(AG13=$AK$9,AE13,IF(AG15=$AK$9,AE15,IF(AG17=$AK$9,AE17,"")))))</f>
        <v>Nancy Wong</v>
      </c>
    </row>
    <row r="10" ht="14.25" customHeight="1">
      <c r="A10" s="46" t="s">
        <v>71</v>
      </c>
      <c r="H10" s="47"/>
      <c r="I10" s="48"/>
      <c r="J10" s="26"/>
      <c r="K10" s="26"/>
      <c r="L10" s="26"/>
      <c r="M10" s="26"/>
      <c r="N10" s="26"/>
      <c r="O10" s="26"/>
      <c r="P10" s="46" t="s">
        <v>71</v>
      </c>
      <c r="W10" s="47"/>
      <c r="X10" s="48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33"/>
      <c r="AL10" s="33"/>
      <c r="AM10" s="26"/>
      <c r="AN10" s="26"/>
    </row>
    <row r="11" ht="14.25" customHeight="1">
      <c r="A11" s="49" t="str">
        <f>AE11</f>
        <v>Dorianne Caruana Bonnici</v>
      </c>
      <c r="B11" s="39">
        <v>6.0</v>
      </c>
      <c r="C11" s="50">
        <f>IF(B11&gt;B9,1,0)</f>
        <v>1</v>
      </c>
      <c r="D11" s="51"/>
      <c r="E11" s="39">
        <v>6.0</v>
      </c>
      <c r="F11" s="50">
        <f>IF(E11&gt;E9,1,0)</f>
        <v>1</v>
      </c>
      <c r="G11" s="51"/>
      <c r="H11" s="42"/>
      <c r="I11" s="26">
        <f>IF(H11&gt;H9,1,0)</f>
        <v>0</v>
      </c>
      <c r="J11" s="26">
        <f>IF(B11="",0,1)</f>
        <v>1</v>
      </c>
      <c r="K11" s="26">
        <f>IF(C11+F11=2,3,IF(C11+F11=1,1,0))</f>
        <v>3</v>
      </c>
      <c r="L11" s="26">
        <f>IF(K11=3,3,IF(I11+K11=2,2,IF(K11=1,1,0)))</f>
        <v>3</v>
      </c>
      <c r="M11" s="26">
        <f>B11+E11</f>
        <v>12</v>
      </c>
      <c r="N11" s="26">
        <f>C11+F11+I11</f>
        <v>2</v>
      </c>
      <c r="O11" s="26"/>
      <c r="P11" s="49" t="str">
        <f>AE13</f>
        <v>Jade Sammut</v>
      </c>
      <c r="Q11" s="39">
        <v>3.0</v>
      </c>
      <c r="R11" s="50">
        <f>IF(Q11&gt;Q9,1,0)</f>
        <v>0</v>
      </c>
      <c r="S11" s="51"/>
      <c r="T11" s="39">
        <v>2.0</v>
      </c>
      <c r="U11" s="50">
        <f>IF(T11&gt;T9,1,0)</f>
        <v>0</v>
      </c>
      <c r="V11" s="51"/>
      <c r="W11" s="42"/>
      <c r="X11" s="26">
        <f>IF(W11&gt;W9,1,0)</f>
        <v>0</v>
      </c>
      <c r="Y11" s="26">
        <f>IF(Q11="",0,1)</f>
        <v>1</v>
      </c>
      <c r="Z11" s="26">
        <f>IF(R11+U11=2,3,IF(R11+U11=1,1,0))</f>
        <v>0</v>
      </c>
      <c r="AA11" s="26">
        <f>IF(Z11=3,3,IF(X11+Z11=2,2,IF(Z11=1,1,0)))</f>
        <v>0</v>
      </c>
      <c r="AB11" s="26">
        <f>Q11+T11</f>
        <v>5</v>
      </c>
      <c r="AC11" s="26">
        <f>R11+U11+X11</f>
        <v>0</v>
      </c>
      <c r="AD11" s="26"/>
      <c r="AE11" s="127" t="s">
        <v>101</v>
      </c>
      <c r="AF11" s="44">
        <f>J11+Y25+J21+Y21+Y17</f>
        <v>4</v>
      </c>
      <c r="AG11" s="44">
        <f t="shared" ref="AG11:AI11" si="2">L11+AA25+L21+AA21+AA17</f>
        <v>12</v>
      </c>
      <c r="AH11" s="44">
        <f t="shared" si="2"/>
        <v>48</v>
      </c>
      <c r="AI11" s="45">
        <f t="shared" si="2"/>
        <v>8</v>
      </c>
      <c r="AJ11" s="33"/>
      <c r="AK11" s="33"/>
      <c r="AL11" s="33"/>
      <c r="AM11" s="26"/>
      <c r="AN11" s="26"/>
    </row>
    <row r="12" ht="14.25" customHeight="1">
      <c r="A12" s="26"/>
      <c r="B12" s="26"/>
      <c r="C12" s="26"/>
      <c r="D12" s="26"/>
      <c r="E12" s="26"/>
      <c r="F12" s="26"/>
      <c r="G12" s="26"/>
      <c r="H12" s="50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50"/>
      <c r="X12" s="26"/>
      <c r="Y12" s="26"/>
      <c r="Z12" s="26"/>
      <c r="AA12" s="26"/>
      <c r="AB12" s="26"/>
      <c r="AC12" s="26"/>
      <c r="AD12" s="26"/>
      <c r="AE12" s="26"/>
      <c r="AF12" s="33"/>
      <c r="AG12" s="33"/>
      <c r="AH12" s="33"/>
      <c r="AI12" s="33"/>
      <c r="AJ12" s="33"/>
      <c r="AK12" s="33"/>
      <c r="AL12" s="33"/>
      <c r="AM12" s="26"/>
      <c r="AN12" s="26"/>
    </row>
    <row r="13" ht="14.25" customHeight="1">
      <c r="A13" s="38" t="str">
        <f>AE9</f>
        <v>Nancy Wong</v>
      </c>
      <c r="B13" s="39">
        <v>6.0</v>
      </c>
      <c r="C13" s="40">
        <f>IF(B13&gt;B15,1,0)</f>
        <v>1</v>
      </c>
      <c r="D13" s="41"/>
      <c r="E13" s="39">
        <v>6.0</v>
      </c>
      <c r="F13" s="40">
        <f>IF(E13&gt;E15,1,0)</f>
        <v>1</v>
      </c>
      <c r="G13" s="41"/>
      <c r="H13" s="42"/>
      <c r="I13" s="26">
        <f>IF(H13&gt;H15,1,0)</f>
        <v>0</v>
      </c>
      <c r="J13" s="26">
        <f>IF(B13="",0,1)</f>
        <v>1</v>
      </c>
      <c r="K13" s="26">
        <f>IF(C13+F13=2,3,IF(C13+F13=1,1,0))</f>
        <v>3</v>
      </c>
      <c r="L13" s="26">
        <f>IF(K13=3,3,IF(I13+K13=2,2,IF(K13=1,1,0)))</f>
        <v>3</v>
      </c>
      <c r="M13" s="26">
        <f>B13+E13</f>
        <v>12</v>
      </c>
      <c r="N13" s="26">
        <f>C13+F13+I13</f>
        <v>2</v>
      </c>
      <c r="O13" s="26"/>
      <c r="P13" s="38" t="str">
        <f>AE9</f>
        <v>Nancy Wong</v>
      </c>
      <c r="Q13" s="39">
        <v>6.0</v>
      </c>
      <c r="R13" s="40">
        <f>IF(Q13&gt;Q15,1,0)</f>
        <v>1</v>
      </c>
      <c r="S13" s="41"/>
      <c r="T13" s="39">
        <v>6.0</v>
      </c>
      <c r="U13" s="40">
        <f>IF(T13&gt;T15,1,0)</f>
        <v>1</v>
      </c>
      <c r="V13" s="41"/>
      <c r="W13" s="42"/>
      <c r="X13" s="26">
        <f>IF(W13&gt;W15,1,0)</f>
        <v>0</v>
      </c>
      <c r="Y13" s="26">
        <f>IF(Q13="",0,1)</f>
        <v>1</v>
      </c>
      <c r="Z13" s="26">
        <f>IF(R13+U13=2,3,IF(R13+U13=1,1,0))</f>
        <v>3</v>
      </c>
      <c r="AA13" s="26">
        <f>IF(Z13=3,3,IF(X13+Z13=2,2,IF(Z13=1,1,0)))</f>
        <v>3</v>
      </c>
      <c r="AB13" s="26">
        <f>Q13+T13</f>
        <v>12</v>
      </c>
      <c r="AC13" s="26">
        <f>R13+U13+X13</f>
        <v>2</v>
      </c>
      <c r="AD13" s="26"/>
      <c r="AE13" s="127" t="s">
        <v>102</v>
      </c>
      <c r="AF13" s="44">
        <f>Y29+Y11+Y33+J25+Y19</f>
        <v>4</v>
      </c>
      <c r="AG13" s="44">
        <f t="shared" ref="AG13:AI13" si="3">AA29+AA11+AA33+L25+AA19</f>
        <v>1</v>
      </c>
      <c r="AH13" s="44">
        <f t="shared" si="3"/>
        <v>24</v>
      </c>
      <c r="AI13" s="45">
        <f t="shared" si="3"/>
        <v>1</v>
      </c>
      <c r="AJ13" s="33"/>
      <c r="AK13" s="33"/>
      <c r="AL13" s="33"/>
      <c r="AM13" s="26"/>
      <c r="AN13" s="26"/>
    </row>
    <row r="14" ht="14.25" customHeight="1">
      <c r="A14" s="46" t="s">
        <v>71</v>
      </c>
      <c r="H14" s="47"/>
      <c r="I14" s="48"/>
      <c r="J14" s="26"/>
      <c r="K14" s="26"/>
      <c r="L14" s="26"/>
      <c r="M14" s="26"/>
      <c r="N14" s="26"/>
      <c r="O14" s="26"/>
      <c r="P14" s="46" t="s">
        <v>71</v>
      </c>
      <c r="W14" s="47"/>
      <c r="X14" s="48"/>
      <c r="Y14" s="26"/>
      <c r="Z14" s="26"/>
      <c r="AA14" s="26"/>
      <c r="AB14" s="26"/>
      <c r="AC14" s="26"/>
      <c r="AD14" s="26"/>
      <c r="AE14" s="26"/>
      <c r="AF14" s="33"/>
      <c r="AG14" s="33"/>
      <c r="AH14" s="33"/>
      <c r="AI14" s="33"/>
      <c r="AJ14" s="33"/>
      <c r="AK14" s="33"/>
      <c r="AL14" s="33"/>
      <c r="AM14" s="26"/>
      <c r="AN14" s="26"/>
    </row>
    <row r="15" ht="14.25" customHeight="1">
      <c r="A15" s="49" t="str">
        <f>AE15</f>
        <v>Stefania Camilleri</v>
      </c>
      <c r="B15" s="39">
        <v>1.0</v>
      </c>
      <c r="C15" s="50">
        <f>IF(B15&gt;B13,1,0)</f>
        <v>0</v>
      </c>
      <c r="D15" s="51"/>
      <c r="E15" s="39">
        <v>0.0</v>
      </c>
      <c r="F15" s="50">
        <f>IF(E15&gt;E13,1,0)</f>
        <v>0</v>
      </c>
      <c r="G15" s="51"/>
      <c r="H15" s="42"/>
      <c r="I15" s="26">
        <f>IF(H15&gt;H13,1,0)</f>
        <v>0</v>
      </c>
      <c r="J15" s="26">
        <f>IF(B15="",0,1)</f>
        <v>1</v>
      </c>
      <c r="K15" s="26">
        <f>IF(C15+F15=2,3,IF(C15+F15=1,1,0))</f>
        <v>0</v>
      </c>
      <c r="L15" s="26">
        <f>IF(K15=3,3,IF(I15+K15=2,2,IF(K15=1,1,0)))</f>
        <v>0</v>
      </c>
      <c r="M15" s="26">
        <f>B15+E15</f>
        <v>1</v>
      </c>
      <c r="N15" s="26">
        <f>C15+F15+I15</f>
        <v>0</v>
      </c>
      <c r="O15" s="26"/>
      <c r="P15" s="49" t="str">
        <f>AE17</f>
        <v>Ceridwen Scerri</v>
      </c>
      <c r="Q15" s="39">
        <v>3.0</v>
      </c>
      <c r="R15" s="50">
        <f>IF(Q15&gt;Q13,1,0)</f>
        <v>0</v>
      </c>
      <c r="S15" s="51"/>
      <c r="T15" s="39">
        <v>3.0</v>
      </c>
      <c r="U15" s="50">
        <f>IF(T15&gt;T13,1,0)</f>
        <v>0</v>
      </c>
      <c r="V15" s="51"/>
      <c r="W15" s="42"/>
      <c r="X15" s="26">
        <f>IF(W15&gt;W13,1,0)</f>
        <v>0</v>
      </c>
      <c r="Y15" s="26">
        <f>IF(Q15="",0,1)</f>
        <v>1</v>
      </c>
      <c r="Z15" s="26">
        <f>IF(R15+U15=2,3,IF(R15+U15=1,1,0))</f>
        <v>0</v>
      </c>
      <c r="AA15" s="26">
        <f>IF(Z15=3,3,IF(X15+Z15=2,2,IF(Z15=1,1,0)))</f>
        <v>0</v>
      </c>
      <c r="AB15" s="26">
        <f>Q15+T15</f>
        <v>6</v>
      </c>
      <c r="AC15" s="26">
        <f>R15+U15+X15</f>
        <v>0</v>
      </c>
      <c r="AD15" s="26"/>
      <c r="AE15" s="127" t="s">
        <v>103</v>
      </c>
      <c r="AF15" s="44">
        <f>Y31+J37+J15+Y23+J29</f>
        <v>4</v>
      </c>
      <c r="AG15" s="44">
        <f t="shared" ref="AG15:AI15" si="4">AA31+L37+L15+AA23+L29</f>
        <v>3</v>
      </c>
      <c r="AH15" s="44">
        <f t="shared" si="4"/>
        <v>20</v>
      </c>
      <c r="AI15" s="45">
        <f t="shared" si="4"/>
        <v>2</v>
      </c>
      <c r="AJ15" s="33"/>
      <c r="AK15" s="33"/>
      <c r="AL15" s="33"/>
      <c r="AM15" s="26"/>
      <c r="AN15" s="26"/>
    </row>
    <row r="16" ht="14.25" customHeight="1">
      <c r="A16" s="26"/>
      <c r="B16" s="33"/>
      <c r="C16" s="26"/>
      <c r="D16" s="26"/>
      <c r="E16" s="26"/>
      <c r="F16" s="26"/>
      <c r="G16" s="26"/>
      <c r="H16" s="50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50"/>
      <c r="X16" s="26"/>
      <c r="Y16" s="26"/>
      <c r="Z16" s="26"/>
      <c r="AA16" s="26"/>
      <c r="AB16" s="26"/>
      <c r="AC16" s="26"/>
      <c r="AD16" s="26"/>
      <c r="AE16" s="26"/>
      <c r="AF16" s="33"/>
      <c r="AG16" s="33"/>
      <c r="AH16" s="33"/>
      <c r="AI16" s="33"/>
      <c r="AJ16" s="33"/>
      <c r="AK16" s="33"/>
      <c r="AL16" s="33"/>
      <c r="AM16" s="26"/>
      <c r="AN16" s="26"/>
    </row>
    <row r="17" ht="14.25" customHeight="1">
      <c r="A17" s="114" t="str">
        <f>AE9</f>
        <v>Nancy Wong</v>
      </c>
      <c r="B17" s="118"/>
      <c r="C17" s="116">
        <f>IF(B17&gt;B19,1,0)</f>
        <v>0</v>
      </c>
      <c r="D17" s="117"/>
      <c r="E17" s="118"/>
      <c r="F17" s="116">
        <f>IF(E17&gt;E19,1,0)</f>
        <v>0</v>
      </c>
      <c r="G17" s="117"/>
      <c r="H17" s="118"/>
      <c r="I17" s="26">
        <f>IF(H17&gt;H19,1,0)</f>
        <v>0</v>
      </c>
      <c r="J17" s="26">
        <f>IF(B17="",0,1)</f>
        <v>0</v>
      </c>
      <c r="K17" s="26">
        <f>IF(C17+F17=2,3,IF(C17+F17=1,1,0))</f>
        <v>0</v>
      </c>
      <c r="L17" s="26">
        <f>IF(K17=3,3,IF(I17+K17=2,2,IF(K17=1,1,0)))</f>
        <v>0</v>
      </c>
      <c r="M17" s="26">
        <f>B17+E17</f>
        <v>0</v>
      </c>
      <c r="N17" s="26">
        <f>C17+F17+I17</f>
        <v>0</v>
      </c>
      <c r="O17" s="26"/>
      <c r="P17" s="38" t="str">
        <f>AE11</f>
        <v>Dorianne Caruana Bonnici</v>
      </c>
      <c r="Q17" s="39">
        <v>6.0</v>
      </c>
      <c r="R17" s="40">
        <f>IF(Q17&gt;Q19,1,0)</f>
        <v>1</v>
      </c>
      <c r="S17" s="41"/>
      <c r="T17" s="39">
        <v>6.0</v>
      </c>
      <c r="U17" s="40">
        <f>IF(T17&gt;T19,1,0)</f>
        <v>1</v>
      </c>
      <c r="V17" s="41"/>
      <c r="W17" s="42"/>
      <c r="X17" s="26">
        <f>IF(W17&gt;W19,1,0)</f>
        <v>0</v>
      </c>
      <c r="Y17" s="26">
        <f>IF(Q17="",0,1)</f>
        <v>1</v>
      </c>
      <c r="Z17" s="26">
        <f>IF(R17+U17=2,3,IF(R17+U17=1,1,0))</f>
        <v>3</v>
      </c>
      <c r="AA17" s="26">
        <f>IF(Z17=3,3,IF(X17+Z17=2,2,IF(Z17=1,1,0)))</f>
        <v>3</v>
      </c>
      <c r="AB17" s="26">
        <f>Q17+T17</f>
        <v>12</v>
      </c>
      <c r="AC17" s="26">
        <f>R17+U17+X17</f>
        <v>2</v>
      </c>
      <c r="AD17" s="26"/>
      <c r="AE17" s="127" t="s">
        <v>104</v>
      </c>
      <c r="AF17" s="44">
        <f>J33+J39+J23+Y15+J27</f>
        <v>4</v>
      </c>
      <c r="AG17" s="44">
        <f t="shared" ref="AG17:AI17" si="5">L33+L39+L23+AA15+L27</f>
        <v>5</v>
      </c>
      <c r="AH17" s="44">
        <f t="shared" si="5"/>
        <v>30</v>
      </c>
      <c r="AI17" s="45">
        <f t="shared" si="5"/>
        <v>4</v>
      </c>
      <c r="AJ17" s="33"/>
      <c r="AK17" s="33"/>
      <c r="AL17" s="33"/>
      <c r="AM17" s="26"/>
      <c r="AN17" s="26"/>
    </row>
    <row r="18" ht="14.25" customHeight="1">
      <c r="A18" s="122" t="s">
        <v>71</v>
      </c>
      <c r="H18" s="47"/>
      <c r="I18" s="48"/>
      <c r="J18" s="26"/>
      <c r="K18" s="26"/>
      <c r="L18" s="26"/>
      <c r="M18" s="26"/>
      <c r="N18" s="26"/>
      <c r="O18" s="26"/>
      <c r="P18" s="46" t="s">
        <v>71</v>
      </c>
      <c r="W18" s="47"/>
      <c r="X18" s="48"/>
      <c r="Y18" s="26"/>
      <c r="Z18" s="26"/>
      <c r="AA18" s="26"/>
      <c r="AB18" s="26"/>
      <c r="AC18" s="26"/>
      <c r="AD18" s="26"/>
      <c r="AE18" s="26"/>
      <c r="AF18" s="33"/>
      <c r="AG18" s="33"/>
      <c r="AH18" s="33"/>
      <c r="AI18" s="33"/>
      <c r="AJ18" s="33"/>
      <c r="AK18" s="33"/>
      <c r="AL18" s="33"/>
      <c r="AM18" s="26"/>
      <c r="AN18" s="26"/>
    </row>
    <row r="19" ht="14.25" customHeight="1">
      <c r="A19" s="123" t="str">
        <f>AE19</f>
        <v>Laureen Spiteri </v>
      </c>
      <c r="B19" s="118"/>
      <c r="C19" s="124">
        <f>IF(B19&gt;B17,1,0)</f>
        <v>0</v>
      </c>
      <c r="D19" s="125"/>
      <c r="E19" s="118"/>
      <c r="F19" s="124">
        <f>IF(E19&gt;E17,1,0)</f>
        <v>0</v>
      </c>
      <c r="G19" s="125"/>
      <c r="H19" s="118"/>
      <c r="I19" s="26">
        <f>IF(H19&gt;H17,1,0)</f>
        <v>0</v>
      </c>
      <c r="J19" s="26">
        <f>IF(B19="",0,1)</f>
        <v>0</v>
      </c>
      <c r="K19" s="26">
        <f>IF(C19+F19=2,3,IF(C19+F19=1,1,0))</f>
        <v>0</v>
      </c>
      <c r="L19" s="26">
        <f>IF(K19=3,3,IF(I19+K19=2,2,IF(K19=1,1,0)))</f>
        <v>0</v>
      </c>
      <c r="M19" s="26">
        <f>B19+E19</f>
        <v>0</v>
      </c>
      <c r="N19" s="26">
        <f>C19+F19+I19</f>
        <v>0</v>
      </c>
      <c r="O19" s="26"/>
      <c r="P19" s="49" t="str">
        <f>AE13</f>
        <v>Jade Sammut</v>
      </c>
      <c r="Q19" s="39">
        <v>3.0</v>
      </c>
      <c r="R19" s="50">
        <f>IF(Q19&gt;Q17,1,0)</f>
        <v>0</v>
      </c>
      <c r="S19" s="51"/>
      <c r="T19" s="39">
        <v>1.0</v>
      </c>
      <c r="U19" s="50">
        <f>IF(T19&gt;T17,1,0)</f>
        <v>0</v>
      </c>
      <c r="V19" s="51"/>
      <c r="W19" s="42"/>
      <c r="X19" s="26">
        <f>IF(W19&gt;W17,1,0)</f>
        <v>0</v>
      </c>
      <c r="Y19" s="26">
        <f>IF(Q19="",0,1)</f>
        <v>1</v>
      </c>
      <c r="Z19" s="26">
        <f>IF(R19+U19=2,3,IF(R19+U19=1,1,0))</f>
        <v>0</v>
      </c>
      <c r="AA19" s="26">
        <f>IF(Z19=3,3,IF(X19+Z19=2,2,IF(Z19=1,1,0)))</f>
        <v>0</v>
      </c>
      <c r="AB19" s="26">
        <f>Q19+T19</f>
        <v>4</v>
      </c>
      <c r="AC19" s="26">
        <f>R19+U19+X19</f>
        <v>0</v>
      </c>
      <c r="AD19" s="26"/>
      <c r="AE19" s="132" t="s">
        <v>113</v>
      </c>
      <c r="AF19" s="120">
        <f>J35+Y27+Y35+J19+J31</f>
        <v>0</v>
      </c>
      <c r="AG19" s="120">
        <f t="shared" ref="AG19:AI19" si="6">L35+AA27+AA35+L19+L31</f>
        <v>0</v>
      </c>
      <c r="AH19" s="120">
        <f t="shared" si="6"/>
        <v>0</v>
      </c>
      <c r="AI19" s="121">
        <f t="shared" si="6"/>
        <v>0</v>
      </c>
      <c r="AJ19" s="26"/>
      <c r="AK19" s="33"/>
      <c r="AL19" s="33"/>
      <c r="AM19" s="26"/>
      <c r="AN19" s="26"/>
    </row>
    <row r="20" ht="14.25" customHeight="1">
      <c r="A20" s="26"/>
      <c r="B20" s="26"/>
      <c r="C20" s="26"/>
      <c r="D20" s="26"/>
      <c r="E20" s="26"/>
      <c r="F20" s="26"/>
      <c r="G20" s="26"/>
      <c r="H20" s="50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50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33"/>
      <c r="AL20" s="26"/>
      <c r="AM20" s="26"/>
      <c r="AN20" s="26"/>
    </row>
    <row r="21" ht="14.25" customHeight="1">
      <c r="A21" s="38" t="str">
        <f>AE11</f>
        <v>Dorianne Caruana Bonnici</v>
      </c>
      <c r="B21" s="39">
        <v>6.0</v>
      </c>
      <c r="C21" s="40">
        <f>IF(B21&gt;B23,1,0)</f>
        <v>1</v>
      </c>
      <c r="D21" s="41"/>
      <c r="E21" s="39">
        <v>6.0</v>
      </c>
      <c r="F21" s="40">
        <f>IF(E21&gt;E23,1,0)</f>
        <v>1</v>
      </c>
      <c r="G21" s="41"/>
      <c r="H21" s="42"/>
      <c r="I21" s="26">
        <f>IF(H21&gt;H23,1,0)</f>
        <v>0</v>
      </c>
      <c r="J21" s="26">
        <f>IF(B21="",0,1)</f>
        <v>1</v>
      </c>
      <c r="K21" s="26">
        <f>IF(C21+F21=2,3,IF(C21+F21=1,1,0))</f>
        <v>3</v>
      </c>
      <c r="L21" s="26">
        <f>IF(K21=3,3,IF(I21+K21=2,2,IF(K21=1,1,0)))</f>
        <v>3</v>
      </c>
      <c r="M21" s="26">
        <f>B21+E21</f>
        <v>12</v>
      </c>
      <c r="N21" s="26">
        <f>C21+F21+I21</f>
        <v>2</v>
      </c>
      <c r="O21" s="26"/>
      <c r="P21" s="38" t="str">
        <f>AE11</f>
        <v>Dorianne Caruana Bonnici</v>
      </c>
      <c r="Q21" s="39">
        <v>6.0</v>
      </c>
      <c r="R21" s="40">
        <f>IF(Q21&gt;Q23,1,0)</f>
        <v>1</v>
      </c>
      <c r="S21" s="41"/>
      <c r="T21" s="39">
        <v>6.0</v>
      </c>
      <c r="U21" s="40">
        <f>IF(T21&gt;T23,1,0)</f>
        <v>1</v>
      </c>
      <c r="V21" s="41"/>
      <c r="W21" s="42"/>
      <c r="X21" s="26">
        <f>IF(W21&gt;W23,1,0)</f>
        <v>0</v>
      </c>
      <c r="Y21" s="26">
        <f>IF(Q21="",0,1)</f>
        <v>1</v>
      </c>
      <c r="Z21" s="26">
        <f>IF(R21+U21=2,3,IF(R21+U21=1,1,0))</f>
        <v>3</v>
      </c>
      <c r="AA21" s="26">
        <f>IF(Z21=3,3,IF(X21+Z21=2,2,IF(Z21=1,1,0)))</f>
        <v>3</v>
      </c>
      <c r="AB21" s="26">
        <f>Q21+T21</f>
        <v>12</v>
      </c>
      <c r="AC21" s="26">
        <f>R21+U21+X21</f>
        <v>2</v>
      </c>
      <c r="AD21" s="26"/>
      <c r="AE21" s="128" t="s">
        <v>83</v>
      </c>
      <c r="AF21" s="29"/>
      <c r="AG21" s="29"/>
      <c r="AH21" s="29"/>
      <c r="AI21" s="30"/>
      <c r="AJ21" s="26"/>
      <c r="AK21" s="26"/>
      <c r="AL21" s="26"/>
      <c r="AM21" s="26"/>
      <c r="AN21" s="26"/>
    </row>
    <row r="22" ht="14.25" customHeight="1">
      <c r="A22" s="46" t="s">
        <v>71</v>
      </c>
      <c r="H22" s="47"/>
      <c r="I22" s="48"/>
      <c r="J22" s="26"/>
      <c r="K22" s="26"/>
      <c r="L22" s="26"/>
      <c r="M22" s="26"/>
      <c r="N22" s="26"/>
      <c r="O22" s="26"/>
      <c r="P22" s="46" t="s">
        <v>71</v>
      </c>
      <c r="W22" s="47"/>
      <c r="X22" s="48"/>
      <c r="Y22" s="26"/>
      <c r="Z22" s="26"/>
      <c r="AA22" s="26"/>
      <c r="AB22" s="26"/>
      <c r="AC22" s="26"/>
      <c r="AD22" s="26"/>
      <c r="AE22" s="53" t="s">
        <v>101</v>
      </c>
      <c r="AF22" s="29"/>
      <c r="AG22" s="29"/>
      <c r="AH22" s="29"/>
      <c r="AI22" s="30"/>
      <c r="AJ22" s="26"/>
      <c r="AK22" s="33"/>
      <c r="AL22" s="26"/>
      <c r="AM22" s="26"/>
      <c r="AN22" s="26"/>
    </row>
    <row r="23" ht="14.25" customHeight="1">
      <c r="A23" s="49" t="str">
        <f>AE17</f>
        <v>Ceridwen Scerri</v>
      </c>
      <c r="B23" s="39">
        <v>1.0</v>
      </c>
      <c r="C23" s="50">
        <f>IF(B23&gt;B21,1,0)</f>
        <v>0</v>
      </c>
      <c r="D23" s="51"/>
      <c r="E23" s="39">
        <v>2.0</v>
      </c>
      <c r="F23" s="50">
        <f>IF(E23&gt;E21,1,0)</f>
        <v>0</v>
      </c>
      <c r="G23" s="51"/>
      <c r="H23" s="42"/>
      <c r="I23" s="26">
        <f>IF(H23&gt;H21,1,0)</f>
        <v>0</v>
      </c>
      <c r="J23" s="26">
        <f>IF(B23="",0,1)</f>
        <v>1</v>
      </c>
      <c r="K23" s="26">
        <f>IF(C23+F23=2,3,IF(C23+F23=1,1,0))</f>
        <v>0</v>
      </c>
      <c r="L23" s="26">
        <f>IF(K23=3,3,IF(I23+K23=2,2,IF(K23=1,1,0)))</f>
        <v>0</v>
      </c>
      <c r="M23" s="26">
        <f>B23+E23</f>
        <v>3</v>
      </c>
      <c r="N23" s="26">
        <f>C23+F23+I23</f>
        <v>0</v>
      </c>
      <c r="O23" s="26"/>
      <c r="P23" s="49" t="str">
        <f>AE15</f>
        <v>Stefania Camilleri</v>
      </c>
      <c r="Q23" s="39">
        <v>0.0</v>
      </c>
      <c r="R23" s="50">
        <f>IF(Q23&gt;Q21,1,0)</f>
        <v>0</v>
      </c>
      <c r="S23" s="51"/>
      <c r="T23" s="39">
        <v>0.0</v>
      </c>
      <c r="U23" s="50">
        <f>IF(T23&gt;T21,1,0)</f>
        <v>0</v>
      </c>
      <c r="V23" s="51"/>
      <c r="W23" s="42"/>
      <c r="X23" s="26">
        <f>IF(W23&gt;W21,1,0)</f>
        <v>0</v>
      </c>
      <c r="Y23" s="26">
        <f>IF(Q23="",0,1)</f>
        <v>1</v>
      </c>
      <c r="Z23" s="26">
        <f>IF(R23+U23=2,3,IF(R23+U23=1,1,0))</f>
        <v>0</v>
      </c>
      <c r="AA23" s="26">
        <f>IF(Z23=3,3,IF(X23+Z23=2,2,IF(Z23=1,1,0)))</f>
        <v>0</v>
      </c>
      <c r="AB23" s="26">
        <f>Q23+T23</f>
        <v>0</v>
      </c>
      <c r="AC23" s="26">
        <f>R23+U23+X23</f>
        <v>0</v>
      </c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</row>
    <row r="24" ht="14.25" customHeight="1">
      <c r="A24" s="26"/>
      <c r="B24" s="26"/>
      <c r="C24" s="26"/>
      <c r="D24" s="26"/>
      <c r="E24" s="26"/>
      <c r="F24" s="26"/>
      <c r="G24" s="26"/>
      <c r="H24" s="50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50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</row>
    <row r="25" ht="14.25" customHeight="1">
      <c r="A25" s="38" t="str">
        <f>AE13</f>
        <v>Jade Sammut</v>
      </c>
      <c r="B25" s="39">
        <v>4.0</v>
      </c>
      <c r="C25" s="40">
        <f>IF(B25&gt;B27,1,0)</f>
        <v>0</v>
      </c>
      <c r="D25" s="41"/>
      <c r="E25" s="39">
        <v>6.0</v>
      </c>
      <c r="F25" s="40">
        <f>IF(E25&gt;E27,1,0)</f>
        <v>1</v>
      </c>
      <c r="G25" s="41"/>
      <c r="H25" s="39">
        <v>6.0</v>
      </c>
      <c r="I25" s="26">
        <f>IF(H25&gt;H27,1,0)</f>
        <v>0</v>
      </c>
      <c r="J25" s="26">
        <f>IF(B25="",0,1)</f>
        <v>1</v>
      </c>
      <c r="K25" s="26">
        <f>IF(C25+F25=2,3,IF(C25+F25=1,1,0))</f>
        <v>1</v>
      </c>
      <c r="L25" s="26">
        <f>IF(K25=3,3,IF(I25+K25=2,2,IF(K25=1,1,0)))</f>
        <v>1</v>
      </c>
      <c r="M25" s="26">
        <f>B25+E25</f>
        <v>10</v>
      </c>
      <c r="N25" s="26">
        <f>C25+F25+I25</f>
        <v>1</v>
      </c>
      <c r="O25" s="26"/>
      <c r="P25" s="114" t="str">
        <f>AE11</f>
        <v>Dorianne Caruana Bonnici</v>
      </c>
      <c r="Q25" s="118"/>
      <c r="R25" s="116">
        <f>IF(Q25&gt;Q27,1,0)</f>
        <v>0</v>
      </c>
      <c r="S25" s="117"/>
      <c r="T25" s="118"/>
      <c r="U25" s="116">
        <f>IF(T25&gt;T27,1,0)</f>
        <v>0</v>
      </c>
      <c r="V25" s="117"/>
      <c r="W25" s="118"/>
      <c r="X25" s="26">
        <f>IF(W25&gt;W27,1,0)</f>
        <v>0</v>
      </c>
      <c r="Y25" s="26">
        <f>IF(Q25="",0,1)</f>
        <v>0</v>
      </c>
      <c r="Z25" s="26">
        <f>IF(R25+U25=2,3,IF(R25+U25=1,1,0))</f>
        <v>0</v>
      </c>
      <c r="AA25" s="26">
        <f>IF(Z25=3,3,IF(X25+Z25=2,2,IF(Z25=1,1,0)))</f>
        <v>0</v>
      </c>
      <c r="AB25" s="26">
        <f>Q25+T25</f>
        <v>0</v>
      </c>
      <c r="AC25" s="26">
        <f>R25+U25+X25</f>
        <v>0</v>
      </c>
      <c r="AD25" s="26"/>
      <c r="AE25" s="128" t="s">
        <v>84</v>
      </c>
      <c r="AF25" s="29"/>
      <c r="AG25" s="29"/>
      <c r="AH25" s="29"/>
      <c r="AI25" s="30"/>
      <c r="AJ25" s="26"/>
      <c r="AK25" s="26"/>
      <c r="AL25" s="26"/>
      <c r="AM25" s="26"/>
      <c r="AN25" s="26"/>
    </row>
    <row r="26" ht="14.25" customHeight="1">
      <c r="A26" s="46" t="s">
        <v>71</v>
      </c>
      <c r="H26" s="47"/>
      <c r="I26" s="48"/>
      <c r="J26" s="26"/>
      <c r="K26" s="26"/>
      <c r="L26" s="26"/>
      <c r="M26" s="26"/>
      <c r="N26" s="26"/>
      <c r="O26" s="26"/>
      <c r="P26" s="122" t="s">
        <v>71</v>
      </c>
      <c r="W26" s="47"/>
      <c r="X26" s="48"/>
      <c r="Y26" s="26"/>
      <c r="Z26" s="26"/>
      <c r="AA26" s="26"/>
      <c r="AB26" s="26"/>
      <c r="AC26" s="26"/>
      <c r="AD26" s="26"/>
      <c r="AE26" s="53" t="s">
        <v>100</v>
      </c>
      <c r="AF26" s="29"/>
      <c r="AG26" s="29"/>
      <c r="AH26" s="29"/>
      <c r="AI26" s="30"/>
      <c r="AJ26" s="26"/>
      <c r="AK26" s="26"/>
      <c r="AL26" s="26"/>
      <c r="AM26" s="26"/>
      <c r="AN26" s="26"/>
    </row>
    <row r="27" ht="14.25" customHeight="1">
      <c r="A27" s="49" t="str">
        <f>AE17</f>
        <v>Ceridwen Scerri</v>
      </c>
      <c r="B27" s="39">
        <v>6.0</v>
      </c>
      <c r="C27" s="50">
        <f>IF(B27&gt;B25,1,0)</f>
        <v>1</v>
      </c>
      <c r="D27" s="51"/>
      <c r="E27" s="39">
        <v>2.0</v>
      </c>
      <c r="F27" s="50">
        <f>IF(E27&gt;E25,1,0)</f>
        <v>0</v>
      </c>
      <c r="G27" s="51"/>
      <c r="H27" s="39">
        <v>10.0</v>
      </c>
      <c r="I27" s="26">
        <f>IF(H27&gt;H25,1,0)</f>
        <v>1</v>
      </c>
      <c r="J27" s="26">
        <f>IF(B27="",0,1)</f>
        <v>1</v>
      </c>
      <c r="K27" s="26">
        <f>IF(C27+F27=2,3,IF(C27+F27=1,1,0))</f>
        <v>1</v>
      </c>
      <c r="L27" s="26">
        <f>IF(K27=3,3,IF(I27+K27=2,2,IF(K27=1,1,0)))</f>
        <v>2</v>
      </c>
      <c r="M27" s="26">
        <f>B27+E27</f>
        <v>8</v>
      </c>
      <c r="N27" s="26">
        <f>C27+F27+I27</f>
        <v>2</v>
      </c>
      <c r="O27" s="26"/>
      <c r="P27" s="123" t="str">
        <f>AE19</f>
        <v>Laureen Spiteri </v>
      </c>
      <c r="Q27" s="118"/>
      <c r="R27" s="124">
        <f>IF(Q27&gt;Q25,1,0)</f>
        <v>0</v>
      </c>
      <c r="S27" s="125"/>
      <c r="T27" s="118"/>
      <c r="U27" s="124">
        <f>IF(T27&gt;T25,1,0)</f>
        <v>0</v>
      </c>
      <c r="V27" s="125"/>
      <c r="W27" s="118"/>
      <c r="X27" s="26">
        <f>IF(W27&gt;W25,1,0)</f>
        <v>0</v>
      </c>
      <c r="Y27" s="26">
        <f>IF(Q27="",0,1)</f>
        <v>0</v>
      </c>
      <c r="Z27" s="26">
        <f>IF(R27+U27=2,3,IF(R27+U27=1,1,0))</f>
        <v>0</v>
      </c>
      <c r="AA27" s="26">
        <f>IF(Z27=3,3,IF(X27+Z27=2,2,IF(Z27=1,1,0)))</f>
        <v>0</v>
      </c>
      <c r="AB27" s="26">
        <f>Q27+T27</f>
        <v>0</v>
      </c>
      <c r="AC27" s="26">
        <f>R27+U27+X27</f>
        <v>0</v>
      </c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</row>
    <row r="28" ht="14.25" customHeight="1">
      <c r="A28" s="26"/>
      <c r="B28" s="26"/>
      <c r="C28" s="26"/>
      <c r="D28" s="26"/>
      <c r="E28" s="26"/>
      <c r="F28" s="26"/>
      <c r="G28" s="26"/>
      <c r="H28" s="50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50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33"/>
      <c r="AI28" s="26"/>
      <c r="AJ28" s="26"/>
      <c r="AK28" s="26"/>
      <c r="AL28" s="26"/>
      <c r="AM28" s="26"/>
      <c r="AN28" s="26"/>
    </row>
    <row r="29" ht="14.25" customHeight="1">
      <c r="A29" s="114" t="str">
        <f>AE15</f>
        <v>Stefania Camilleri</v>
      </c>
      <c r="B29" s="115"/>
      <c r="C29" s="116"/>
      <c r="D29" s="117"/>
      <c r="E29" s="115"/>
      <c r="F29" s="116"/>
      <c r="G29" s="117"/>
      <c r="H29" s="115"/>
      <c r="I29" s="26">
        <f>IF(H29&gt;H31,1,0)</f>
        <v>0</v>
      </c>
      <c r="J29" s="26">
        <f>IF(B29="",0,1)</f>
        <v>0</v>
      </c>
      <c r="K29" s="26">
        <f>IF(C29+F29=2,3,IF(C29+F29=1,1,0))</f>
        <v>0</v>
      </c>
      <c r="L29" s="26">
        <f>IF(K29=3,3,IF(I29+K29=2,2,IF(K29=1,1,0)))</f>
        <v>0</v>
      </c>
      <c r="M29" s="26">
        <f>B29+E29</f>
        <v>0</v>
      </c>
      <c r="N29" s="26">
        <f>C29+F29+I29</f>
        <v>0</v>
      </c>
      <c r="O29" s="26"/>
      <c r="P29" s="38" t="str">
        <f>AE13</f>
        <v>Jade Sammut</v>
      </c>
      <c r="Q29" s="39">
        <v>3.0</v>
      </c>
      <c r="R29" s="40">
        <f>IF(Q29&gt;Q31,1,0)</f>
        <v>0</v>
      </c>
      <c r="S29" s="41"/>
      <c r="T29" s="39">
        <v>2.0</v>
      </c>
      <c r="U29" s="40">
        <f>IF(T29&gt;T31,1,0)</f>
        <v>0</v>
      </c>
      <c r="V29" s="41"/>
      <c r="W29" s="42"/>
      <c r="X29" s="26">
        <f>IF(W29&gt;W31,1,0)</f>
        <v>0</v>
      </c>
      <c r="Y29" s="26">
        <f>IF(Q29="",0,1)</f>
        <v>1</v>
      </c>
      <c r="Z29" s="26">
        <f>IF(R29+U29=2,3,IF(R29+U29=1,1,0))</f>
        <v>0</v>
      </c>
      <c r="AA29" s="26">
        <f>IF(Z29=3,3,IF(X29+Z29=2,2,IF(Z29=1,1,0)))</f>
        <v>0</v>
      </c>
      <c r="AB29" s="26">
        <f>Q29+T29</f>
        <v>5</v>
      </c>
      <c r="AC29" s="26">
        <f>R29+U29+X29</f>
        <v>0</v>
      </c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</row>
    <row r="30" ht="14.25" customHeight="1">
      <c r="A30" s="122" t="s">
        <v>71</v>
      </c>
      <c r="H30" s="47"/>
      <c r="I30" s="48"/>
      <c r="J30" s="26"/>
      <c r="K30" s="26"/>
      <c r="L30" s="26"/>
      <c r="M30" s="26"/>
      <c r="N30" s="26"/>
      <c r="O30" s="26"/>
      <c r="P30" s="46" t="s">
        <v>71</v>
      </c>
      <c r="W30" s="47"/>
      <c r="X30" s="48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54"/>
      <c r="AM30" s="26"/>
      <c r="AN30" s="26"/>
    </row>
    <row r="31" ht="14.25" customHeight="1">
      <c r="A31" s="123" t="str">
        <f>AE19</f>
        <v>Laureen Spiteri </v>
      </c>
      <c r="B31" s="115"/>
      <c r="C31" s="124"/>
      <c r="D31" s="125"/>
      <c r="E31" s="115"/>
      <c r="F31" s="124"/>
      <c r="G31" s="125"/>
      <c r="H31" s="115"/>
      <c r="I31" s="26">
        <f>IF(H31&gt;H29,1,0)</f>
        <v>0</v>
      </c>
      <c r="J31" s="26">
        <f>IF(B31="",0,1)</f>
        <v>0</v>
      </c>
      <c r="K31" s="26">
        <f>IF(C31+F31=2,3,IF(C31+F31=1,1,0))</f>
        <v>0</v>
      </c>
      <c r="L31" s="26">
        <f>IF(K31=3,3,IF(I31+K31=2,2,IF(K31=1,1,0)))</f>
        <v>0</v>
      </c>
      <c r="M31" s="26">
        <f>B31+E31</f>
        <v>0</v>
      </c>
      <c r="N31" s="26">
        <f>C31+F31+I31</f>
        <v>0</v>
      </c>
      <c r="O31" s="26"/>
      <c r="P31" s="49" t="str">
        <f>AE15</f>
        <v>Stefania Camilleri</v>
      </c>
      <c r="Q31" s="39">
        <v>6.0</v>
      </c>
      <c r="R31" s="50">
        <f>IF(Q31&gt;Q29,1,0)</f>
        <v>1</v>
      </c>
      <c r="S31" s="51"/>
      <c r="T31" s="39">
        <v>6.0</v>
      </c>
      <c r="U31" s="50">
        <f>IF(T31&gt;T29,1,0)</f>
        <v>1</v>
      </c>
      <c r="V31" s="51"/>
      <c r="W31" s="42"/>
      <c r="X31" s="26">
        <f>IF(W31&gt;W29,1,0)</f>
        <v>0</v>
      </c>
      <c r="Y31" s="26">
        <f>IF(Q31="",0,1)</f>
        <v>1</v>
      </c>
      <c r="Z31" s="26">
        <f>IF(R31+U31=2,3,IF(R31+U31=1,1,0))</f>
        <v>3</v>
      </c>
      <c r="AA31" s="26">
        <f>IF(Z31=3,3,IF(X31+Z31=2,2,IF(Z31=1,1,0)))</f>
        <v>3</v>
      </c>
      <c r="AB31" s="26">
        <f>Q31+T31</f>
        <v>12</v>
      </c>
      <c r="AC31" s="26">
        <f>R31+U31+X31</f>
        <v>2</v>
      </c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33"/>
    </row>
    <row r="32" ht="14.25" customHeight="1">
      <c r="A32" s="26"/>
      <c r="B32" s="26"/>
      <c r="C32" s="26"/>
      <c r="D32" s="26"/>
      <c r="E32" s="26"/>
      <c r="F32" s="26"/>
      <c r="G32" s="26"/>
      <c r="H32" s="50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50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54"/>
      <c r="AM32" s="26"/>
      <c r="AN32" s="26"/>
    </row>
    <row r="33" ht="14.25" customHeight="1">
      <c r="A33" s="114" t="str">
        <f>AE17</f>
        <v>Ceridwen Scerri</v>
      </c>
      <c r="B33" s="115"/>
      <c r="C33" s="116"/>
      <c r="D33" s="117"/>
      <c r="E33" s="115"/>
      <c r="F33" s="116"/>
      <c r="G33" s="117"/>
      <c r="H33" s="115"/>
      <c r="I33" s="26">
        <f>IF(H33&gt;H35,1,0)</f>
        <v>0</v>
      </c>
      <c r="J33" s="26">
        <f>IF(B33="",0,1)</f>
        <v>0</v>
      </c>
      <c r="K33" s="26">
        <f>IF(C33+F33=2,3,IF(C33+F33=1,1,0))</f>
        <v>0</v>
      </c>
      <c r="L33" s="26">
        <f>IF(K33=3,3,IF(I33+K33=2,2,IF(K33=1,1,0)))</f>
        <v>0</v>
      </c>
      <c r="M33" s="26">
        <f>B33+E33</f>
        <v>0</v>
      </c>
      <c r="N33" s="26">
        <f>C33+F33+I33</f>
        <v>0</v>
      </c>
      <c r="O33" s="26"/>
      <c r="P33" s="114" t="str">
        <f>AE13</f>
        <v>Jade Sammut</v>
      </c>
      <c r="Q33" s="118"/>
      <c r="R33" s="116">
        <f>IF(Q33&gt;Q35,1,0)</f>
        <v>0</v>
      </c>
      <c r="S33" s="117"/>
      <c r="T33" s="118"/>
      <c r="U33" s="116">
        <f>IF(T33&gt;T35,1,0)</f>
        <v>0</v>
      </c>
      <c r="V33" s="117"/>
      <c r="W33" s="118"/>
      <c r="X33" s="26">
        <f>IF(W33&gt;W35,1,0)</f>
        <v>0</v>
      </c>
      <c r="Y33" s="26">
        <f>IF(Q33="",0,1)</f>
        <v>0</v>
      </c>
      <c r="Z33" s="26">
        <f>IF(R33+U33=2,3,IF(R33+U33=1,1,0))</f>
        <v>0</v>
      </c>
      <c r="AA33" s="26">
        <f>IF(Z33=3,3,IF(X33+Z33=2,2,IF(Z33=1,1,0)))</f>
        <v>0</v>
      </c>
      <c r="AB33" s="26">
        <f>Q33+T33</f>
        <v>0</v>
      </c>
      <c r="AC33" s="26">
        <f>R33+U33+X33</f>
        <v>0</v>
      </c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</row>
    <row r="34" ht="14.25" customHeight="1">
      <c r="A34" s="122" t="s">
        <v>71</v>
      </c>
      <c r="H34" s="47"/>
      <c r="I34" s="48"/>
      <c r="J34" s="26"/>
      <c r="K34" s="26"/>
      <c r="L34" s="26"/>
      <c r="M34" s="26"/>
      <c r="N34" s="26"/>
      <c r="O34" s="26"/>
      <c r="P34" s="122" t="s">
        <v>71</v>
      </c>
      <c r="W34" s="47"/>
      <c r="X34" s="48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</row>
    <row r="35" ht="14.25" customHeight="1">
      <c r="A35" s="123" t="str">
        <f>AE19</f>
        <v>Laureen Spiteri </v>
      </c>
      <c r="B35" s="115"/>
      <c r="C35" s="124"/>
      <c r="D35" s="125"/>
      <c r="E35" s="115"/>
      <c r="F35" s="124"/>
      <c r="G35" s="125"/>
      <c r="H35" s="115"/>
      <c r="I35" s="26">
        <f>IF(H35&gt;H33,1,0)</f>
        <v>0</v>
      </c>
      <c r="J35" s="26">
        <f>IF(B35="",0,1)</f>
        <v>0</v>
      </c>
      <c r="K35" s="26">
        <f>IF(C35+F35=2,3,IF(C35+F35=1,1,0))</f>
        <v>0</v>
      </c>
      <c r="L35" s="26">
        <f>IF(K35=3,3,IF(I35+K35=2,2,IF(K35=1,1,0)))</f>
        <v>0</v>
      </c>
      <c r="M35" s="26">
        <f>B35+E35</f>
        <v>0</v>
      </c>
      <c r="N35" s="26">
        <f>C35+F35+I35</f>
        <v>0</v>
      </c>
      <c r="O35" s="26"/>
      <c r="P35" s="123" t="str">
        <f>AE19</f>
        <v>Laureen Spiteri </v>
      </c>
      <c r="Q35" s="118"/>
      <c r="R35" s="124">
        <f>IF(Q35&gt;Q33,1,0)</f>
        <v>0</v>
      </c>
      <c r="S35" s="125"/>
      <c r="T35" s="118"/>
      <c r="U35" s="124">
        <f>IF(T35&gt;T33,1,0)</f>
        <v>0</v>
      </c>
      <c r="V35" s="125"/>
      <c r="W35" s="118"/>
      <c r="X35" s="26">
        <f>IF(W35&gt;W33,1,0)</f>
        <v>0</v>
      </c>
      <c r="Y35" s="26">
        <f>IF(Q35="",0,1)</f>
        <v>0</v>
      </c>
      <c r="Z35" s="26">
        <f>IF(R35+U35=2,3,IF(R35+U35=1,1,0))</f>
        <v>0</v>
      </c>
      <c r="AA35" s="26">
        <f>IF(Z35=3,3,IF(X35+Z35=2,2,IF(Z35=1,1,0)))</f>
        <v>0</v>
      </c>
      <c r="AB35" s="26">
        <f>Q35+T35</f>
        <v>0</v>
      </c>
      <c r="AC35" s="26">
        <f>R35+U35+X35</f>
        <v>0</v>
      </c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</row>
    <row r="36" ht="14.25" customHeight="1">
      <c r="A36" s="26"/>
      <c r="B36" s="26"/>
      <c r="C36" s="26"/>
      <c r="D36" s="26"/>
      <c r="E36" s="26"/>
      <c r="F36" s="26"/>
      <c r="G36" s="26"/>
      <c r="H36" s="50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33"/>
      <c r="AI36" s="26"/>
      <c r="AJ36" s="26"/>
      <c r="AK36" s="33"/>
      <c r="AL36" s="26"/>
      <c r="AM36" s="26"/>
      <c r="AN36" s="26"/>
    </row>
    <row r="37" ht="14.25" customHeight="1">
      <c r="A37" s="38" t="str">
        <f>AE15</f>
        <v>Stefania Camilleri</v>
      </c>
      <c r="B37" s="39">
        <v>2.0</v>
      </c>
      <c r="C37" s="40">
        <f>IF(B37&gt;B39,1,0)</f>
        <v>0</v>
      </c>
      <c r="D37" s="41"/>
      <c r="E37" s="39">
        <v>5.0</v>
      </c>
      <c r="F37" s="40">
        <f>IF(E37&gt;E39,1,0)</f>
        <v>0</v>
      </c>
      <c r="G37" s="41"/>
      <c r="H37" s="42"/>
      <c r="I37" s="26">
        <f>IF(H37&gt;H39,1,0)</f>
        <v>0</v>
      </c>
      <c r="J37" s="26">
        <f>IF(B37="",0,1)</f>
        <v>1</v>
      </c>
      <c r="K37" s="26">
        <f>IF(C37+F37=2,3,IF(C37+F37=1,1,0))</f>
        <v>0</v>
      </c>
      <c r="L37" s="26">
        <f>IF(K37=3,3,IF(I37+K37=2,2,IF(K37=1,1,0)))</f>
        <v>0</v>
      </c>
      <c r="M37" s="26">
        <f>B37+E37</f>
        <v>7</v>
      </c>
      <c r="N37" s="26">
        <f>C37+F37+I37</f>
        <v>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33"/>
      <c r="AL37" s="26"/>
      <c r="AM37" s="26"/>
      <c r="AN37" s="26"/>
    </row>
    <row r="38" ht="14.25" customHeight="1">
      <c r="A38" s="46" t="s">
        <v>71</v>
      </c>
      <c r="H38" s="47"/>
      <c r="I38" s="48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56"/>
      <c r="AK38" s="26"/>
      <c r="AL38" s="26"/>
      <c r="AM38" s="26"/>
      <c r="AN38" s="26"/>
    </row>
    <row r="39" ht="14.25" customHeight="1">
      <c r="A39" s="49" t="str">
        <f>AE17</f>
        <v>Ceridwen Scerri</v>
      </c>
      <c r="B39" s="39">
        <v>6.0</v>
      </c>
      <c r="C39" s="50">
        <f>IF(B39&gt;B37,1,0)</f>
        <v>1</v>
      </c>
      <c r="D39" s="51"/>
      <c r="E39" s="39">
        <v>7.0</v>
      </c>
      <c r="F39" s="50">
        <f>IF(E39&gt;E37,1,0)</f>
        <v>1</v>
      </c>
      <c r="G39" s="51"/>
      <c r="H39" s="42"/>
      <c r="I39" s="26">
        <f>IF(H39&gt;H37,1,0)</f>
        <v>0</v>
      </c>
      <c r="J39" s="26">
        <f>IF(B39="",0,1)</f>
        <v>1</v>
      </c>
      <c r="K39" s="26">
        <f>IF(C39+F39=2,3,IF(C39+F39=1,1,0))</f>
        <v>3</v>
      </c>
      <c r="L39" s="26">
        <f>IF(K39=3,3,IF(I39+K39=2,2,IF(K39=1,1,0)))</f>
        <v>3</v>
      </c>
      <c r="M39" s="26">
        <f>B39+E39</f>
        <v>13</v>
      </c>
      <c r="N39" s="26">
        <f>C39+F39+I39</f>
        <v>2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</row>
    <row r="40" ht="14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</row>
    <row r="41" ht="14.2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56"/>
      <c r="AK41" s="26"/>
      <c r="AL41" s="26"/>
      <c r="AM41" s="26"/>
      <c r="AN41" s="26"/>
    </row>
    <row r="42" ht="14.2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</row>
    <row r="43" ht="14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</row>
    <row r="44" ht="14.2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</row>
    <row r="45" ht="14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</row>
    <row r="46" ht="14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56"/>
      <c r="AK46" s="26"/>
      <c r="AL46" s="33"/>
      <c r="AM46" s="26"/>
      <c r="AN46" s="26"/>
    </row>
    <row r="47" ht="14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</row>
    <row r="48" ht="14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</row>
    <row r="49" ht="14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</row>
    <row r="50" ht="14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</row>
    <row r="51" ht="14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56"/>
      <c r="AK51" s="26"/>
      <c r="AL51" s="26"/>
      <c r="AM51" s="26"/>
      <c r="AN51" s="33"/>
    </row>
    <row r="52" ht="14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</row>
    <row r="53" ht="14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</row>
    <row r="54" ht="14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52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</row>
    <row r="55" ht="14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33"/>
      <c r="AI55" s="26"/>
      <c r="AJ55" s="26"/>
      <c r="AK55" s="33"/>
      <c r="AL55" s="26"/>
      <c r="AM55" s="26"/>
      <c r="AN55" s="26"/>
    </row>
    <row r="56" ht="14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</row>
    <row r="57" ht="14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</row>
    <row r="58" ht="14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</row>
    <row r="59" ht="14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</row>
    <row r="60" ht="14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</row>
    <row r="61" ht="14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</row>
    <row r="62" ht="14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</row>
    <row r="63" ht="14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</row>
    <row r="64" ht="14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</row>
    <row r="65" ht="14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</row>
    <row r="66" ht="14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</row>
    <row r="67" ht="14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</row>
    <row r="68" ht="14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</row>
    <row r="69" ht="14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</row>
    <row r="70" ht="14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</row>
    <row r="71" ht="14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</row>
    <row r="72" ht="14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</row>
    <row r="73" ht="14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</row>
    <row r="74" ht="14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</row>
    <row r="75" ht="14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</row>
    <row r="76" ht="14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</row>
    <row r="77" ht="14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</row>
    <row r="78" ht="14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</row>
    <row r="79" ht="14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</row>
    <row r="80" ht="14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</row>
    <row r="81" ht="14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</row>
    <row r="82" ht="14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</row>
    <row r="83" ht="14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</row>
    <row r="84" ht="14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</row>
    <row r="85" ht="14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</row>
    <row r="86" ht="14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</row>
    <row r="87" ht="14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</row>
    <row r="88" ht="14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</row>
    <row r="89" ht="14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</row>
    <row r="90" ht="14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</row>
    <row r="91" ht="14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</row>
    <row r="92" ht="14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</row>
    <row r="93" ht="14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ht="14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ht="14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</row>
    <row r="96" ht="14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</row>
    <row r="97" ht="14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</row>
    <row r="98" ht="14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</row>
    <row r="99" ht="14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</row>
    <row r="100" ht="14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</row>
    <row r="101" ht="14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</row>
    <row r="102" ht="14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</row>
    <row r="103" ht="14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</row>
    <row r="104" ht="14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</row>
    <row r="105" ht="14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33"/>
      <c r="R105" s="33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</row>
    <row r="106" ht="14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</row>
    <row r="107" ht="14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</row>
    <row r="108" ht="14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</row>
    <row r="109" ht="14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ht="14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ht="14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</row>
    <row r="112" ht="14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</row>
    <row r="113" ht="14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</row>
    <row r="114" ht="14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</row>
    <row r="115" ht="14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</row>
    <row r="116" ht="14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</row>
    <row r="117" ht="14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</row>
    <row r="118" ht="14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</row>
    <row r="119" ht="14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</row>
    <row r="120" ht="14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</row>
    <row r="121" ht="14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</row>
    <row r="122" ht="14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</row>
    <row r="123" ht="14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</row>
    <row r="124" ht="14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</row>
    <row r="125" ht="14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</row>
    <row r="126" ht="14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</row>
    <row r="127" ht="14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</row>
    <row r="128" ht="14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</row>
    <row r="129" ht="14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</row>
    <row r="130" ht="14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</row>
    <row r="131" ht="14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</row>
    <row r="132" ht="14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</row>
    <row r="133" ht="14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</row>
    <row r="134" ht="14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</row>
    <row r="135" ht="14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</row>
    <row r="136" ht="14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</row>
    <row r="137" ht="14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</row>
    <row r="138" ht="14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</row>
    <row r="139" ht="14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</row>
    <row r="140" ht="14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</row>
    <row r="141" ht="14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</row>
    <row r="142" ht="14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</row>
    <row r="143" ht="14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</row>
    <row r="144" ht="14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</row>
    <row r="145" ht="14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</row>
    <row r="146" ht="14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</row>
    <row r="147" ht="14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</row>
    <row r="148" ht="14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</row>
    <row r="149" ht="14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</row>
    <row r="150" ht="14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</row>
    <row r="151" ht="14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</row>
    <row r="152" ht="14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</row>
    <row r="153" ht="14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</row>
    <row r="154" ht="14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</row>
    <row r="155" ht="14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</row>
    <row r="156" ht="14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</row>
    <row r="157" ht="14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</row>
    <row r="158" ht="14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</row>
    <row r="159" ht="14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</row>
    <row r="160" ht="14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</row>
    <row r="161" ht="14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</row>
    <row r="162" ht="14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</row>
    <row r="163" ht="14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</row>
    <row r="164" ht="14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</row>
    <row r="165" ht="14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</row>
    <row r="166" ht="14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</row>
    <row r="167" ht="14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</row>
    <row r="168" ht="14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</row>
    <row r="169" ht="14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</row>
    <row r="170" ht="14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</row>
    <row r="171" ht="14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</row>
    <row r="172" ht="14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</row>
    <row r="173" ht="14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</row>
    <row r="174" ht="14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</row>
    <row r="175" ht="14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</row>
    <row r="176" ht="14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</row>
    <row r="177" ht="14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</row>
    <row r="178" ht="14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</row>
    <row r="179" ht="14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</row>
    <row r="180" ht="14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</row>
    <row r="181" ht="14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</row>
    <row r="182" ht="14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</row>
    <row r="183" ht="14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</row>
    <row r="184" ht="14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</row>
    <row r="185" ht="14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</row>
    <row r="186" ht="14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</row>
    <row r="187" ht="14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</row>
    <row r="188" ht="14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</row>
    <row r="189" ht="14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</row>
    <row r="190" ht="14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</row>
    <row r="191" ht="14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</row>
    <row r="192" ht="14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</row>
    <row r="193" ht="14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</row>
    <row r="194" ht="14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</row>
    <row r="195" ht="14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</row>
    <row r="196" ht="14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</row>
    <row r="197" ht="14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</row>
    <row r="198" ht="14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</row>
    <row r="199" ht="14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</row>
    <row r="200" ht="14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</row>
    <row r="201" ht="14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</row>
    <row r="202" ht="14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</row>
    <row r="203" ht="14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</row>
    <row r="204" ht="14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</row>
    <row r="205" ht="14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</row>
    <row r="206" ht="14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</row>
    <row r="207" ht="14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</row>
    <row r="208" ht="14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</row>
    <row r="209" ht="14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</row>
    <row r="210" ht="14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</row>
    <row r="211" ht="14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</row>
    <row r="212" ht="14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</row>
    <row r="213" ht="14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</row>
    <row r="214" ht="14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</row>
    <row r="215" ht="14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</row>
    <row r="216" ht="14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</row>
    <row r="217" ht="14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</row>
    <row r="218" ht="14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</row>
    <row r="219" ht="14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</row>
    <row r="220" ht="14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</row>
    <row r="221" ht="14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</row>
    <row r="222" ht="14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</row>
    <row r="223" ht="14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</row>
    <row r="224" ht="14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</row>
    <row r="225" ht="14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</row>
    <row r="226" ht="14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</row>
    <row r="227" ht="14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</row>
    <row r="228" ht="14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</row>
    <row r="229" ht="14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</row>
    <row r="230" ht="14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</row>
    <row r="231" ht="14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</row>
    <row r="232" ht="14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</row>
    <row r="233" ht="14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</row>
    <row r="234" ht="14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</row>
    <row r="235" ht="14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</row>
    <row r="236" ht="14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</row>
    <row r="237" ht="14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</row>
    <row r="238" ht="14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</row>
    <row r="239" ht="14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</row>
    <row r="240" ht="14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</row>
    <row r="241" ht="14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</row>
    <row r="242" ht="14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</row>
    <row r="243" ht="14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</row>
    <row r="244" ht="14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</row>
    <row r="245" ht="14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ht="14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ht="14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</row>
    <row r="248" ht="14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</row>
    <row r="249" ht="14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</row>
    <row r="250" ht="14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</row>
    <row r="251" ht="14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</row>
    <row r="252" ht="14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 ht="14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 ht="14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</row>
    <row r="255" ht="14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</row>
    <row r="256" ht="14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</row>
    <row r="257" ht="14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</row>
    <row r="258" ht="14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 ht="14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</row>
    <row r="260" ht="14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</row>
    <row r="261" ht="14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</row>
    <row r="262" ht="14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</row>
    <row r="263" ht="14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</row>
    <row r="264" ht="14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</row>
    <row r="265" ht="14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</row>
    <row r="266" ht="14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</row>
    <row r="267" ht="14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</row>
    <row r="268" ht="14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</row>
    <row r="269" ht="14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</row>
    <row r="270" ht="14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</row>
    <row r="271" ht="14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</row>
    <row r="272" ht="14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</row>
    <row r="273" ht="14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</row>
    <row r="274" ht="14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</row>
    <row r="275" ht="14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</row>
    <row r="276" ht="14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</row>
    <row r="277" ht="14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</row>
    <row r="278" ht="14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</row>
    <row r="279" ht="14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</row>
    <row r="280" ht="14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</row>
    <row r="281" ht="14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</row>
    <row r="282" ht="14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</row>
    <row r="283" ht="14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</row>
    <row r="284" ht="14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</row>
    <row r="285" ht="14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</row>
    <row r="286" ht="14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</row>
    <row r="287" ht="14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</row>
    <row r="288" ht="14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</row>
    <row r="289" ht="14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</row>
    <row r="290" ht="14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</row>
    <row r="291" ht="14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</row>
    <row r="292" ht="14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</row>
    <row r="293" ht="14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</row>
    <row r="294" ht="14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</row>
    <row r="295" ht="14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</row>
    <row r="296" ht="14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</row>
    <row r="297" ht="14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</row>
    <row r="298" ht="14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</row>
    <row r="299" ht="14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</row>
    <row r="300" ht="14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</row>
    <row r="301" ht="14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</row>
    <row r="302" ht="14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</row>
    <row r="303" ht="14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</row>
    <row r="304" ht="14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</row>
    <row r="305" ht="14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</row>
    <row r="306" ht="14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</row>
    <row r="307" ht="14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</row>
    <row r="308" ht="14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</row>
    <row r="309" ht="14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</row>
    <row r="310" ht="14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</row>
    <row r="311" ht="14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</row>
    <row r="312" ht="14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</row>
    <row r="313" ht="14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</row>
    <row r="314" ht="14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</row>
    <row r="315" ht="14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</row>
    <row r="316" ht="14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</row>
    <row r="317" ht="14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</row>
    <row r="318" ht="14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</row>
    <row r="319" ht="14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</row>
    <row r="320" ht="14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</row>
    <row r="321" ht="14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</row>
    <row r="322" ht="14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</row>
    <row r="323" ht="14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</row>
    <row r="324" ht="14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</row>
    <row r="325" ht="14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</row>
    <row r="326" ht="14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</row>
    <row r="327" ht="14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</row>
    <row r="328" ht="14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</row>
    <row r="329" ht="14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</row>
    <row r="330" ht="14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</row>
    <row r="331" ht="14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</row>
    <row r="332" ht="14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</row>
    <row r="333" ht="14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</row>
    <row r="334" ht="14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</row>
    <row r="335" ht="14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ht="14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ht="14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 ht="14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</row>
    <row r="339" ht="14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</row>
    <row r="340" ht="14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</row>
    <row r="341" ht="14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</row>
    <row r="342" ht="14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</row>
    <row r="343" ht="14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</row>
    <row r="344" ht="14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</row>
    <row r="345" ht="14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</row>
    <row r="346" ht="14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</row>
    <row r="347" ht="14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</row>
    <row r="348" ht="14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</row>
    <row r="349" ht="14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</row>
    <row r="350" ht="14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</row>
    <row r="351" ht="14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</row>
    <row r="352" ht="14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</row>
    <row r="353" ht="14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</row>
    <row r="354" ht="14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</row>
    <row r="355" ht="14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</row>
    <row r="356" ht="14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</row>
    <row r="357" ht="14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</row>
    <row r="358" ht="14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</row>
    <row r="359" ht="14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</row>
    <row r="360" ht="14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</row>
    <row r="361" ht="14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</row>
    <row r="362" ht="14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</row>
    <row r="363" ht="14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</row>
    <row r="364" ht="14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</row>
    <row r="365" ht="14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</row>
    <row r="366" ht="14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</row>
    <row r="367" ht="14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</row>
    <row r="368" ht="14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</row>
    <row r="369" ht="14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</row>
    <row r="370" ht="14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</row>
    <row r="371" ht="14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</row>
    <row r="372" ht="14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</row>
    <row r="373" ht="14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</row>
    <row r="374" ht="14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ht="14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ht="14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ht="14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ht="14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ht="14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ht="14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ht="14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ht="14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ht="14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ht="14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ht="14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ht="14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ht="14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ht="14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ht="14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ht="14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ht="14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ht="14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ht="14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ht="14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ht="14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ht="14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ht="14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ht="14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ht="14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ht="14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ht="14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ht="14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ht="14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ht="14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ht="14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ht="14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ht="14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</row>
    <row r="408" ht="14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</row>
    <row r="409" ht="14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</row>
    <row r="410" ht="14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</row>
    <row r="411" ht="14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</row>
    <row r="412" ht="14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</row>
    <row r="413" ht="14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</row>
    <row r="414" ht="14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</row>
    <row r="415" ht="14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</row>
    <row r="416" ht="14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</row>
    <row r="417" ht="14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</row>
    <row r="418" ht="14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</row>
    <row r="419" ht="14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</row>
    <row r="420" ht="14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</row>
    <row r="421" ht="14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</row>
    <row r="422" ht="14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</row>
    <row r="423" ht="14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</row>
    <row r="424" ht="14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</row>
    <row r="425" ht="14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</row>
    <row r="426" ht="14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</row>
    <row r="427" ht="14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</row>
    <row r="428" ht="14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</row>
    <row r="429" ht="14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</row>
    <row r="430" ht="14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</row>
    <row r="431" ht="14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</row>
    <row r="432" ht="14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</row>
    <row r="433" ht="14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</row>
    <row r="434" ht="14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</row>
    <row r="435" ht="14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</row>
    <row r="436" ht="14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</row>
    <row r="437" ht="14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</row>
    <row r="438" ht="14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</row>
    <row r="439" ht="14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</row>
    <row r="440" ht="14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</row>
    <row r="441" ht="14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</row>
    <row r="442" ht="14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</row>
    <row r="443" ht="14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</row>
    <row r="444" ht="14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</row>
    <row r="445" ht="14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</row>
    <row r="446" ht="14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</row>
    <row r="447" ht="14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</row>
    <row r="448" ht="14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</row>
    <row r="449" ht="14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</row>
    <row r="450" ht="14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</row>
    <row r="451" ht="14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</row>
    <row r="452" ht="14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</row>
    <row r="453" ht="14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</row>
    <row r="454" ht="14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</row>
    <row r="455" ht="14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</row>
    <row r="456" ht="14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</row>
    <row r="457" ht="14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</row>
    <row r="458" ht="14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</row>
    <row r="459" ht="14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</row>
    <row r="460" ht="14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</row>
    <row r="461" ht="14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</row>
    <row r="462" ht="14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</row>
    <row r="463" ht="14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</row>
    <row r="464" ht="14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</row>
    <row r="465" ht="14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</row>
    <row r="466" ht="14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</row>
    <row r="467" ht="14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</row>
    <row r="468" ht="14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</row>
    <row r="469" ht="14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</row>
    <row r="470" ht="14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</row>
    <row r="471" ht="14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</row>
    <row r="472" ht="14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</row>
    <row r="473" ht="14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</row>
    <row r="474" ht="14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</row>
    <row r="475" ht="14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</row>
    <row r="476" ht="14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</row>
    <row r="477" ht="14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</row>
    <row r="478" ht="14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</row>
    <row r="479" ht="14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</row>
    <row r="480" ht="14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</row>
    <row r="481" ht="14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</row>
    <row r="482" ht="14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</row>
    <row r="483" ht="14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</row>
    <row r="484" ht="14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</row>
    <row r="485" ht="14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</row>
    <row r="486" ht="14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</row>
    <row r="487" ht="14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</row>
    <row r="488" ht="14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</row>
    <row r="489" ht="14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</row>
    <row r="490" ht="14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</row>
    <row r="491" ht="14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</row>
    <row r="492" ht="14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</row>
    <row r="493" ht="14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</row>
    <row r="494" ht="14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</row>
    <row r="495" ht="14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</row>
    <row r="496" ht="14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</row>
    <row r="497" ht="14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</row>
    <row r="498" ht="14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</row>
    <row r="499" ht="14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</row>
    <row r="500" ht="14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</row>
    <row r="501" ht="14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</row>
    <row r="502" ht="14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</row>
    <row r="503" ht="14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</row>
    <row r="504" ht="14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</row>
    <row r="505" ht="14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</row>
    <row r="506" ht="14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</row>
    <row r="507" ht="14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</row>
    <row r="508" ht="14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</row>
    <row r="509" ht="14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</row>
    <row r="510" ht="14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</row>
    <row r="511" ht="14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</row>
    <row r="512" ht="14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</row>
    <row r="513" ht="14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</row>
    <row r="514" ht="14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</row>
    <row r="515" ht="14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</row>
    <row r="516" ht="14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</row>
    <row r="517" ht="14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</row>
    <row r="518" ht="14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</row>
    <row r="519" ht="14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</row>
    <row r="520" ht="14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</row>
    <row r="521" ht="14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</row>
    <row r="522" ht="14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</row>
    <row r="523" ht="14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</row>
    <row r="524" ht="14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</row>
    <row r="525" ht="14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</row>
    <row r="526" ht="14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</row>
    <row r="527" ht="14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</row>
    <row r="528" ht="14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</row>
    <row r="529" ht="14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</row>
    <row r="530" ht="14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</row>
    <row r="531" ht="14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</row>
    <row r="532" ht="14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</row>
    <row r="533" ht="14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</row>
    <row r="534" ht="14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</row>
    <row r="535" ht="14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</row>
    <row r="536" ht="14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</row>
    <row r="537" ht="14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</row>
    <row r="538" ht="14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</row>
    <row r="539" ht="14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</row>
    <row r="540" ht="14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</row>
    <row r="541" ht="14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</row>
    <row r="542" ht="14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</row>
    <row r="543" ht="14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</row>
    <row r="544" ht="14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</row>
    <row r="545" ht="14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</row>
    <row r="546" ht="14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</row>
    <row r="547" ht="14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</row>
    <row r="548" ht="14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</row>
    <row r="549" ht="14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</row>
    <row r="550" ht="14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</row>
    <row r="551" ht="14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</row>
    <row r="552" ht="14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</row>
    <row r="553" ht="14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</row>
    <row r="554" ht="14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</row>
    <row r="555" ht="14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</row>
    <row r="556" ht="14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</row>
    <row r="557" ht="14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</row>
    <row r="558" ht="14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</row>
    <row r="559" ht="14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</row>
    <row r="560" ht="14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</row>
    <row r="561" ht="14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</row>
    <row r="562" ht="14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</row>
    <row r="563" ht="14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</row>
    <row r="564" ht="14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</row>
    <row r="565" ht="14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</row>
    <row r="566" ht="14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</row>
    <row r="567" ht="14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</row>
    <row r="568" ht="14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</row>
    <row r="569" ht="14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</row>
    <row r="570" ht="14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</row>
    <row r="571" ht="14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</row>
    <row r="572" ht="14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</row>
    <row r="573" ht="14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</row>
    <row r="574" ht="14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</row>
    <row r="575" ht="14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</row>
    <row r="576" ht="14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</row>
    <row r="577" ht="14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</row>
    <row r="578" ht="14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</row>
    <row r="579" ht="14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</row>
    <row r="580" ht="14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</row>
    <row r="581" ht="14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</row>
    <row r="582" ht="14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</row>
    <row r="583" ht="14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</row>
    <row r="584" ht="14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</row>
    <row r="585" ht="14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</row>
    <row r="586" ht="14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</row>
    <row r="587" ht="14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</row>
    <row r="588" ht="14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</row>
    <row r="589" ht="14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</row>
    <row r="590" ht="14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</row>
    <row r="591" ht="14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</row>
    <row r="592" ht="14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</row>
    <row r="593" ht="14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</row>
    <row r="594" ht="14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</row>
    <row r="595" ht="14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</row>
    <row r="596" ht="14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</row>
    <row r="597" ht="14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</row>
    <row r="598" ht="14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</row>
    <row r="599" ht="14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</row>
    <row r="600" ht="14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</row>
    <row r="601" ht="14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</row>
    <row r="602" ht="14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</row>
    <row r="603" ht="14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</row>
    <row r="604" ht="14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</row>
    <row r="605" ht="14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</row>
    <row r="606" ht="14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</row>
    <row r="607" ht="14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</row>
    <row r="608" ht="14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</row>
    <row r="609" ht="14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</row>
    <row r="610" ht="14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</row>
    <row r="611" ht="14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</row>
    <row r="612" ht="14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</row>
    <row r="613" ht="14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</row>
    <row r="614" ht="14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</row>
    <row r="615" ht="14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</row>
    <row r="616" ht="14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</row>
    <row r="617" ht="14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</row>
    <row r="618" ht="14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</row>
    <row r="619" ht="14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</row>
    <row r="620" ht="14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</row>
    <row r="621" ht="14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</row>
    <row r="622" ht="14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</row>
    <row r="623" ht="14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</row>
    <row r="624" ht="14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</row>
    <row r="625" ht="14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</row>
    <row r="626" ht="14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</row>
    <row r="627" ht="14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</row>
    <row r="628" ht="14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</row>
    <row r="629" ht="14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</row>
    <row r="630" ht="14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</row>
    <row r="631" ht="14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</row>
    <row r="632" ht="14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</row>
    <row r="633" ht="14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</row>
    <row r="634" ht="14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</row>
    <row r="635" ht="14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</row>
    <row r="636" ht="14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</row>
    <row r="637" ht="14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</row>
    <row r="638" ht="14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</row>
    <row r="639" ht="14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</row>
    <row r="640" ht="14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</row>
    <row r="641" ht="14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</row>
    <row r="642" ht="14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</row>
    <row r="643" ht="14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</row>
    <row r="644" ht="14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</row>
    <row r="645" ht="14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</row>
    <row r="646" ht="14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</row>
    <row r="647" ht="14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</row>
    <row r="648" ht="14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</row>
    <row r="649" ht="14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</row>
    <row r="650" ht="14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</row>
    <row r="651" ht="14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</row>
    <row r="652" ht="14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</row>
    <row r="653" ht="14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</row>
    <row r="654" ht="14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</row>
    <row r="655" ht="14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</row>
    <row r="656" ht="14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</row>
    <row r="657" ht="14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</row>
    <row r="658" ht="14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</row>
    <row r="659" ht="14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</row>
    <row r="660" ht="14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</row>
    <row r="661" ht="14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</row>
    <row r="662" ht="14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</row>
    <row r="663" ht="14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</row>
    <row r="664" ht="14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</row>
    <row r="665" ht="14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</row>
    <row r="666" ht="14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</row>
    <row r="667" ht="14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</row>
    <row r="668" ht="14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</row>
    <row r="669" ht="14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</row>
    <row r="670" ht="14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</row>
    <row r="671" ht="14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</row>
    <row r="672" ht="14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</row>
    <row r="673" ht="14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</row>
    <row r="674" ht="14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</row>
    <row r="675" ht="14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</row>
    <row r="676" ht="14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</row>
    <row r="677" ht="14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</row>
    <row r="678" ht="14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</row>
    <row r="679" ht="14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</row>
    <row r="680" ht="14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</row>
    <row r="681" ht="14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</row>
    <row r="682" ht="14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</row>
    <row r="683" ht="14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</row>
    <row r="684" ht="14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</row>
    <row r="685" ht="14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</row>
    <row r="686" ht="14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</row>
    <row r="687" ht="14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</row>
    <row r="688" ht="14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</row>
    <row r="689" ht="14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</row>
    <row r="690" ht="14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</row>
    <row r="691" ht="14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</row>
    <row r="692" ht="14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</row>
    <row r="693" ht="14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</row>
    <row r="694" ht="14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</row>
    <row r="695" ht="14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</row>
    <row r="696" ht="14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</row>
    <row r="697" ht="14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</row>
    <row r="698" ht="14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</row>
    <row r="699" ht="14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</row>
    <row r="700" ht="14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</row>
    <row r="701" ht="14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</row>
    <row r="702" ht="14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</row>
    <row r="703" ht="14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</row>
    <row r="704" ht="14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</row>
    <row r="705" ht="14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</row>
    <row r="706" ht="14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</row>
    <row r="707" ht="14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</row>
    <row r="708" ht="14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</row>
    <row r="709" ht="14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</row>
    <row r="710" ht="14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</row>
    <row r="711" ht="14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</row>
    <row r="712" ht="14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</row>
    <row r="713" ht="14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</row>
    <row r="714" ht="14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</row>
    <row r="715" ht="14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</row>
    <row r="716" ht="14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</row>
    <row r="717" ht="14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</row>
    <row r="718" ht="14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</row>
    <row r="719" ht="14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</row>
    <row r="720" ht="14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</row>
    <row r="721" ht="14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</row>
    <row r="722" ht="14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</row>
    <row r="723" ht="14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</row>
    <row r="724" ht="14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</row>
    <row r="725" ht="14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</row>
    <row r="726" ht="14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</row>
    <row r="727" ht="14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</row>
    <row r="728" ht="14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</row>
    <row r="729" ht="14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</row>
    <row r="730" ht="14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</row>
    <row r="731" ht="14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</row>
    <row r="732" ht="14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</row>
    <row r="733" ht="14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</row>
    <row r="734" ht="14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</row>
    <row r="735" ht="14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</row>
    <row r="736" ht="14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</row>
    <row r="737" ht="14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</row>
    <row r="738" ht="14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</row>
    <row r="739" ht="14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</row>
    <row r="740" ht="14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</row>
    <row r="741" ht="14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</row>
    <row r="742" ht="14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</row>
    <row r="743" ht="14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</row>
    <row r="744" ht="14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</row>
    <row r="745" ht="14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</row>
    <row r="746" ht="14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</row>
    <row r="747" ht="14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</row>
    <row r="748" ht="14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</row>
    <row r="749" ht="14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</row>
    <row r="750" ht="14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</row>
    <row r="751" ht="14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</row>
    <row r="752" ht="14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</row>
    <row r="753" ht="14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</row>
    <row r="754" ht="14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</row>
    <row r="755" ht="14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</row>
    <row r="756" ht="14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</row>
    <row r="757" ht="14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</row>
    <row r="758" ht="14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</row>
    <row r="759" ht="14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</row>
    <row r="760" ht="14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</row>
    <row r="761" ht="14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</row>
    <row r="762" ht="14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</row>
    <row r="763" ht="14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</row>
    <row r="764" ht="14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</row>
    <row r="765" ht="14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</row>
    <row r="766" ht="14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</row>
    <row r="767" ht="14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</row>
    <row r="768" ht="14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</row>
    <row r="769" ht="14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</row>
    <row r="770" ht="14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</row>
    <row r="771" ht="14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</row>
    <row r="772" ht="14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</row>
    <row r="773" ht="14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</row>
    <row r="774" ht="14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</row>
    <row r="775" ht="14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</row>
    <row r="776" ht="14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</row>
    <row r="777" ht="14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</row>
    <row r="778" ht="14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</row>
    <row r="779" ht="14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</row>
    <row r="780" ht="14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</row>
    <row r="781" ht="14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</row>
    <row r="782" ht="14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</row>
    <row r="783" ht="14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</row>
    <row r="784" ht="14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</row>
    <row r="785" ht="14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</row>
    <row r="786" ht="14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</row>
    <row r="787" ht="14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</row>
    <row r="788" ht="14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</row>
    <row r="789" ht="14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</row>
    <row r="790" ht="14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</row>
    <row r="791" ht="14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</row>
    <row r="792" ht="14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</row>
    <row r="793" ht="14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</row>
    <row r="794" ht="14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</row>
    <row r="795" ht="14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</row>
    <row r="796" ht="14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</row>
    <row r="797" ht="14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</row>
    <row r="798" ht="14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</row>
    <row r="799" ht="14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</row>
    <row r="800" ht="14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</row>
    <row r="801" ht="14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</row>
    <row r="802" ht="14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</row>
    <row r="803" ht="14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</row>
    <row r="804" ht="14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</row>
    <row r="805" ht="14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</row>
    <row r="806" ht="14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</row>
    <row r="807" ht="14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</row>
    <row r="808" ht="14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</row>
    <row r="809" ht="14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</row>
    <row r="810" ht="14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</row>
    <row r="811" ht="14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</row>
    <row r="812" ht="14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</row>
    <row r="813" ht="14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</row>
    <row r="814" ht="14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</row>
    <row r="815" ht="14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</row>
    <row r="816" ht="14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</row>
    <row r="817" ht="14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</row>
    <row r="818" ht="14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</row>
    <row r="819" ht="14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</row>
    <row r="820" ht="14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</row>
    <row r="821" ht="14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</row>
    <row r="822" ht="14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</row>
    <row r="823" ht="14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</row>
    <row r="824" ht="14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</row>
    <row r="825" ht="14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</row>
    <row r="826" ht="14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</row>
    <row r="827" ht="14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</row>
    <row r="828" ht="14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</row>
    <row r="829" ht="14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</row>
    <row r="830" ht="14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</row>
    <row r="831" ht="14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</row>
    <row r="832" ht="14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</row>
    <row r="833" ht="14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</row>
    <row r="834" ht="14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</row>
    <row r="835" ht="14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</row>
    <row r="836" ht="14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</row>
    <row r="837" ht="14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</row>
    <row r="838" ht="14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</row>
    <row r="839" ht="14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</row>
    <row r="840" ht="14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</row>
    <row r="841" ht="14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</row>
    <row r="842" ht="14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</row>
    <row r="843" ht="14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</row>
    <row r="844" ht="14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</row>
    <row r="845" ht="14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</row>
    <row r="846" ht="14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</row>
    <row r="847" ht="14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</row>
    <row r="848" ht="14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</row>
    <row r="849" ht="14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</row>
    <row r="850" ht="14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</row>
    <row r="851" ht="14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</row>
    <row r="852" ht="14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</row>
    <row r="853" ht="14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</row>
    <row r="854" ht="14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</row>
    <row r="855" ht="14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</row>
    <row r="856" ht="14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</row>
    <row r="857" ht="14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</row>
    <row r="858" ht="14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</row>
    <row r="859" ht="14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</row>
    <row r="860" ht="14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</row>
    <row r="861" ht="14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</row>
    <row r="862" ht="14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</row>
    <row r="863" ht="14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</row>
    <row r="864" ht="14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</row>
    <row r="865" ht="14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</row>
    <row r="866" ht="14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</row>
    <row r="867" ht="14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</row>
    <row r="868" ht="14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</row>
    <row r="869" ht="14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</row>
    <row r="870" ht="14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</row>
    <row r="871" ht="14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</row>
    <row r="872" ht="14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</row>
    <row r="873" ht="14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</row>
    <row r="874" ht="14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</row>
    <row r="875" ht="14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</row>
    <row r="876" ht="14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</row>
    <row r="877" ht="14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</row>
    <row r="878" ht="14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</row>
    <row r="879" ht="14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</row>
    <row r="880" ht="14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</row>
    <row r="881" ht="14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</row>
    <row r="882" ht="14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</row>
    <row r="883" ht="14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</row>
    <row r="884" ht="14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</row>
    <row r="885" ht="14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</row>
    <row r="886" ht="14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</row>
    <row r="887" ht="14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</row>
    <row r="888" ht="14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</row>
    <row r="889" ht="14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</row>
    <row r="890" ht="14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</row>
    <row r="891" ht="14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</row>
    <row r="892" ht="14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</row>
    <row r="893" ht="14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</row>
    <row r="894" ht="14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</row>
    <row r="895" ht="14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</row>
    <row r="896" ht="14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</row>
    <row r="897" ht="14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</row>
    <row r="898" ht="14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</row>
    <row r="899" ht="14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</row>
    <row r="900" ht="14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</row>
    <row r="901" ht="14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</row>
    <row r="902" ht="14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</row>
    <row r="903" ht="14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</row>
    <row r="904" ht="14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</row>
    <row r="905" ht="14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</row>
    <row r="906" ht="14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</row>
    <row r="907" ht="14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</row>
    <row r="908" ht="14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</row>
    <row r="909" ht="14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</row>
    <row r="910" ht="14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</row>
    <row r="911" ht="14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</row>
    <row r="912" ht="14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</row>
    <row r="913" ht="14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</row>
    <row r="914" ht="14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</row>
    <row r="915" ht="14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</row>
    <row r="916" ht="14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</row>
    <row r="917" ht="14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</row>
    <row r="918" ht="14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</row>
    <row r="919" ht="14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</row>
    <row r="920" ht="14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</row>
    <row r="921" ht="14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</row>
    <row r="922" ht="14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</row>
    <row r="923" ht="14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</row>
    <row r="924" ht="14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</row>
    <row r="925" ht="14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</row>
    <row r="926" ht="14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</row>
    <row r="927" ht="14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</row>
    <row r="928" ht="14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</row>
    <row r="929" ht="14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</row>
    <row r="930" ht="14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</row>
    <row r="931" ht="14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</row>
    <row r="932" ht="14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</row>
    <row r="933" ht="14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</row>
    <row r="934" ht="14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</row>
    <row r="935" ht="14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</row>
    <row r="936" ht="14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</row>
    <row r="937" ht="14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</row>
    <row r="938" ht="14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</row>
    <row r="939" ht="14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</row>
    <row r="940" ht="14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</row>
    <row r="941" ht="14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</row>
    <row r="942" ht="14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</row>
    <row r="943" ht="14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</row>
    <row r="944" ht="14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</row>
    <row r="945" ht="14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</row>
    <row r="946" ht="14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</row>
    <row r="947" ht="14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</row>
    <row r="948" ht="14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</row>
    <row r="949" ht="14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</row>
    <row r="950" ht="14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</row>
    <row r="951" ht="14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</row>
    <row r="952" ht="14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</row>
    <row r="953" ht="14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</row>
    <row r="954" ht="14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</row>
    <row r="955" ht="14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</row>
    <row r="956" ht="14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</row>
    <row r="957" ht="14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</row>
    <row r="958" ht="14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</row>
    <row r="959" ht="14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</row>
    <row r="960" ht="14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</row>
    <row r="961" ht="14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</row>
    <row r="962" ht="14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</row>
    <row r="963" ht="14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</row>
    <row r="964" ht="14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</row>
    <row r="965" ht="14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</row>
    <row r="966" ht="14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</row>
    <row r="967" ht="14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</row>
    <row r="968" ht="14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</row>
    <row r="969" ht="14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</row>
    <row r="970" ht="14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</row>
    <row r="971" ht="14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</row>
    <row r="972" ht="14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</row>
    <row r="973" ht="14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</row>
    <row r="974" ht="14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</row>
    <row r="975" ht="14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</row>
    <row r="976" ht="14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</row>
    <row r="977" ht="14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</row>
    <row r="978" ht="14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</row>
    <row r="979" ht="14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</row>
    <row r="980" ht="14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</row>
    <row r="981" ht="14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</row>
    <row r="982" ht="14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</row>
    <row r="983" ht="14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</row>
    <row r="984" ht="14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</row>
    <row r="985" ht="14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</row>
    <row r="986" ht="14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</row>
    <row r="987" ht="14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</row>
    <row r="988" ht="14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</row>
    <row r="989" ht="14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</row>
    <row r="990" ht="14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</row>
    <row r="991" ht="14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</row>
    <row r="992" ht="14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</row>
    <row r="993" ht="14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</row>
    <row r="994" ht="14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</row>
    <row r="995" ht="14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</row>
    <row r="996" ht="14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</row>
    <row r="997" ht="14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</row>
    <row r="998" ht="14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</row>
    <row r="999" ht="14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</row>
    <row r="1000" ht="14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</row>
  </sheetData>
  <mergeCells count="25">
    <mergeCell ref="A1:AN2"/>
    <mergeCell ref="A5:AI5"/>
    <mergeCell ref="B7:E7"/>
    <mergeCell ref="H7:K7"/>
    <mergeCell ref="Q7:T7"/>
    <mergeCell ref="W7:Z7"/>
    <mergeCell ref="P10:W10"/>
    <mergeCell ref="AE21:AI21"/>
    <mergeCell ref="AE22:AI22"/>
    <mergeCell ref="AE25:AI25"/>
    <mergeCell ref="AE26:AI26"/>
    <mergeCell ref="A26:H26"/>
    <mergeCell ref="P26:W26"/>
    <mergeCell ref="A30:H30"/>
    <mergeCell ref="P30:W30"/>
    <mergeCell ref="A34:H34"/>
    <mergeCell ref="P34:W34"/>
    <mergeCell ref="A38:H38"/>
    <mergeCell ref="A10:H10"/>
    <mergeCell ref="A14:H14"/>
    <mergeCell ref="P14:W14"/>
    <mergeCell ref="A18:H18"/>
    <mergeCell ref="P18:W18"/>
    <mergeCell ref="A22:H22"/>
    <mergeCell ref="P22:W22"/>
  </mergeCells>
  <printOptions/>
  <pageMargins bottom="0.75" footer="0.0" header="0.0" left="0.25" right="0.25" top="0.75"/>
  <pageSetup paperSize="9" scale="6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0" width="7.75"/>
    <col customWidth="1" hidden="1" min="11" max="11" width="7.38"/>
    <col customWidth="1" hidden="1" min="12" max="12" width="11.25"/>
    <col customWidth="1" hidden="1" min="13" max="13" width="8.0"/>
    <col customWidth="1" hidden="1" min="14" max="14" width="6.13"/>
    <col customWidth="1" min="15" max="15" width="4.5"/>
    <col customWidth="1" min="16" max="16" width="32.0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7.75"/>
    <col customWidth="1" hidden="1" min="26" max="26" width="7.38"/>
    <col customWidth="1" hidden="1" min="27" max="27" width="11.25"/>
    <col customWidth="1" hidden="1" min="28" max="28" width="8.0"/>
    <col customWidth="1" hidden="1" min="29" max="29" width="6.13"/>
    <col customWidth="1" min="30" max="30" width="5.38"/>
    <col customWidth="1" min="31" max="31" width="19.75"/>
    <col customWidth="1" min="32" max="35" width="8.75"/>
    <col customWidth="1" hidden="1" min="36" max="36" width="9.25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</row>
    <row r="2" ht="21.0" customHeight="1"/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4.25" customHeight="1">
      <c r="A5" s="133" t="s">
        <v>106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5"/>
      <c r="AJ5" s="26"/>
      <c r="AK5" s="26"/>
      <c r="AL5" s="26"/>
      <c r="AM5" s="26"/>
      <c r="AN5" s="26"/>
    </row>
    <row r="6" ht="14.2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</row>
    <row r="7" ht="14.25" customHeight="1">
      <c r="A7" s="134" t="s">
        <v>51</v>
      </c>
      <c r="B7" s="135" t="s">
        <v>52</v>
      </c>
      <c r="C7" s="29"/>
      <c r="D7" s="29"/>
      <c r="E7" s="30"/>
      <c r="F7" s="136"/>
      <c r="G7" s="61"/>
      <c r="H7" s="134" t="s">
        <v>53</v>
      </c>
      <c r="I7" s="26"/>
      <c r="J7" s="26"/>
      <c r="K7" s="26"/>
      <c r="L7" s="26"/>
      <c r="M7" s="33"/>
      <c r="N7" s="33"/>
      <c r="O7" s="26"/>
      <c r="P7" s="137" t="s">
        <v>51</v>
      </c>
      <c r="Q7" s="138" t="s">
        <v>52</v>
      </c>
      <c r="R7" s="29"/>
      <c r="S7" s="29"/>
      <c r="T7" s="30"/>
      <c r="U7" s="136"/>
      <c r="V7" s="61"/>
      <c r="W7" s="137" t="s">
        <v>53</v>
      </c>
      <c r="X7" s="26"/>
      <c r="Y7" s="33"/>
      <c r="Z7" s="33"/>
      <c r="AA7" s="33"/>
      <c r="AB7" s="33"/>
      <c r="AC7" s="33"/>
      <c r="AD7" s="26"/>
      <c r="AE7" s="137" t="s">
        <v>54</v>
      </c>
      <c r="AF7" s="137" t="s">
        <v>55</v>
      </c>
      <c r="AG7" s="137" t="s">
        <v>56</v>
      </c>
      <c r="AH7" s="137" t="s">
        <v>57</v>
      </c>
      <c r="AI7" s="137" t="s">
        <v>58</v>
      </c>
      <c r="AJ7" s="33"/>
      <c r="AK7" s="33"/>
      <c r="AL7" s="33"/>
      <c r="AM7" s="26"/>
      <c r="AN7" s="26"/>
    </row>
    <row r="8" ht="14.25" hidden="1" customHeight="1">
      <c r="A8" s="26"/>
      <c r="B8" s="34" t="s">
        <v>59</v>
      </c>
      <c r="C8" s="34" t="s">
        <v>60</v>
      </c>
      <c r="D8" s="34"/>
      <c r="E8" s="34" t="s">
        <v>59</v>
      </c>
      <c r="F8" s="34" t="s">
        <v>61</v>
      </c>
      <c r="G8" s="34"/>
      <c r="H8" s="34" t="s">
        <v>59</v>
      </c>
      <c r="I8" s="34" t="s">
        <v>62</v>
      </c>
      <c r="J8" s="34" t="s">
        <v>63</v>
      </c>
      <c r="K8" s="34" t="s">
        <v>64</v>
      </c>
      <c r="L8" s="34" t="s">
        <v>65</v>
      </c>
      <c r="M8" s="34" t="s">
        <v>66</v>
      </c>
      <c r="N8" s="34" t="s">
        <v>67</v>
      </c>
      <c r="O8" s="26"/>
      <c r="P8" s="26"/>
      <c r="Q8" s="34" t="s">
        <v>59</v>
      </c>
      <c r="R8" s="34" t="s">
        <v>60</v>
      </c>
      <c r="S8" s="34"/>
      <c r="T8" s="34" t="s">
        <v>59</v>
      </c>
      <c r="U8" s="34" t="s">
        <v>61</v>
      </c>
      <c r="V8" s="34"/>
      <c r="W8" s="34" t="s">
        <v>59</v>
      </c>
      <c r="X8" s="34" t="s">
        <v>62</v>
      </c>
      <c r="Y8" s="34" t="s">
        <v>63</v>
      </c>
      <c r="Z8" s="34" t="s">
        <v>64</v>
      </c>
      <c r="AA8" s="34" t="s">
        <v>65</v>
      </c>
      <c r="AB8" s="34" t="s">
        <v>66</v>
      </c>
      <c r="AC8" s="34" t="s">
        <v>67</v>
      </c>
      <c r="AD8" s="26"/>
      <c r="AE8" s="33"/>
      <c r="AF8" s="33"/>
      <c r="AG8" s="33"/>
      <c r="AH8" s="33"/>
      <c r="AI8" s="33"/>
      <c r="AJ8" s="34" t="s">
        <v>68</v>
      </c>
      <c r="AK8" s="34" t="s">
        <v>81</v>
      </c>
      <c r="AL8" s="36" t="s">
        <v>69</v>
      </c>
      <c r="AM8" s="37" t="s">
        <v>70</v>
      </c>
      <c r="AN8" s="37" t="s">
        <v>82</v>
      </c>
    </row>
    <row r="9" ht="14.25" customHeight="1">
      <c r="A9" s="38" t="str">
        <f>AE9</f>
        <v>Jodie Stivala</v>
      </c>
      <c r="B9" s="39">
        <v>1.0</v>
      </c>
      <c r="C9" s="40">
        <f>IF(B9&gt;B11,1,0)</f>
        <v>0</v>
      </c>
      <c r="D9" s="41"/>
      <c r="E9" s="39">
        <v>2.0</v>
      </c>
      <c r="F9" s="40">
        <f>IF(E9&gt;E11,1,0)</f>
        <v>0</v>
      </c>
      <c r="G9" s="41"/>
      <c r="H9" s="42"/>
      <c r="I9" s="26">
        <f>IF(H9&gt;H11,1,0)</f>
        <v>0</v>
      </c>
      <c r="J9" s="26">
        <f>IF(B9="",0,1)</f>
        <v>1</v>
      </c>
      <c r="K9" s="26">
        <f>IF(C9+F9=2,3,IF(C9+F9=1,1,0))</f>
        <v>0</v>
      </c>
      <c r="L9" s="26">
        <f>IF(K9=3,3,IF(I9+K9=2,2,IF(K9=1,1,0)))</f>
        <v>0</v>
      </c>
      <c r="M9" s="26">
        <f>B9+E9</f>
        <v>3</v>
      </c>
      <c r="N9" s="26">
        <f>C9+F9+I9</f>
        <v>0</v>
      </c>
      <c r="O9" s="26"/>
      <c r="P9" s="38" t="str">
        <f>AE9</f>
        <v>Jodie Stivala</v>
      </c>
      <c r="Q9" s="39">
        <v>0.0</v>
      </c>
      <c r="R9" s="40">
        <f>IF(Q9&gt;Q11,1,0)</f>
        <v>0</v>
      </c>
      <c r="S9" s="41"/>
      <c r="T9" s="39">
        <v>0.0</v>
      </c>
      <c r="U9" s="40">
        <f>IF(T9&gt;T11,1,0)</f>
        <v>0</v>
      </c>
      <c r="V9" s="41"/>
      <c r="W9" s="42"/>
      <c r="X9" s="26">
        <f>IF(W9&gt;W11,1,0)</f>
        <v>0</v>
      </c>
      <c r="Y9" s="26">
        <f>IF(Q9="",0,1)</f>
        <v>1</v>
      </c>
      <c r="Z9" s="26">
        <f>IF(R9+U9=2,3,IF(R9+U9=1,1,0))</f>
        <v>0</v>
      </c>
      <c r="AA9" s="26">
        <f>IF(Z9=3,3,IF(X9+Z9=2,2,IF(Z9=1,1,0)))</f>
        <v>0</v>
      </c>
      <c r="AB9" s="26">
        <f>Q9+T9</f>
        <v>0</v>
      </c>
      <c r="AC9" s="26">
        <f>R9+U9+X9</f>
        <v>0</v>
      </c>
      <c r="AD9" s="26"/>
      <c r="AE9" s="139" t="str">
        <f>'Players - Ladies'!B30</f>
        <v>Jodie Stivala</v>
      </c>
      <c r="AF9" s="44">
        <f>J9+Y9+J13+Y13+J17</f>
        <v>5</v>
      </c>
      <c r="AG9" s="44">
        <f t="shared" ref="AG9:AI9" si="1">L9+AA9+L13+AA13+L17</f>
        <v>0</v>
      </c>
      <c r="AH9" s="44">
        <f t="shared" si="1"/>
        <v>23</v>
      </c>
      <c r="AI9" s="45">
        <f t="shared" si="1"/>
        <v>0</v>
      </c>
      <c r="AJ9" s="26">
        <f>MAX(AG9:AG19)</f>
        <v>15</v>
      </c>
      <c r="AK9" s="26">
        <f>LARGE(AG9:AG19, 2)</f>
        <v>12</v>
      </c>
      <c r="AL9" s="26">
        <f>SUM(AF9:AF19)</f>
        <v>30</v>
      </c>
      <c r="AM9" s="26" t="str">
        <f>IF(AG9=$AJ$9,AE9,IF(AG11=$AJ$9,AE11,IF(AG13=$AJ$9,AE13,IF(AG15=$AJ$9,AE15,IF(AG17=$AJ$9,AE17,"")))))</f>
        <v>Kaya Sammut</v>
      </c>
      <c r="AN9" s="26" t="str">
        <f>IF(AG9=$AK$9,AE9,IF(AG11=$AK$9,AE11,IF(AG13=$AK$9,AE13,IF(AG15=$AK$9,AE15,IF(AG17=$AK$9,AE17,"")))))</f>
        <v>Maria Ellul</v>
      </c>
    </row>
    <row r="10" ht="14.25" customHeight="1">
      <c r="A10" s="46" t="s">
        <v>71</v>
      </c>
      <c r="H10" s="47"/>
      <c r="I10" s="48"/>
      <c r="J10" s="26"/>
      <c r="K10" s="26"/>
      <c r="L10" s="26"/>
      <c r="M10" s="26"/>
      <c r="N10" s="26"/>
      <c r="O10" s="26"/>
      <c r="P10" s="46" t="s">
        <v>71</v>
      </c>
      <c r="W10" s="47"/>
      <c r="X10" s="48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33"/>
      <c r="AL10" s="33"/>
      <c r="AM10" s="26"/>
      <c r="AN10" s="26"/>
    </row>
    <row r="11" ht="14.25" customHeight="1">
      <c r="A11" s="49" t="str">
        <f>AE11</f>
        <v>Maria Ellul</v>
      </c>
      <c r="B11" s="39">
        <v>6.0</v>
      </c>
      <c r="C11" s="50">
        <f>IF(B11&gt;B9,1,0)</f>
        <v>1</v>
      </c>
      <c r="D11" s="51"/>
      <c r="E11" s="39">
        <v>6.0</v>
      </c>
      <c r="F11" s="50">
        <f>IF(E11&gt;E9,1,0)</f>
        <v>1</v>
      </c>
      <c r="G11" s="51"/>
      <c r="H11" s="42"/>
      <c r="I11" s="26">
        <f>IF(H11&gt;H9,1,0)</f>
        <v>0</v>
      </c>
      <c r="J11" s="26">
        <f>IF(B11="",0,1)</f>
        <v>1</v>
      </c>
      <c r="K11" s="26">
        <f>IF(C11+F11=2,3,IF(C11+F11=1,1,0))</f>
        <v>3</v>
      </c>
      <c r="L11" s="26">
        <f>IF(K11=3,3,IF(I11+K11=2,2,IF(K11=1,1,0)))</f>
        <v>3</v>
      </c>
      <c r="M11" s="26">
        <f>B11+E11</f>
        <v>12</v>
      </c>
      <c r="N11" s="26">
        <f>C11+F11+I11</f>
        <v>2</v>
      </c>
      <c r="O11" s="26"/>
      <c r="P11" s="49" t="str">
        <f>AE13</f>
        <v>Kaya Sammut</v>
      </c>
      <c r="Q11" s="39">
        <v>6.0</v>
      </c>
      <c r="R11" s="50">
        <f>IF(Q11&gt;Q9,1,0)</f>
        <v>1</v>
      </c>
      <c r="S11" s="51"/>
      <c r="T11" s="39">
        <v>6.0</v>
      </c>
      <c r="U11" s="50">
        <f>IF(T11&gt;T9,1,0)</f>
        <v>1</v>
      </c>
      <c r="V11" s="51"/>
      <c r="W11" s="42"/>
      <c r="X11" s="26">
        <f>IF(W11&gt;W9,1,0)</f>
        <v>0</v>
      </c>
      <c r="Y11" s="26">
        <f>IF(Q11="",0,1)</f>
        <v>1</v>
      </c>
      <c r="Z11" s="26">
        <f>IF(R11+U11=2,3,IF(R11+U11=1,1,0))</f>
        <v>3</v>
      </c>
      <c r="AA11" s="26">
        <f>IF(Z11=3,3,IF(X11+Z11=2,2,IF(Z11=1,1,0)))</f>
        <v>3</v>
      </c>
      <c r="AB11" s="26">
        <f>Q11+T11</f>
        <v>12</v>
      </c>
      <c r="AC11" s="26">
        <f>R11+U11+X11</f>
        <v>2</v>
      </c>
      <c r="AD11" s="26"/>
      <c r="AE11" s="139" t="str">
        <f>'Players - Ladies'!B31</f>
        <v>Maria Ellul</v>
      </c>
      <c r="AF11" s="44">
        <f>J11+Y25+J21+Y21+Y17</f>
        <v>5</v>
      </c>
      <c r="AG11" s="44">
        <f t="shared" ref="AG11:AI11" si="2">L11+AA25+L21+AA21+AA17</f>
        <v>12</v>
      </c>
      <c r="AH11" s="44">
        <f t="shared" si="2"/>
        <v>56</v>
      </c>
      <c r="AI11" s="45">
        <f t="shared" si="2"/>
        <v>8</v>
      </c>
      <c r="AJ11" s="33"/>
      <c r="AK11" s="33"/>
      <c r="AL11" s="33"/>
      <c r="AM11" s="26"/>
      <c r="AN11" s="26"/>
    </row>
    <row r="12" ht="14.2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33"/>
      <c r="AG12" s="33"/>
      <c r="AH12" s="33"/>
      <c r="AI12" s="33"/>
      <c r="AJ12" s="33"/>
      <c r="AK12" s="33"/>
      <c r="AL12" s="33"/>
      <c r="AM12" s="26"/>
      <c r="AN12" s="26"/>
    </row>
    <row r="13" ht="14.25" customHeight="1">
      <c r="A13" s="38" t="str">
        <f>AE9</f>
        <v>Jodie Stivala</v>
      </c>
      <c r="B13" s="39">
        <v>6.0</v>
      </c>
      <c r="C13" s="40">
        <f>IF(B13&gt;B15,1,0)</f>
        <v>0</v>
      </c>
      <c r="D13" s="41"/>
      <c r="E13" s="39">
        <v>3.0</v>
      </c>
      <c r="F13" s="40">
        <f>IF(E13&gt;E15,1,0)</f>
        <v>0</v>
      </c>
      <c r="G13" s="41"/>
      <c r="H13" s="42"/>
      <c r="I13" s="26">
        <f>IF(H13&gt;H15,1,0)</f>
        <v>0</v>
      </c>
      <c r="J13" s="26">
        <f>IF(B13="",0,1)</f>
        <v>1</v>
      </c>
      <c r="K13" s="26">
        <f>IF(C13+F13=2,3,IF(C13+F13=1,1,0))</f>
        <v>0</v>
      </c>
      <c r="L13" s="26">
        <f>IF(K13=3,3,IF(I13+K13=2,2,IF(K13=1,1,0)))</f>
        <v>0</v>
      </c>
      <c r="M13" s="26">
        <f>B13+E13</f>
        <v>9</v>
      </c>
      <c r="N13" s="26">
        <f>C13+F13+I13</f>
        <v>0</v>
      </c>
      <c r="O13" s="26"/>
      <c r="P13" s="38" t="str">
        <f>AE9</f>
        <v>Jodie Stivala</v>
      </c>
      <c r="Q13" s="39">
        <v>3.0</v>
      </c>
      <c r="R13" s="40">
        <f>IF(Q13&gt;Q15,1,0)</f>
        <v>0</v>
      </c>
      <c r="S13" s="41"/>
      <c r="T13" s="39">
        <v>6.0</v>
      </c>
      <c r="U13" s="40">
        <f>IF(T13&gt;T15,1,0)</f>
        <v>0</v>
      </c>
      <c r="V13" s="41"/>
      <c r="W13" s="39">
        <v>3.0</v>
      </c>
      <c r="X13" s="26">
        <f>IF(W13&gt;W15,1,0)</f>
        <v>0</v>
      </c>
      <c r="Y13" s="26">
        <f>IF(Q13="",0,1)</f>
        <v>1</v>
      </c>
      <c r="Z13" s="26">
        <f>IF(R13+U13=2,3,IF(R13+U13=1,1,0))</f>
        <v>0</v>
      </c>
      <c r="AA13" s="26">
        <f>IF(Z13=3,3,IF(X13+Z13=2,2,IF(Z13=1,1,0)))</f>
        <v>0</v>
      </c>
      <c r="AB13" s="26">
        <f>Q13+T13</f>
        <v>9</v>
      </c>
      <c r="AC13" s="26">
        <f>R13+U13+X13</f>
        <v>0</v>
      </c>
      <c r="AD13" s="26"/>
      <c r="AE13" s="139" t="str">
        <f>'Players - Ladies'!B32</f>
        <v>Kaya Sammut</v>
      </c>
      <c r="AF13" s="44">
        <f>Y29+Y11+Y33+J25+Y19</f>
        <v>5</v>
      </c>
      <c r="AG13" s="44">
        <f t="shared" ref="AG13:AI13" si="3">AA29+AA11+AA33+L25+AA19</f>
        <v>15</v>
      </c>
      <c r="AH13" s="44">
        <f t="shared" si="3"/>
        <v>61</v>
      </c>
      <c r="AI13" s="45">
        <f t="shared" si="3"/>
        <v>10</v>
      </c>
      <c r="AJ13" s="33"/>
      <c r="AK13" s="33"/>
      <c r="AL13" s="33"/>
      <c r="AM13" s="26"/>
      <c r="AN13" s="26"/>
    </row>
    <row r="14" ht="14.25" customHeight="1">
      <c r="A14" s="46" t="s">
        <v>71</v>
      </c>
      <c r="H14" s="47"/>
      <c r="I14" s="48"/>
      <c r="J14" s="26"/>
      <c r="K14" s="26"/>
      <c r="L14" s="26"/>
      <c r="M14" s="26"/>
      <c r="N14" s="26"/>
      <c r="O14" s="26"/>
      <c r="P14" s="46" t="s">
        <v>71</v>
      </c>
      <c r="W14" s="47"/>
      <c r="X14" s="48"/>
      <c r="Y14" s="26"/>
      <c r="Z14" s="26"/>
      <c r="AA14" s="26"/>
      <c r="AB14" s="26"/>
      <c r="AC14" s="26"/>
      <c r="AD14" s="26"/>
      <c r="AE14" s="26"/>
      <c r="AF14" s="33"/>
      <c r="AG14" s="33"/>
      <c r="AH14" s="33"/>
      <c r="AI14" s="33"/>
      <c r="AJ14" s="33"/>
      <c r="AK14" s="33"/>
      <c r="AL14" s="33"/>
      <c r="AM14" s="26"/>
      <c r="AN14" s="26"/>
    </row>
    <row r="15" ht="14.25" customHeight="1">
      <c r="A15" s="49" t="str">
        <f>AE15</f>
        <v>Leanne Sammut</v>
      </c>
      <c r="B15" s="39">
        <v>7.0</v>
      </c>
      <c r="C15" s="50">
        <f>IF(B15&gt;B13,1,0)</f>
        <v>1</v>
      </c>
      <c r="D15" s="51"/>
      <c r="E15" s="39">
        <v>6.0</v>
      </c>
      <c r="F15" s="50">
        <f>IF(E15&gt;E13,1,0)</f>
        <v>1</v>
      </c>
      <c r="G15" s="51"/>
      <c r="H15" s="42"/>
      <c r="I15" s="26">
        <f>IF(H15&gt;H13,1,0)</f>
        <v>0</v>
      </c>
      <c r="J15" s="26">
        <f>IF(B15="",0,1)</f>
        <v>1</v>
      </c>
      <c r="K15" s="26">
        <f>IF(C15+F15=2,3,IF(C15+F15=1,1,0))</f>
        <v>3</v>
      </c>
      <c r="L15" s="26">
        <f>IF(K15=3,3,IF(I15+K15=2,2,IF(K15=1,1,0)))</f>
        <v>3</v>
      </c>
      <c r="M15" s="26">
        <f>B15+E15</f>
        <v>13</v>
      </c>
      <c r="N15" s="26">
        <f>C15+F15+I15</f>
        <v>2</v>
      </c>
      <c r="O15" s="26"/>
      <c r="P15" s="49" t="str">
        <f>AE17</f>
        <v>Maria Angela Gambin</v>
      </c>
      <c r="Q15" s="39">
        <v>6.0</v>
      </c>
      <c r="R15" s="50">
        <f>IF(Q15&gt;Q13,1,0)</f>
        <v>1</v>
      </c>
      <c r="S15" s="51"/>
      <c r="T15" s="39">
        <v>6.0</v>
      </c>
      <c r="U15" s="50">
        <f>IF(T15&gt;T13,1,0)</f>
        <v>0</v>
      </c>
      <c r="V15" s="51"/>
      <c r="W15" s="39">
        <v>10.0</v>
      </c>
      <c r="X15" s="26">
        <f>IF(W15&gt;W13,1,0)</f>
        <v>1</v>
      </c>
      <c r="Y15" s="26">
        <f>IF(Q15="",0,1)</f>
        <v>1</v>
      </c>
      <c r="Z15" s="26">
        <f>IF(R15+U15=2,3,IF(R15+U15=1,1,0))</f>
        <v>1</v>
      </c>
      <c r="AA15" s="26">
        <f>IF(Z15=3,3,IF(X15+Z15=2,2,IF(Z15=1,1,0)))</f>
        <v>2</v>
      </c>
      <c r="AB15" s="26">
        <f>Q15+T15</f>
        <v>12</v>
      </c>
      <c r="AC15" s="26">
        <f>R15+U15+X15</f>
        <v>2</v>
      </c>
      <c r="AD15" s="26"/>
      <c r="AE15" s="139" t="str">
        <f>'Players - Ladies'!B33</f>
        <v>Leanne Sammut</v>
      </c>
      <c r="AF15" s="44">
        <f>Y31+J37+J15+Y23+J29</f>
        <v>5</v>
      </c>
      <c r="AG15" s="44">
        <f t="shared" ref="AG15:AI15" si="4">AA31+L37+L15+AA23+L29</f>
        <v>3</v>
      </c>
      <c r="AH15" s="44">
        <f t="shared" si="4"/>
        <v>28</v>
      </c>
      <c r="AI15" s="45">
        <f t="shared" si="4"/>
        <v>2</v>
      </c>
      <c r="AJ15" s="33"/>
      <c r="AK15" s="33"/>
      <c r="AL15" s="33"/>
      <c r="AM15" s="26"/>
      <c r="AN15" s="26"/>
    </row>
    <row r="16" ht="14.25" customHeight="1">
      <c r="A16" s="26"/>
      <c r="B16" s="33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33"/>
      <c r="AG16" s="33"/>
      <c r="AH16" s="33"/>
      <c r="AI16" s="33"/>
      <c r="AJ16" s="33"/>
      <c r="AK16" s="33"/>
      <c r="AL16" s="33"/>
      <c r="AM16" s="26"/>
      <c r="AN16" s="26"/>
    </row>
    <row r="17" ht="14.25" customHeight="1">
      <c r="A17" s="38" t="str">
        <f>AE9</f>
        <v>Jodie Stivala</v>
      </c>
      <c r="B17" s="39">
        <v>1.0</v>
      </c>
      <c r="C17" s="40">
        <f>IF(B17&gt;B19,1,0)</f>
        <v>0</v>
      </c>
      <c r="D17" s="41"/>
      <c r="E17" s="39">
        <v>1.0</v>
      </c>
      <c r="F17" s="40">
        <f>IF(E17&gt;E19,1,0)</f>
        <v>0</v>
      </c>
      <c r="G17" s="41"/>
      <c r="H17" s="42"/>
      <c r="I17" s="26">
        <f>IF(H17&gt;H19,1,0)</f>
        <v>0</v>
      </c>
      <c r="J17" s="26">
        <f>IF(B17="",0,1)</f>
        <v>1</v>
      </c>
      <c r="K17" s="26">
        <f>IF(C17+F17=2,3,IF(C17+F17=1,1,0))</f>
        <v>0</v>
      </c>
      <c r="L17" s="26">
        <f>IF(K17=3,3,IF(I17+K17=2,2,IF(K17=1,1,0)))</f>
        <v>0</v>
      </c>
      <c r="M17" s="26">
        <f>B17+E17</f>
        <v>2</v>
      </c>
      <c r="N17" s="26">
        <f>C17+F17+I17</f>
        <v>0</v>
      </c>
      <c r="O17" s="26"/>
      <c r="P17" s="38" t="str">
        <f>AE11</f>
        <v>Maria Ellul</v>
      </c>
      <c r="Q17" s="39">
        <v>2.0</v>
      </c>
      <c r="R17" s="40">
        <f>IF(Q17&gt;Q19,1,0)</f>
        <v>0</v>
      </c>
      <c r="S17" s="41"/>
      <c r="T17" s="39">
        <v>5.0</v>
      </c>
      <c r="U17" s="40">
        <f>IF(T17&gt;T19,1,0)</f>
        <v>0</v>
      </c>
      <c r="V17" s="41"/>
      <c r="W17" s="42"/>
      <c r="X17" s="26">
        <f>IF(W17&gt;W19,1,0)</f>
        <v>0</v>
      </c>
      <c r="Y17" s="26">
        <f>IF(Q17="",0,1)</f>
        <v>1</v>
      </c>
      <c r="Z17" s="26">
        <f>IF(R17+U17=2,3,IF(R17+U17=1,1,0))</f>
        <v>0</v>
      </c>
      <c r="AA17" s="26">
        <f>IF(Z17=3,3,IF(X17+Z17=2,2,IF(Z17=1,1,0)))</f>
        <v>0</v>
      </c>
      <c r="AB17" s="26">
        <f>Q17+T17</f>
        <v>7</v>
      </c>
      <c r="AC17" s="26">
        <f>R17+U17+X17</f>
        <v>0</v>
      </c>
      <c r="AD17" s="26"/>
      <c r="AE17" s="139" t="str">
        <f>'Players - Ladies'!B34</f>
        <v>Maria Angela Gambin</v>
      </c>
      <c r="AF17" s="44">
        <f>J33+J39+J23+Y15+J27</f>
        <v>5</v>
      </c>
      <c r="AG17" s="44">
        <f t="shared" ref="AG17:AI17" si="5">L33+L39+L23+AA15+L27</f>
        <v>8</v>
      </c>
      <c r="AH17" s="44">
        <f t="shared" si="5"/>
        <v>43</v>
      </c>
      <c r="AI17" s="45">
        <f t="shared" si="5"/>
        <v>6</v>
      </c>
      <c r="AJ17" s="33"/>
      <c r="AK17" s="33"/>
      <c r="AL17" s="33"/>
      <c r="AM17" s="26"/>
      <c r="AN17" s="26"/>
    </row>
    <row r="18" ht="14.25" customHeight="1">
      <c r="A18" s="46" t="s">
        <v>71</v>
      </c>
      <c r="H18" s="47"/>
      <c r="I18" s="48"/>
      <c r="J18" s="26"/>
      <c r="K18" s="26"/>
      <c r="L18" s="26"/>
      <c r="M18" s="26"/>
      <c r="N18" s="26"/>
      <c r="O18" s="26"/>
      <c r="P18" s="46" t="s">
        <v>71</v>
      </c>
      <c r="W18" s="47"/>
      <c r="X18" s="48"/>
      <c r="Y18" s="26"/>
      <c r="Z18" s="26"/>
      <c r="AA18" s="26"/>
      <c r="AB18" s="26"/>
      <c r="AC18" s="26"/>
      <c r="AD18" s="26"/>
      <c r="AE18" s="26"/>
      <c r="AF18" s="33"/>
      <c r="AG18" s="33"/>
      <c r="AH18" s="33"/>
      <c r="AI18" s="33"/>
      <c r="AJ18" s="33"/>
      <c r="AK18" s="33"/>
      <c r="AL18" s="33"/>
      <c r="AM18" s="26"/>
      <c r="AN18" s="26"/>
    </row>
    <row r="19" ht="14.25" customHeight="1">
      <c r="A19" s="49" t="str">
        <f>AE19</f>
        <v>Daphne Vella</v>
      </c>
      <c r="B19" s="39">
        <v>6.0</v>
      </c>
      <c r="C19" s="50">
        <f>IF(B19&gt;B17,1,0)</f>
        <v>1</v>
      </c>
      <c r="D19" s="51"/>
      <c r="E19" s="39">
        <v>6.0</v>
      </c>
      <c r="F19" s="50">
        <f>IF(E19&gt;E17,1,0)</f>
        <v>1</v>
      </c>
      <c r="G19" s="51"/>
      <c r="H19" s="42"/>
      <c r="I19" s="26">
        <f>IF(H19&gt;H17,1,0)</f>
        <v>0</v>
      </c>
      <c r="J19" s="26">
        <f>IF(B19="",0,1)</f>
        <v>1</v>
      </c>
      <c r="K19" s="26">
        <f>IF(C19+F19=2,3,IF(C19+F19=1,1,0))</f>
        <v>3</v>
      </c>
      <c r="L19" s="26">
        <f>IF(K19=3,3,IF(I19+K19=2,2,IF(K19=1,1,0)))</f>
        <v>3</v>
      </c>
      <c r="M19" s="26">
        <f>B19+E19</f>
        <v>12</v>
      </c>
      <c r="N19" s="26">
        <f>C19+F19+I19</f>
        <v>2</v>
      </c>
      <c r="O19" s="26"/>
      <c r="P19" s="49" t="str">
        <f>AE13</f>
        <v>Kaya Sammut</v>
      </c>
      <c r="Q19" s="39">
        <v>6.0</v>
      </c>
      <c r="R19" s="50">
        <f>IF(Q19&gt;Q17,1,0)</f>
        <v>1</v>
      </c>
      <c r="S19" s="51"/>
      <c r="T19" s="39">
        <v>7.0</v>
      </c>
      <c r="U19" s="50">
        <f>IF(T19&gt;T17,1,0)</f>
        <v>1</v>
      </c>
      <c r="V19" s="51"/>
      <c r="W19" s="42"/>
      <c r="X19" s="26">
        <f>IF(W19&gt;W17,1,0)</f>
        <v>0</v>
      </c>
      <c r="Y19" s="26">
        <f>IF(Q19="",0,1)</f>
        <v>1</v>
      </c>
      <c r="Z19" s="26">
        <f>IF(R19+U19=2,3,IF(R19+U19=1,1,0))</f>
        <v>3</v>
      </c>
      <c r="AA19" s="26">
        <f>IF(Z19=3,3,IF(X19+Z19=2,2,IF(Z19=1,1,0)))</f>
        <v>3</v>
      </c>
      <c r="AB19" s="26">
        <f>Q19+T19</f>
        <v>13</v>
      </c>
      <c r="AC19" s="26">
        <f>R19+U19+X19</f>
        <v>2</v>
      </c>
      <c r="AD19" s="26"/>
      <c r="AE19" s="139" t="str">
        <f>'Players - Ladies'!B35</f>
        <v>Daphne Vella</v>
      </c>
      <c r="AF19" s="44">
        <f>J35+Y27+Y35+J19+J31</f>
        <v>5</v>
      </c>
      <c r="AG19" s="44">
        <f t="shared" ref="AG19:AI19" si="6">L35+AA27+AA35+L19+L31</f>
        <v>6</v>
      </c>
      <c r="AH19" s="44">
        <f t="shared" si="6"/>
        <v>38</v>
      </c>
      <c r="AI19" s="45">
        <f t="shared" si="6"/>
        <v>4</v>
      </c>
      <c r="AJ19" s="26"/>
      <c r="AK19" s="33"/>
      <c r="AL19" s="33"/>
      <c r="AM19" s="26"/>
      <c r="AN19" s="26"/>
    </row>
    <row r="20" ht="14.2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33"/>
      <c r="AL20" s="26"/>
      <c r="AM20" s="26"/>
      <c r="AN20" s="26"/>
    </row>
    <row r="21" ht="14.25" customHeight="1">
      <c r="A21" s="38" t="str">
        <f>AE11</f>
        <v>Maria Ellul</v>
      </c>
      <c r="B21" s="39">
        <v>6.0</v>
      </c>
      <c r="C21" s="40">
        <f>IF(B21&gt;B23,1,0)</f>
        <v>1</v>
      </c>
      <c r="D21" s="41"/>
      <c r="E21" s="39">
        <v>6.0</v>
      </c>
      <c r="F21" s="40">
        <f>IF(E21&gt;E23,1,0)</f>
        <v>1</v>
      </c>
      <c r="G21" s="41"/>
      <c r="H21" s="42"/>
      <c r="I21" s="26">
        <f>IF(H21&gt;H23,1,0)</f>
        <v>0</v>
      </c>
      <c r="J21" s="26">
        <f>IF(B21="",0,1)</f>
        <v>1</v>
      </c>
      <c r="K21" s="26">
        <f>IF(C21+F21=2,3,IF(C21+F21=1,1,0))</f>
        <v>3</v>
      </c>
      <c r="L21" s="26">
        <f>IF(K21=3,3,IF(I21+K21=2,2,IF(K21=1,1,0)))</f>
        <v>3</v>
      </c>
      <c r="M21" s="26">
        <f>B21+E21</f>
        <v>12</v>
      </c>
      <c r="N21" s="26">
        <f>C21+F21+I21</f>
        <v>2</v>
      </c>
      <c r="O21" s="26"/>
      <c r="P21" s="38" t="str">
        <f>AE11</f>
        <v>Maria Ellul</v>
      </c>
      <c r="Q21" s="39">
        <v>6.0</v>
      </c>
      <c r="R21" s="40">
        <f>IF(Q21&gt;Q23,1,0)</f>
        <v>1</v>
      </c>
      <c r="S21" s="41"/>
      <c r="T21" s="39">
        <v>6.0</v>
      </c>
      <c r="U21" s="40">
        <f>IF(T21&gt;T23,1,0)</f>
        <v>1</v>
      </c>
      <c r="V21" s="41"/>
      <c r="W21" s="42"/>
      <c r="X21" s="26">
        <f>IF(W21&gt;W23,1,0)</f>
        <v>0</v>
      </c>
      <c r="Y21" s="26">
        <f>IF(Q21="",0,1)</f>
        <v>1</v>
      </c>
      <c r="Z21" s="26">
        <f>IF(R21+U21=2,3,IF(R21+U21=1,1,0))</f>
        <v>3</v>
      </c>
      <c r="AA21" s="26">
        <f>IF(Z21=3,3,IF(X21+Z21=2,2,IF(Z21=1,1,0)))</f>
        <v>3</v>
      </c>
      <c r="AB21" s="26">
        <f>Q21+T21</f>
        <v>12</v>
      </c>
      <c r="AC21" s="26">
        <f>R21+U21+X21</f>
        <v>2</v>
      </c>
      <c r="AD21" s="26"/>
      <c r="AE21" s="138" t="s">
        <v>77</v>
      </c>
      <c r="AF21" s="29"/>
      <c r="AG21" s="29"/>
      <c r="AH21" s="29"/>
      <c r="AI21" s="30"/>
      <c r="AJ21" s="26"/>
      <c r="AK21" s="26"/>
      <c r="AL21" s="26"/>
      <c r="AM21" s="26"/>
      <c r="AN21" s="26"/>
    </row>
    <row r="22" ht="14.25" customHeight="1">
      <c r="A22" s="46" t="s">
        <v>71</v>
      </c>
      <c r="H22" s="47"/>
      <c r="I22" s="48"/>
      <c r="J22" s="26"/>
      <c r="K22" s="26"/>
      <c r="L22" s="26"/>
      <c r="M22" s="26"/>
      <c r="N22" s="26"/>
      <c r="O22" s="26"/>
      <c r="P22" s="46" t="s">
        <v>71</v>
      </c>
      <c r="W22" s="47"/>
      <c r="X22" s="48"/>
      <c r="Y22" s="26"/>
      <c r="Z22" s="26"/>
      <c r="AA22" s="26"/>
      <c r="AB22" s="26"/>
      <c r="AC22" s="26"/>
      <c r="AD22" s="26"/>
      <c r="AE22" s="53" t="s">
        <v>109</v>
      </c>
      <c r="AF22" s="29"/>
      <c r="AG22" s="29"/>
      <c r="AH22" s="29"/>
      <c r="AI22" s="30"/>
      <c r="AJ22" s="26"/>
      <c r="AK22" s="33"/>
      <c r="AL22" s="26"/>
      <c r="AM22" s="26"/>
      <c r="AN22" s="26"/>
    </row>
    <row r="23" ht="14.25" customHeight="1">
      <c r="A23" s="49" t="str">
        <f>AE17</f>
        <v>Maria Angela Gambin</v>
      </c>
      <c r="B23" s="39">
        <v>4.0</v>
      </c>
      <c r="C23" s="50">
        <f>IF(B23&gt;B21,1,0)</f>
        <v>0</v>
      </c>
      <c r="D23" s="51"/>
      <c r="E23" s="39">
        <v>1.0</v>
      </c>
      <c r="F23" s="50">
        <f>IF(E23&gt;E21,1,0)</f>
        <v>0</v>
      </c>
      <c r="G23" s="51"/>
      <c r="H23" s="42"/>
      <c r="I23" s="26">
        <f>IF(H23&gt;H21,1,0)</f>
        <v>0</v>
      </c>
      <c r="J23" s="26">
        <f>IF(B23="",0,1)</f>
        <v>1</v>
      </c>
      <c r="K23" s="26">
        <f>IF(C23+F23=2,3,IF(C23+F23=1,1,0))</f>
        <v>0</v>
      </c>
      <c r="L23" s="26">
        <f>IF(K23=3,3,IF(I23+K23=2,2,IF(K23=1,1,0)))</f>
        <v>0</v>
      </c>
      <c r="M23" s="26">
        <f>B23+E23</f>
        <v>5</v>
      </c>
      <c r="N23" s="26">
        <f>C23+F23+I23</f>
        <v>0</v>
      </c>
      <c r="O23" s="26"/>
      <c r="P23" s="49" t="str">
        <f>AE15</f>
        <v>Leanne Sammut</v>
      </c>
      <c r="Q23" s="39">
        <v>1.0</v>
      </c>
      <c r="R23" s="50">
        <f>IF(Q23&gt;Q21,1,0)</f>
        <v>0</v>
      </c>
      <c r="S23" s="51"/>
      <c r="T23" s="39">
        <v>2.0</v>
      </c>
      <c r="U23" s="50">
        <f>IF(T23&gt;T21,1,0)</f>
        <v>0</v>
      </c>
      <c r="V23" s="51"/>
      <c r="W23" s="42"/>
      <c r="X23" s="26">
        <f>IF(W23&gt;W21,1,0)</f>
        <v>0</v>
      </c>
      <c r="Y23" s="26">
        <f>IF(Q23="",0,1)</f>
        <v>1</v>
      </c>
      <c r="Z23" s="26">
        <f>IF(R23+U23=2,3,IF(R23+U23=1,1,0))</f>
        <v>0</v>
      </c>
      <c r="AA23" s="26">
        <f>IF(Z23=3,3,IF(X23+Z23=2,2,IF(Z23=1,1,0)))</f>
        <v>0</v>
      </c>
      <c r="AB23" s="26">
        <f>Q23+T23</f>
        <v>3</v>
      </c>
      <c r="AC23" s="26">
        <f>R23+U23+X23</f>
        <v>0</v>
      </c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</row>
    <row r="24" ht="14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</row>
    <row r="25" ht="14.25" customHeight="1">
      <c r="A25" s="38" t="str">
        <f>AE13</f>
        <v>Kaya Sammut</v>
      </c>
      <c r="B25" s="39">
        <v>6.0</v>
      </c>
      <c r="C25" s="40">
        <f>IF(B25&gt;B27,1,0)</f>
        <v>1</v>
      </c>
      <c r="D25" s="41"/>
      <c r="E25" s="39">
        <v>6.0</v>
      </c>
      <c r="F25" s="40">
        <f>IF(E25&gt;E27,1,0)</f>
        <v>1</v>
      </c>
      <c r="G25" s="41"/>
      <c r="H25" s="42"/>
      <c r="I25" s="26">
        <f>IF(H25&gt;H27,1,0)</f>
        <v>0</v>
      </c>
      <c r="J25" s="26">
        <f>IF(B25="",0,1)</f>
        <v>1</v>
      </c>
      <c r="K25" s="26">
        <f>IF(C25+F25=2,3,IF(C25+F25=1,1,0))</f>
        <v>3</v>
      </c>
      <c r="L25" s="26">
        <f>IF(K25=3,3,IF(I25+K25=2,2,IF(K25=1,1,0)))</f>
        <v>3</v>
      </c>
      <c r="M25" s="26">
        <f>B25+E25</f>
        <v>12</v>
      </c>
      <c r="N25" s="26">
        <f>C25+F25+I25</f>
        <v>2</v>
      </c>
      <c r="O25" s="26"/>
      <c r="P25" s="38" t="str">
        <f>AE11</f>
        <v>Maria Ellul</v>
      </c>
      <c r="Q25" s="39">
        <v>7.0</v>
      </c>
      <c r="R25" s="40">
        <f>IF(Q25&gt;Q27,1,0)</f>
        <v>1</v>
      </c>
      <c r="S25" s="41"/>
      <c r="T25" s="39">
        <v>6.0</v>
      </c>
      <c r="U25" s="40">
        <f>IF(T25&gt;T27,1,0)</f>
        <v>1</v>
      </c>
      <c r="V25" s="41"/>
      <c r="W25" s="42"/>
      <c r="X25" s="26">
        <f>IF(W25&gt;W27,1,0)</f>
        <v>0</v>
      </c>
      <c r="Y25" s="26">
        <f>IF(Q25="",0,1)</f>
        <v>1</v>
      </c>
      <c r="Z25" s="26">
        <f>IF(R25+U25=2,3,IF(R25+U25=1,1,0))</f>
        <v>3</v>
      </c>
      <c r="AA25" s="26">
        <f>IF(Z25=3,3,IF(X25+Z25=2,2,IF(Z25=1,1,0)))</f>
        <v>3</v>
      </c>
      <c r="AB25" s="26">
        <f>Q25+T25</f>
        <v>13</v>
      </c>
      <c r="AC25" s="26">
        <f>R25+U25+X25</f>
        <v>2</v>
      </c>
      <c r="AD25" s="26"/>
      <c r="AE25" s="138" t="s">
        <v>78</v>
      </c>
      <c r="AF25" s="29"/>
      <c r="AG25" s="29"/>
      <c r="AH25" s="29"/>
      <c r="AI25" s="30"/>
      <c r="AJ25" s="26"/>
      <c r="AK25" s="26"/>
      <c r="AL25" s="26"/>
      <c r="AM25" s="26"/>
      <c r="AN25" s="26"/>
    </row>
    <row r="26" ht="14.25" customHeight="1">
      <c r="A26" s="46" t="s">
        <v>71</v>
      </c>
      <c r="H26" s="47"/>
      <c r="I26" s="48"/>
      <c r="J26" s="26"/>
      <c r="K26" s="26"/>
      <c r="L26" s="26"/>
      <c r="M26" s="26"/>
      <c r="N26" s="26"/>
      <c r="O26" s="26"/>
      <c r="P26" s="46" t="s">
        <v>71</v>
      </c>
      <c r="W26" s="47"/>
      <c r="X26" s="48"/>
      <c r="Y26" s="26"/>
      <c r="Z26" s="26"/>
      <c r="AA26" s="26"/>
      <c r="AB26" s="26"/>
      <c r="AC26" s="26"/>
      <c r="AD26" s="26"/>
      <c r="AE26" s="65" t="str">
        <f>IF(AL9=30,AN9,"")</f>
        <v>Maria Ellul</v>
      </c>
      <c r="AF26" s="29"/>
      <c r="AG26" s="29"/>
      <c r="AH26" s="29"/>
      <c r="AI26" s="30"/>
      <c r="AJ26" s="26"/>
      <c r="AK26" s="26"/>
      <c r="AL26" s="26"/>
      <c r="AM26" s="26"/>
      <c r="AN26" s="26"/>
    </row>
    <row r="27" ht="14.25" customHeight="1">
      <c r="A27" s="49" t="str">
        <f>AE17</f>
        <v>Maria Angela Gambin</v>
      </c>
      <c r="B27" s="39">
        <v>1.0</v>
      </c>
      <c r="C27" s="50">
        <f>IF(B27&gt;B25,1,0)</f>
        <v>0</v>
      </c>
      <c r="D27" s="51"/>
      <c r="E27" s="39">
        <v>1.0</v>
      </c>
      <c r="F27" s="50">
        <f>IF(E27&gt;E25,1,0)</f>
        <v>0</v>
      </c>
      <c r="G27" s="51"/>
      <c r="H27" s="42"/>
      <c r="I27" s="26">
        <f>IF(H27&gt;H25,1,0)</f>
        <v>0</v>
      </c>
      <c r="J27" s="26">
        <f>IF(B27="",0,1)</f>
        <v>1</v>
      </c>
      <c r="K27" s="26">
        <f>IF(C27+F27=2,3,IF(C27+F27=1,1,0))</f>
        <v>0</v>
      </c>
      <c r="L27" s="26">
        <f>IF(K27=3,3,IF(I27+K27=2,2,IF(K27=1,1,0)))</f>
        <v>0</v>
      </c>
      <c r="M27" s="26">
        <f>B27+E27</f>
        <v>2</v>
      </c>
      <c r="N27" s="26">
        <f>C27+F27+I27</f>
        <v>0</v>
      </c>
      <c r="O27" s="26"/>
      <c r="P27" s="49" t="str">
        <f>AE19</f>
        <v>Daphne Vella</v>
      </c>
      <c r="Q27" s="39">
        <v>6.0</v>
      </c>
      <c r="R27" s="50">
        <f>IF(Q27&gt;Q25,1,0)</f>
        <v>0</v>
      </c>
      <c r="S27" s="51"/>
      <c r="T27" s="39">
        <v>2.0</v>
      </c>
      <c r="U27" s="50">
        <f>IF(T27&gt;T25,1,0)</f>
        <v>0</v>
      </c>
      <c r="V27" s="51"/>
      <c r="W27" s="42"/>
      <c r="X27" s="26">
        <f>IF(W27&gt;W25,1,0)</f>
        <v>0</v>
      </c>
      <c r="Y27" s="26">
        <f>IF(Q27="",0,1)</f>
        <v>1</v>
      </c>
      <c r="Z27" s="26">
        <f>IF(R27+U27=2,3,IF(R27+U27=1,1,0))</f>
        <v>0</v>
      </c>
      <c r="AA27" s="26">
        <f>IF(Z27=3,3,IF(X27+Z27=2,2,IF(Z27=1,1,0)))</f>
        <v>0</v>
      </c>
      <c r="AB27" s="26">
        <f>Q27+T27</f>
        <v>8</v>
      </c>
      <c r="AC27" s="26">
        <f>R27+U27+X27</f>
        <v>0</v>
      </c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</row>
    <row r="28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33"/>
      <c r="AI28" s="26"/>
      <c r="AJ28" s="26"/>
      <c r="AK28" s="26"/>
      <c r="AL28" s="26"/>
      <c r="AM28" s="26"/>
      <c r="AN28" s="26"/>
    </row>
    <row r="29" ht="14.25" customHeight="1">
      <c r="A29" s="38" t="str">
        <f>AE15</f>
        <v>Leanne Sammut</v>
      </c>
      <c r="B29" s="39">
        <v>2.0</v>
      </c>
      <c r="C29" s="40">
        <f>IF(B29&gt;B31,1,0)</f>
        <v>0</v>
      </c>
      <c r="D29" s="41"/>
      <c r="E29" s="39">
        <v>4.0</v>
      </c>
      <c r="F29" s="40">
        <f>IF(E29&gt;E31,1,0)</f>
        <v>0</v>
      </c>
      <c r="G29" s="41"/>
      <c r="H29" s="42"/>
      <c r="I29" s="26">
        <f>IF(H29&gt;H31,1,0)</f>
        <v>0</v>
      </c>
      <c r="J29" s="26">
        <f>IF(B29="",0,1)</f>
        <v>1</v>
      </c>
      <c r="K29" s="26">
        <f>IF(C29+F29=2,3,IF(C29+F29=1,1,0))</f>
        <v>0</v>
      </c>
      <c r="L29" s="26">
        <f>IF(K29=3,3,IF(I29+K29=2,2,IF(K29=1,1,0)))</f>
        <v>0</v>
      </c>
      <c r="M29" s="26">
        <f>B29+E29</f>
        <v>6</v>
      </c>
      <c r="N29" s="26">
        <f>C29+F29+I29</f>
        <v>0</v>
      </c>
      <c r="O29" s="26"/>
      <c r="P29" s="38" t="str">
        <f>AE13</f>
        <v>Kaya Sammut</v>
      </c>
      <c r="Q29" s="39">
        <v>6.0</v>
      </c>
      <c r="R29" s="40">
        <f>IF(Q29&gt;Q31,1,0)</f>
        <v>1</v>
      </c>
      <c r="S29" s="41"/>
      <c r="T29" s="39">
        <v>6.0</v>
      </c>
      <c r="U29" s="40">
        <f>IF(T29&gt;T31,1,0)</f>
        <v>1</v>
      </c>
      <c r="V29" s="41"/>
      <c r="W29" s="42"/>
      <c r="X29" s="26">
        <f>IF(W29&gt;W31,1,0)</f>
        <v>0</v>
      </c>
      <c r="Y29" s="26">
        <f>IF(Q29="",0,1)</f>
        <v>1</v>
      </c>
      <c r="Z29" s="26">
        <f>IF(R29+U29=2,3,IF(R29+U29=1,1,0))</f>
        <v>3</v>
      </c>
      <c r="AA29" s="26">
        <f>IF(Z29=3,3,IF(X29+Z29=2,2,IF(Z29=1,1,0)))</f>
        <v>3</v>
      </c>
      <c r="AB29" s="26">
        <f>Q29+T29</f>
        <v>12</v>
      </c>
      <c r="AC29" s="26">
        <f>R29+U29+X29</f>
        <v>2</v>
      </c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</row>
    <row r="30" ht="14.25" customHeight="1">
      <c r="A30" s="46" t="s">
        <v>71</v>
      </c>
      <c r="H30" s="47"/>
      <c r="I30" s="48"/>
      <c r="J30" s="26"/>
      <c r="K30" s="26"/>
      <c r="L30" s="26"/>
      <c r="M30" s="26"/>
      <c r="N30" s="26"/>
      <c r="O30" s="26"/>
      <c r="P30" s="46" t="s">
        <v>71</v>
      </c>
      <c r="W30" s="47"/>
      <c r="X30" s="48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54"/>
      <c r="AM30" s="26"/>
      <c r="AN30" s="26"/>
    </row>
    <row r="31" ht="14.25" customHeight="1">
      <c r="A31" s="49" t="str">
        <f>AE19</f>
        <v>Daphne Vella</v>
      </c>
      <c r="B31" s="39">
        <v>6.0</v>
      </c>
      <c r="C31" s="50">
        <f>IF(B31&gt;B29,1,0)</f>
        <v>1</v>
      </c>
      <c r="D31" s="51"/>
      <c r="E31" s="39">
        <v>6.0</v>
      </c>
      <c r="F31" s="50">
        <f>IF(E31&gt;E29,1,0)</f>
        <v>1</v>
      </c>
      <c r="G31" s="51"/>
      <c r="H31" s="42"/>
      <c r="I31" s="26">
        <f>IF(H31&gt;H29,1,0)</f>
        <v>0</v>
      </c>
      <c r="J31" s="26">
        <f>IF(B31="",0,1)</f>
        <v>1</v>
      </c>
      <c r="K31" s="26">
        <f>IF(C31+F31=2,3,IF(C31+F31=1,1,0))</f>
        <v>3</v>
      </c>
      <c r="L31" s="26">
        <f>IF(K31=3,3,IF(I31+K31=2,2,IF(K31=1,1,0)))</f>
        <v>3</v>
      </c>
      <c r="M31" s="26">
        <f>B31+E31</f>
        <v>12</v>
      </c>
      <c r="N31" s="26">
        <f>C31+F31+I31</f>
        <v>2</v>
      </c>
      <c r="O31" s="26"/>
      <c r="P31" s="49" t="str">
        <f>AE15</f>
        <v>Leanne Sammut</v>
      </c>
      <c r="Q31" s="39">
        <v>0.0</v>
      </c>
      <c r="R31" s="50">
        <f>IF(Q31&gt;Q29,1,0)</f>
        <v>0</v>
      </c>
      <c r="S31" s="51"/>
      <c r="T31" s="39">
        <v>2.0</v>
      </c>
      <c r="U31" s="50">
        <f>IF(T31&gt;T29,1,0)</f>
        <v>0</v>
      </c>
      <c r="V31" s="51"/>
      <c r="W31" s="42"/>
      <c r="X31" s="26">
        <f>IF(W31&gt;W29,1,0)</f>
        <v>0</v>
      </c>
      <c r="Y31" s="26">
        <f>IF(Q31="",0,1)</f>
        <v>1</v>
      </c>
      <c r="Z31" s="26">
        <f>IF(R31+U31=2,3,IF(R31+U31=1,1,0))</f>
        <v>0</v>
      </c>
      <c r="AA31" s="26">
        <f>IF(Z31=3,3,IF(X31+Z31=2,2,IF(Z31=1,1,0)))</f>
        <v>0</v>
      </c>
      <c r="AB31" s="26">
        <f>Q31+T31</f>
        <v>2</v>
      </c>
      <c r="AC31" s="26">
        <f>R31+U31+X31</f>
        <v>0</v>
      </c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33"/>
    </row>
    <row r="32" ht="14.2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54"/>
      <c r="AM32" s="26"/>
      <c r="AN32" s="26"/>
    </row>
    <row r="33" ht="14.25" customHeight="1">
      <c r="A33" s="38" t="str">
        <f>AE17</f>
        <v>Maria Angela Gambin</v>
      </c>
      <c r="B33" s="39">
        <v>6.0</v>
      </c>
      <c r="C33" s="40">
        <f>IF(B33&gt;B35,1,0)</f>
        <v>1</v>
      </c>
      <c r="D33" s="41"/>
      <c r="E33" s="39">
        <v>6.0</v>
      </c>
      <c r="F33" s="40">
        <f>IF(E33&gt;E35,1,0)</f>
        <v>1</v>
      </c>
      <c r="G33" s="41"/>
      <c r="H33" s="42"/>
      <c r="I33" s="26">
        <f>IF(H33&gt;H35,1,0)</f>
        <v>0</v>
      </c>
      <c r="J33" s="26">
        <f>IF(B33="",0,1)</f>
        <v>1</v>
      </c>
      <c r="K33" s="26">
        <f>IF(C33+F33=2,3,IF(C33+F33=1,1,0))</f>
        <v>3</v>
      </c>
      <c r="L33" s="26">
        <f>IF(K33=3,3,IF(I33+K33=2,2,IF(K33=1,1,0)))</f>
        <v>3</v>
      </c>
      <c r="M33" s="26">
        <f>B33+E33</f>
        <v>12</v>
      </c>
      <c r="N33" s="26">
        <f>C33+F33+I33</f>
        <v>2</v>
      </c>
      <c r="O33" s="26"/>
      <c r="P33" s="38" t="str">
        <f>AE13</f>
        <v>Kaya Sammut</v>
      </c>
      <c r="Q33" s="39">
        <v>6.0</v>
      </c>
      <c r="R33" s="40">
        <f>IF(Q33&gt;Q35,1,0)</f>
        <v>1</v>
      </c>
      <c r="S33" s="41"/>
      <c r="T33" s="39">
        <v>6.0</v>
      </c>
      <c r="U33" s="40">
        <f>IF(T33&gt;T35,1,0)</f>
        <v>1</v>
      </c>
      <c r="V33" s="41"/>
      <c r="W33" s="42"/>
      <c r="X33" s="26">
        <f>IF(W33&gt;W35,1,0)</f>
        <v>0</v>
      </c>
      <c r="Y33" s="26">
        <f>IF(Q33="",0,1)</f>
        <v>1</v>
      </c>
      <c r="Z33" s="26">
        <f>IF(R33+U33=2,3,IF(R33+U33=1,1,0))</f>
        <v>3</v>
      </c>
      <c r="AA33" s="26">
        <f>IF(Z33=3,3,IF(X33+Z33=2,2,IF(Z33=1,1,0)))</f>
        <v>3</v>
      </c>
      <c r="AB33" s="26">
        <f>Q33+T33</f>
        <v>12</v>
      </c>
      <c r="AC33" s="26">
        <f>R33+U33+X33</f>
        <v>2</v>
      </c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</row>
    <row r="34" ht="14.25" customHeight="1">
      <c r="A34" s="46" t="s">
        <v>71</v>
      </c>
      <c r="H34" s="47"/>
      <c r="I34" s="48"/>
      <c r="J34" s="26"/>
      <c r="K34" s="26"/>
      <c r="L34" s="26"/>
      <c r="M34" s="26"/>
      <c r="N34" s="26"/>
      <c r="O34" s="26"/>
      <c r="P34" s="46" t="s">
        <v>71</v>
      </c>
      <c r="W34" s="47"/>
      <c r="X34" s="48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</row>
    <row r="35" ht="14.25" customHeight="1">
      <c r="A35" s="49" t="str">
        <f>AE19</f>
        <v>Daphne Vella</v>
      </c>
      <c r="B35" s="39">
        <v>3.0</v>
      </c>
      <c r="C35" s="50">
        <f>IF(B35&gt;B33,1,0)</f>
        <v>0</v>
      </c>
      <c r="D35" s="51"/>
      <c r="E35" s="39">
        <v>1.0</v>
      </c>
      <c r="F35" s="50">
        <f>IF(E35&gt;E33,1,0)</f>
        <v>0</v>
      </c>
      <c r="G35" s="51"/>
      <c r="H35" s="42"/>
      <c r="I35" s="26">
        <f>IF(H35&gt;H33,1,0)</f>
        <v>0</v>
      </c>
      <c r="J35" s="26">
        <f>IF(B35="",0,1)</f>
        <v>1</v>
      </c>
      <c r="K35" s="26">
        <f>IF(C35+F35=2,3,IF(C35+F35=1,1,0))</f>
        <v>0</v>
      </c>
      <c r="L35" s="26">
        <f>IF(K35=3,3,IF(I35+K35=2,2,IF(K35=1,1,0)))</f>
        <v>0</v>
      </c>
      <c r="M35" s="26">
        <f>B35+E35</f>
        <v>4</v>
      </c>
      <c r="N35" s="26">
        <f>C35+F35+I35</f>
        <v>0</v>
      </c>
      <c r="O35" s="26"/>
      <c r="P35" s="49" t="str">
        <f>AE19</f>
        <v>Daphne Vella</v>
      </c>
      <c r="Q35" s="39">
        <v>2.0</v>
      </c>
      <c r="R35" s="50">
        <f>IF(Q35&gt;Q33,1,0)</f>
        <v>0</v>
      </c>
      <c r="S35" s="51"/>
      <c r="T35" s="39">
        <v>0.0</v>
      </c>
      <c r="U35" s="50">
        <f>IF(T35&gt;T33,1,0)</f>
        <v>0</v>
      </c>
      <c r="V35" s="51"/>
      <c r="W35" s="42"/>
      <c r="X35" s="26">
        <f>IF(W35&gt;W33,1,0)</f>
        <v>0</v>
      </c>
      <c r="Y35" s="26">
        <f>IF(Q35="",0,1)</f>
        <v>1</v>
      </c>
      <c r="Z35" s="26">
        <f>IF(R35+U35=2,3,IF(R35+U35=1,1,0))</f>
        <v>0</v>
      </c>
      <c r="AA35" s="26">
        <f>IF(Z35=3,3,IF(X35+Z35=2,2,IF(Z35=1,1,0)))</f>
        <v>0</v>
      </c>
      <c r="AB35" s="26">
        <f>Q35+T35</f>
        <v>2</v>
      </c>
      <c r="AC35" s="26">
        <f>R35+U35+X35</f>
        <v>0</v>
      </c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</row>
    <row r="36" ht="14.2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33"/>
      <c r="AI36" s="26"/>
      <c r="AJ36" s="26"/>
      <c r="AK36" s="33"/>
      <c r="AL36" s="26"/>
      <c r="AM36" s="26"/>
      <c r="AN36" s="26"/>
    </row>
    <row r="37" ht="14.25" customHeight="1">
      <c r="A37" s="38" t="str">
        <f>AE15</f>
        <v>Leanne Sammut</v>
      </c>
      <c r="B37" s="39">
        <v>4.0</v>
      </c>
      <c r="C37" s="40">
        <f>IF(B37&gt;B39,1,0)</f>
        <v>0</v>
      </c>
      <c r="D37" s="41"/>
      <c r="E37" s="39">
        <v>0.0</v>
      </c>
      <c r="F37" s="40">
        <f>IF(E37&gt;E39,1,0)</f>
        <v>0</v>
      </c>
      <c r="G37" s="41"/>
      <c r="H37" s="42"/>
      <c r="I37" s="26">
        <f>IF(H37&gt;H39,1,0)</f>
        <v>0</v>
      </c>
      <c r="J37" s="26">
        <f>IF(B37="",0,1)</f>
        <v>1</v>
      </c>
      <c r="K37" s="26">
        <f>IF(C37+F37=2,3,IF(C37+F37=1,1,0))</f>
        <v>0</v>
      </c>
      <c r="L37" s="26">
        <f>IF(K37=3,3,IF(I37+K37=2,2,IF(K37=1,1,0)))</f>
        <v>0</v>
      </c>
      <c r="M37" s="26">
        <f>B37+E37</f>
        <v>4</v>
      </c>
      <c r="N37" s="26">
        <f>C37+F37+I37</f>
        <v>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33"/>
      <c r="AL37" s="26"/>
      <c r="AM37" s="26"/>
      <c r="AN37" s="26"/>
    </row>
    <row r="38" ht="14.25" customHeight="1">
      <c r="A38" s="46" t="s">
        <v>71</v>
      </c>
      <c r="H38" s="47"/>
      <c r="I38" s="48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56"/>
      <c r="AK38" s="26"/>
      <c r="AL38" s="26"/>
      <c r="AM38" s="26"/>
      <c r="AN38" s="26"/>
    </row>
    <row r="39" ht="14.25" customHeight="1">
      <c r="A39" s="49" t="str">
        <f>AE17</f>
        <v>Maria Angela Gambin</v>
      </c>
      <c r="B39" s="39">
        <v>6.0</v>
      </c>
      <c r="C39" s="50">
        <f>IF(B39&gt;B37,1,0)</f>
        <v>1</v>
      </c>
      <c r="D39" s="51"/>
      <c r="E39" s="39">
        <v>6.0</v>
      </c>
      <c r="F39" s="50">
        <f>IF(E39&gt;E37,1,0)</f>
        <v>1</v>
      </c>
      <c r="G39" s="51"/>
      <c r="H39" s="42"/>
      <c r="I39" s="26">
        <f>IF(H39&gt;H37,1,0)</f>
        <v>0</v>
      </c>
      <c r="J39" s="26">
        <f>IF(B39="",0,1)</f>
        <v>1</v>
      </c>
      <c r="K39" s="26">
        <f>IF(C39+F39=2,3,IF(C39+F39=1,1,0))</f>
        <v>3</v>
      </c>
      <c r="L39" s="26">
        <f>IF(K39=3,3,IF(I39+K39=2,2,IF(K39=1,1,0)))</f>
        <v>3</v>
      </c>
      <c r="M39" s="26">
        <f>B39+E39</f>
        <v>12</v>
      </c>
      <c r="N39" s="26">
        <f>C39+F39+I39</f>
        <v>2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</row>
    <row r="40" ht="14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</row>
    <row r="41" ht="14.2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56"/>
      <c r="AK41" s="26"/>
      <c r="AL41" s="26"/>
      <c r="AM41" s="26"/>
      <c r="AN41" s="26"/>
    </row>
    <row r="42" ht="14.2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</row>
    <row r="43" ht="14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</row>
    <row r="44" ht="14.2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</row>
    <row r="45" ht="14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</row>
    <row r="46" ht="14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56"/>
      <c r="AK46" s="26"/>
      <c r="AL46" s="33"/>
      <c r="AM46" s="26"/>
      <c r="AN46" s="26"/>
    </row>
    <row r="47" ht="14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</row>
    <row r="48" ht="14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</row>
    <row r="49" ht="14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</row>
    <row r="50" ht="14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</row>
    <row r="51" ht="14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56"/>
      <c r="AK51" s="26"/>
      <c r="AL51" s="26"/>
      <c r="AM51" s="26"/>
      <c r="AN51" s="33"/>
    </row>
    <row r="52" ht="14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</row>
    <row r="53" ht="14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</row>
    <row r="54" ht="14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</row>
    <row r="55" ht="14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33"/>
      <c r="AI55" s="26"/>
      <c r="AJ55" s="26"/>
      <c r="AK55" s="33"/>
      <c r="AL55" s="26"/>
      <c r="AM55" s="26"/>
      <c r="AN55" s="26"/>
    </row>
    <row r="56" ht="14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</row>
    <row r="57" ht="14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</row>
    <row r="58" ht="14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</row>
    <row r="59" ht="14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</row>
    <row r="60" ht="14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</row>
    <row r="61" ht="14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</row>
    <row r="62" ht="14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</row>
    <row r="63" ht="14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</row>
    <row r="64" ht="14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</row>
    <row r="65" ht="14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</row>
    <row r="66" ht="14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</row>
    <row r="67" ht="14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</row>
    <row r="68" ht="14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</row>
    <row r="69" ht="14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</row>
    <row r="70" ht="14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</row>
    <row r="71" ht="14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</row>
    <row r="72" ht="14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</row>
    <row r="73" ht="14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</row>
    <row r="74" ht="14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</row>
    <row r="75" ht="14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</row>
    <row r="76" ht="14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</row>
    <row r="77" ht="14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</row>
    <row r="78" ht="14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</row>
    <row r="79" ht="14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</row>
    <row r="80" ht="14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</row>
    <row r="81" ht="14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</row>
    <row r="82" ht="14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</row>
    <row r="83" ht="14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</row>
    <row r="84" ht="14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</row>
    <row r="85" ht="14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</row>
    <row r="86" ht="14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</row>
    <row r="87" ht="14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</row>
    <row r="88" ht="14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</row>
    <row r="89" ht="14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</row>
    <row r="90" ht="14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</row>
    <row r="91" ht="14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</row>
    <row r="92" ht="14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</row>
    <row r="93" ht="14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ht="14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ht="14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</row>
    <row r="96" ht="14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</row>
    <row r="97" ht="14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</row>
    <row r="98" ht="14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</row>
    <row r="99" ht="14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</row>
    <row r="100" ht="14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</row>
    <row r="101" ht="14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</row>
    <row r="102" ht="14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</row>
    <row r="103" ht="14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</row>
    <row r="104" ht="14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</row>
    <row r="105" ht="14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33"/>
      <c r="R105" s="33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</row>
    <row r="106" ht="14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</row>
    <row r="107" ht="14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</row>
    <row r="108" ht="14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</row>
    <row r="109" ht="14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ht="14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ht="14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</row>
    <row r="112" ht="14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</row>
    <row r="113" ht="14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</row>
    <row r="114" ht="14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</row>
    <row r="115" ht="14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</row>
    <row r="116" ht="14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</row>
    <row r="117" ht="14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</row>
    <row r="118" ht="14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</row>
    <row r="119" ht="14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</row>
    <row r="120" ht="14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</row>
    <row r="121" ht="14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</row>
    <row r="122" ht="14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</row>
    <row r="123" ht="14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</row>
    <row r="124" ht="14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</row>
    <row r="125" ht="14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</row>
    <row r="126" ht="14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</row>
    <row r="127" ht="14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</row>
    <row r="128" ht="14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</row>
    <row r="129" ht="14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</row>
    <row r="130" ht="14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</row>
    <row r="131" ht="14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</row>
    <row r="132" ht="14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</row>
    <row r="133" ht="14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</row>
    <row r="134" ht="14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</row>
    <row r="135" ht="14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</row>
    <row r="136" ht="14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</row>
    <row r="137" ht="14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</row>
    <row r="138" ht="14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</row>
    <row r="139" ht="14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</row>
    <row r="140" ht="14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</row>
    <row r="141" ht="14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</row>
    <row r="142" ht="14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</row>
    <row r="143" ht="14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</row>
    <row r="144" ht="14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</row>
    <row r="145" ht="14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</row>
    <row r="146" ht="14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</row>
    <row r="147" ht="14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</row>
    <row r="148" ht="14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</row>
    <row r="149" ht="14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</row>
    <row r="150" ht="14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</row>
    <row r="151" ht="14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</row>
    <row r="152" ht="14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</row>
    <row r="153" ht="14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</row>
    <row r="154" ht="14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</row>
    <row r="155" ht="14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</row>
    <row r="156" ht="14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</row>
    <row r="157" ht="14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</row>
    <row r="158" ht="14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</row>
    <row r="159" ht="14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</row>
    <row r="160" ht="14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</row>
    <row r="161" ht="14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</row>
    <row r="162" ht="14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</row>
    <row r="163" ht="14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</row>
    <row r="164" ht="14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</row>
    <row r="165" ht="14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</row>
    <row r="166" ht="14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</row>
    <row r="167" ht="14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</row>
    <row r="168" ht="14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</row>
    <row r="169" ht="14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</row>
    <row r="170" ht="14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</row>
    <row r="171" ht="14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</row>
    <row r="172" ht="14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</row>
    <row r="173" ht="14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</row>
    <row r="174" ht="14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</row>
    <row r="175" ht="14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</row>
    <row r="176" ht="14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</row>
    <row r="177" ht="14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</row>
    <row r="178" ht="14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</row>
    <row r="179" ht="14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</row>
    <row r="180" ht="14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</row>
    <row r="181" ht="14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</row>
    <row r="182" ht="14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</row>
    <row r="183" ht="14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</row>
    <row r="184" ht="14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</row>
    <row r="185" ht="14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</row>
    <row r="186" ht="14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</row>
    <row r="187" ht="14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</row>
    <row r="188" ht="14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</row>
    <row r="189" ht="14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</row>
    <row r="190" ht="14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</row>
    <row r="191" ht="14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</row>
    <row r="192" ht="14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</row>
    <row r="193" ht="14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</row>
    <row r="194" ht="14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</row>
    <row r="195" ht="14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</row>
    <row r="196" ht="14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</row>
    <row r="197" ht="14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</row>
    <row r="198" ht="14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</row>
    <row r="199" ht="14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</row>
    <row r="200" ht="14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</row>
    <row r="201" ht="14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</row>
    <row r="202" ht="14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</row>
    <row r="203" ht="14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</row>
    <row r="204" ht="14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</row>
    <row r="205" ht="14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</row>
    <row r="206" ht="14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</row>
    <row r="207" ht="14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</row>
    <row r="208" ht="14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</row>
    <row r="209" ht="14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</row>
    <row r="210" ht="14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</row>
    <row r="211" ht="14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</row>
    <row r="212" ht="14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</row>
    <row r="213" ht="14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</row>
    <row r="214" ht="14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</row>
    <row r="215" ht="14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</row>
    <row r="216" ht="14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</row>
    <row r="217" ht="14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</row>
    <row r="218" ht="14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</row>
    <row r="219" ht="14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</row>
    <row r="220" ht="14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</row>
    <row r="221" ht="14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</row>
    <row r="222" ht="14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</row>
    <row r="223" ht="14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</row>
    <row r="224" ht="14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</row>
    <row r="225" ht="14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</row>
    <row r="226" ht="14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</row>
    <row r="227" ht="14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</row>
    <row r="228" ht="14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</row>
    <row r="229" ht="14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</row>
    <row r="230" ht="14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</row>
    <row r="231" ht="14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</row>
    <row r="232" ht="14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</row>
    <row r="233" ht="14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</row>
    <row r="234" ht="14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</row>
    <row r="235" ht="14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</row>
    <row r="236" ht="14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</row>
    <row r="237" ht="14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</row>
    <row r="238" ht="14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</row>
    <row r="239" ht="14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</row>
    <row r="240" ht="14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</row>
    <row r="241" ht="14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</row>
    <row r="242" ht="14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</row>
    <row r="243" ht="14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</row>
    <row r="244" ht="14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</row>
    <row r="245" ht="14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ht="14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ht="14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</row>
    <row r="248" ht="14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</row>
    <row r="249" ht="14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</row>
    <row r="250" ht="14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</row>
    <row r="251" ht="14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</row>
    <row r="252" ht="14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 ht="14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 ht="14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</row>
    <row r="255" ht="14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</row>
    <row r="256" ht="14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</row>
    <row r="257" ht="14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</row>
    <row r="258" ht="14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 ht="14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</row>
    <row r="260" ht="14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</row>
    <row r="261" ht="14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</row>
    <row r="262" ht="14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</row>
    <row r="263" ht="14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</row>
    <row r="264" ht="14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</row>
    <row r="265" ht="14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</row>
    <row r="266" ht="14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</row>
    <row r="267" ht="14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</row>
    <row r="268" ht="14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</row>
    <row r="269" ht="14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</row>
    <row r="270" ht="14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</row>
    <row r="271" ht="14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</row>
    <row r="272" ht="14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</row>
    <row r="273" ht="14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</row>
    <row r="274" ht="14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</row>
    <row r="275" ht="14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</row>
    <row r="276" ht="14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</row>
    <row r="277" ht="14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</row>
    <row r="278" ht="14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</row>
    <row r="279" ht="14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</row>
    <row r="280" ht="14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</row>
    <row r="281" ht="14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</row>
    <row r="282" ht="14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</row>
    <row r="283" ht="14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</row>
    <row r="284" ht="14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</row>
    <row r="285" ht="14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</row>
    <row r="286" ht="14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</row>
    <row r="287" ht="14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</row>
    <row r="288" ht="14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</row>
    <row r="289" ht="14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</row>
    <row r="290" ht="14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</row>
    <row r="291" ht="14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</row>
    <row r="292" ht="14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</row>
    <row r="293" ht="14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</row>
    <row r="294" ht="14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</row>
    <row r="295" ht="14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</row>
    <row r="296" ht="14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</row>
    <row r="297" ht="14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</row>
    <row r="298" ht="14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</row>
    <row r="299" ht="14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</row>
    <row r="300" ht="14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</row>
    <row r="301" ht="14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</row>
    <row r="302" ht="14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</row>
    <row r="303" ht="14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</row>
    <row r="304" ht="14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</row>
    <row r="305" ht="14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</row>
    <row r="306" ht="14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</row>
    <row r="307" ht="14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</row>
    <row r="308" ht="14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</row>
    <row r="309" ht="14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</row>
    <row r="310" ht="14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</row>
    <row r="311" ht="14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</row>
    <row r="312" ht="14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</row>
    <row r="313" ht="14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</row>
    <row r="314" ht="14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</row>
    <row r="315" ht="14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</row>
    <row r="316" ht="14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</row>
    <row r="317" ht="14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</row>
    <row r="318" ht="14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</row>
    <row r="319" ht="14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</row>
    <row r="320" ht="14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</row>
    <row r="321" ht="14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</row>
    <row r="322" ht="14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</row>
    <row r="323" ht="14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</row>
    <row r="324" ht="14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</row>
    <row r="325" ht="14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</row>
    <row r="326" ht="14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</row>
    <row r="327" ht="14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</row>
    <row r="328" ht="14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</row>
    <row r="329" ht="14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</row>
    <row r="330" ht="14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</row>
    <row r="331" ht="14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</row>
    <row r="332" ht="14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</row>
    <row r="333" ht="14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</row>
    <row r="334" ht="14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</row>
    <row r="335" ht="14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ht="14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ht="14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 ht="14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</row>
    <row r="339" ht="14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</row>
    <row r="340" ht="14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</row>
    <row r="341" ht="14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</row>
    <row r="342" ht="14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</row>
    <row r="343" ht="14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</row>
    <row r="344" ht="14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</row>
    <row r="345" ht="14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</row>
    <row r="346" ht="14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</row>
    <row r="347" ht="14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</row>
    <row r="348" ht="14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</row>
    <row r="349" ht="14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</row>
    <row r="350" ht="14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</row>
    <row r="351" ht="14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</row>
    <row r="352" ht="14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</row>
    <row r="353" ht="14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</row>
    <row r="354" ht="14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</row>
    <row r="355" ht="14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</row>
    <row r="356" ht="14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</row>
    <row r="357" ht="14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</row>
    <row r="358" ht="14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</row>
    <row r="359" ht="14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</row>
    <row r="360" ht="14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</row>
    <row r="361" ht="14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</row>
    <row r="362" ht="14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</row>
    <row r="363" ht="14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</row>
    <row r="364" ht="14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</row>
    <row r="365" ht="14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</row>
    <row r="366" ht="14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</row>
    <row r="367" ht="14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</row>
    <row r="368" ht="14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</row>
    <row r="369" ht="14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</row>
    <row r="370" ht="14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</row>
    <row r="371" ht="14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</row>
    <row r="372" ht="14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</row>
    <row r="373" ht="14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</row>
    <row r="374" ht="14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ht="14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ht="14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ht="14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ht="14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ht="14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ht="14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ht="14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ht="14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ht="14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ht="14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ht="14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ht="14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ht="14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ht="14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ht="14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ht="14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ht="14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ht="14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ht="14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ht="14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ht="14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ht="14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ht="14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ht="14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ht="14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ht="14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ht="14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ht="14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ht="14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ht="14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ht="14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ht="14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ht="14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</row>
    <row r="408" ht="14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</row>
    <row r="409" ht="14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</row>
    <row r="410" ht="14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</row>
    <row r="411" ht="14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</row>
    <row r="412" ht="14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</row>
    <row r="413" ht="14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</row>
    <row r="414" ht="14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</row>
    <row r="415" ht="14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</row>
    <row r="416" ht="14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</row>
    <row r="417" ht="14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</row>
    <row r="418" ht="14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</row>
    <row r="419" ht="14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</row>
    <row r="420" ht="14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</row>
    <row r="421" ht="14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</row>
    <row r="422" ht="14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</row>
    <row r="423" ht="14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</row>
    <row r="424" ht="14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</row>
    <row r="425" ht="14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</row>
    <row r="426" ht="14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</row>
    <row r="427" ht="14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</row>
    <row r="428" ht="14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</row>
    <row r="429" ht="14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</row>
    <row r="430" ht="14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</row>
    <row r="431" ht="14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</row>
    <row r="432" ht="14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</row>
    <row r="433" ht="14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</row>
    <row r="434" ht="14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</row>
    <row r="435" ht="14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</row>
    <row r="436" ht="14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</row>
    <row r="437" ht="14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</row>
    <row r="438" ht="14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</row>
    <row r="439" ht="14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</row>
    <row r="440" ht="14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</row>
    <row r="441" ht="14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</row>
    <row r="442" ht="14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</row>
    <row r="443" ht="14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</row>
    <row r="444" ht="14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</row>
    <row r="445" ht="14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</row>
    <row r="446" ht="14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</row>
    <row r="447" ht="14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</row>
    <row r="448" ht="14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</row>
    <row r="449" ht="14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</row>
    <row r="450" ht="14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</row>
    <row r="451" ht="14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</row>
    <row r="452" ht="14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</row>
    <row r="453" ht="14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</row>
    <row r="454" ht="14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</row>
    <row r="455" ht="14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</row>
    <row r="456" ht="14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</row>
    <row r="457" ht="14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</row>
    <row r="458" ht="14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</row>
    <row r="459" ht="14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</row>
    <row r="460" ht="14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</row>
    <row r="461" ht="14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</row>
    <row r="462" ht="14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</row>
    <row r="463" ht="14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</row>
    <row r="464" ht="14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</row>
    <row r="465" ht="14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</row>
    <row r="466" ht="14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</row>
    <row r="467" ht="14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</row>
    <row r="468" ht="14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</row>
    <row r="469" ht="14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</row>
    <row r="470" ht="14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</row>
    <row r="471" ht="14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</row>
    <row r="472" ht="14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</row>
    <row r="473" ht="14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</row>
    <row r="474" ht="14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</row>
    <row r="475" ht="14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</row>
    <row r="476" ht="14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</row>
    <row r="477" ht="14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</row>
    <row r="478" ht="14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</row>
    <row r="479" ht="14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</row>
    <row r="480" ht="14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</row>
    <row r="481" ht="14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</row>
    <row r="482" ht="14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</row>
    <row r="483" ht="14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</row>
    <row r="484" ht="14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</row>
    <row r="485" ht="14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</row>
    <row r="486" ht="14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</row>
    <row r="487" ht="14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</row>
    <row r="488" ht="14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</row>
    <row r="489" ht="14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</row>
    <row r="490" ht="14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</row>
    <row r="491" ht="14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</row>
    <row r="492" ht="14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</row>
    <row r="493" ht="14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</row>
    <row r="494" ht="14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</row>
    <row r="495" ht="14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</row>
    <row r="496" ht="14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</row>
    <row r="497" ht="14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</row>
    <row r="498" ht="14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</row>
    <row r="499" ht="14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</row>
    <row r="500" ht="14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</row>
    <row r="501" ht="14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</row>
    <row r="502" ht="14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</row>
    <row r="503" ht="14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</row>
    <row r="504" ht="14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</row>
    <row r="505" ht="14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</row>
    <row r="506" ht="14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</row>
    <row r="507" ht="14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</row>
    <row r="508" ht="14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</row>
    <row r="509" ht="14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</row>
    <row r="510" ht="14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</row>
    <row r="511" ht="14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</row>
    <row r="512" ht="14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</row>
    <row r="513" ht="14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</row>
    <row r="514" ht="14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</row>
    <row r="515" ht="14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</row>
    <row r="516" ht="14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</row>
    <row r="517" ht="14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</row>
    <row r="518" ht="14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</row>
    <row r="519" ht="14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</row>
    <row r="520" ht="14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</row>
    <row r="521" ht="14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</row>
    <row r="522" ht="14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</row>
    <row r="523" ht="14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</row>
    <row r="524" ht="14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</row>
    <row r="525" ht="14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</row>
    <row r="526" ht="14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</row>
    <row r="527" ht="14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</row>
    <row r="528" ht="14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</row>
    <row r="529" ht="14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</row>
    <row r="530" ht="14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</row>
    <row r="531" ht="14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</row>
    <row r="532" ht="14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</row>
    <row r="533" ht="14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</row>
    <row r="534" ht="14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</row>
    <row r="535" ht="14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</row>
    <row r="536" ht="14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</row>
    <row r="537" ht="14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</row>
    <row r="538" ht="14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</row>
    <row r="539" ht="14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</row>
    <row r="540" ht="14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</row>
    <row r="541" ht="14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</row>
    <row r="542" ht="14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</row>
    <row r="543" ht="14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</row>
    <row r="544" ht="14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</row>
    <row r="545" ht="14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</row>
    <row r="546" ht="14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</row>
    <row r="547" ht="14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</row>
    <row r="548" ht="14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</row>
    <row r="549" ht="14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</row>
    <row r="550" ht="14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</row>
    <row r="551" ht="14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</row>
    <row r="552" ht="14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</row>
    <row r="553" ht="14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</row>
    <row r="554" ht="14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</row>
    <row r="555" ht="14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</row>
    <row r="556" ht="14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</row>
    <row r="557" ht="14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</row>
    <row r="558" ht="14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</row>
    <row r="559" ht="14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</row>
    <row r="560" ht="14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</row>
    <row r="561" ht="14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</row>
    <row r="562" ht="14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</row>
    <row r="563" ht="14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</row>
    <row r="564" ht="14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</row>
    <row r="565" ht="14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</row>
    <row r="566" ht="14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</row>
    <row r="567" ht="14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</row>
    <row r="568" ht="14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</row>
    <row r="569" ht="14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</row>
    <row r="570" ht="14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</row>
    <row r="571" ht="14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</row>
    <row r="572" ht="14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</row>
    <row r="573" ht="14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</row>
    <row r="574" ht="14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</row>
    <row r="575" ht="14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</row>
    <row r="576" ht="14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</row>
    <row r="577" ht="14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</row>
    <row r="578" ht="14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</row>
    <row r="579" ht="14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</row>
    <row r="580" ht="14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</row>
    <row r="581" ht="14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</row>
    <row r="582" ht="14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</row>
    <row r="583" ht="14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</row>
    <row r="584" ht="14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</row>
    <row r="585" ht="14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</row>
    <row r="586" ht="14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</row>
    <row r="587" ht="14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</row>
    <row r="588" ht="14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</row>
    <row r="589" ht="14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</row>
    <row r="590" ht="14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</row>
    <row r="591" ht="14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</row>
    <row r="592" ht="14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</row>
    <row r="593" ht="14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</row>
    <row r="594" ht="14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</row>
    <row r="595" ht="14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</row>
    <row r="596" ht="14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</row>
    <row r="597" ht="14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</row>
    <row r="598" ht="14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</row>
    <row r="599" ht="14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</row>
    <row r="600" ht="14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</row>
    <row r="601" ht="14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</row>
    <row r="602" ht="14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</row>
    <row r="603" ht="14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</row>
    <row r="604" ht="14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</row>
    <row r="605" ht="14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</row>
    <row r="606" ht="14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</row>
    <row r="607" ht="14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</row>
    <row r="608" ht="14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</row>
    <row r="609" ht="14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</row>
    <row r="610" ht="14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</row>
    <row r="611" ht="14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</row>
    <row r="612" ht="14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</row>
    <row r="613" ht="14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</row>
    <row r="614" ht="14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</row>
    <row r="615" ht="14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</row>
    <row r="616" ht="14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</row>
    <row r="617" ht="14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</row>
    <row r="618" ht="14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</row>
    <row r="619" ht="14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</row>
    <row r="620" ht="14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</row>
    <row r="621" ht="14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</row>
    <row r="622" ht="14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</row>
    <row r="623" ht="14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</row>
    <row r="624" ht="14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</row>
    <row r="625" ht="14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</row>
    <row r="626" ht="14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</row>
    <row r="627" ht="14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</row>
    <row r="628" ht="14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</row>
    <row r="629" ht="14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</row>
    <row r="630" ht="14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</row>
    <row r="631" ht="14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</row>
    <row r="632" ht="14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</row>
    <row r="633" ht="14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</row>
    <row r="634" ht="14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</row>
    <row r="635" ht="14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</row>
    <row r="636" ht="14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</row>
    <row r="637" ht="14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</row>
    <row r="638" ht="14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</row>
    <row r="639" ht="14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</row>
    <row r="640" ht="14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</row>
    <row r="641" ht="14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</row>
    <row r="642" ht="14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</row>
    <row r="643" ht="14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</row>
    <row r="644" ht="14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</row>
    <row r="645" ht="14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</row>
    <row r="646" ht="14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</row>
    <row r="647" ht="14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</row>
    <row r="648" ht="14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</row>
    <row r="649" ht="14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</row>
    <row r="650" ht="14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</row>
    <row r="651" ht="14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</row>
    <row r="652" ht="14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</row>
    <row r="653" ht="14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</row>
    <row r="654" ht="14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</row>
    <row r="655" ht="14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</row>
    <row r="656" ht="14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</row>
    <row r="657" ht="14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</row>
    <row r="658" ht="14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</row>
    <row r="659" ht="14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</row>
    <row r="660" ht="14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</row>
    <row r="661" ht="14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</row>
    <row r="662" ht="14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</row>
    <row r="663" ht="14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</row>
    <row r="664" ht="14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</row>
    <row r="665" ht="14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</row>
    <row r="666" ht="14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</row>
    <row r="667" ht="14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</row>
    <row r="668" ht="14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</row>
    <row r="669" ht="14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</row>
    <row r="670" ht="14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</row>
    <row r="671" ht="14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</row>
    <row r="672" ht="14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</row>
    <row r="673" ht="14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</row>
    <row r="674" ht="14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</row>
    <row r="675" ht="14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</row>
    <row r="676" ht="14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</row>
    <row r="677" ht="14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</row>
    <row r="678" ht="14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</row>
    <row r="679" ht="14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</row>
    <row r="680" ht="14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</row>
    <row r="681" ht="14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</row>
    <row r="682" ht="14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</row>
    <row r="683" ht="14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</row>
    <row r="684" ht="14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</row>
    <row r="685" ht="14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</row>
    <row r="686" ht="14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</row>
    <row r="687" ht="14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</row>
    <row r="688" ht="14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</row>
    <row r="689" ht="14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</row>
    <row r="690" ht="14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</row>
    <row r="691" ht="14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</row>
    <row r="692" ht="14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</row>
    <row r="693" ht="14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</row>
    <row r="694" ht="14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</row>
    <row r="695" ht="14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</row>
    <row r="696" ht="14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</row>
    <row r="697" ht="14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</row>
    <row r="698" ht="14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</row>
    <row r="699" ht="14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</row>
    <row r="700" ht="14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</row>
    <row r="701" ht="14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</row>
    <row r="702" ht="14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</row>
    <row r="703" ht="14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</row>
    <row r="704" ht="14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</row>
    <row r="705" ht="14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</row>
    <row r="706" ht="14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</row>
    <row r="707" ht="14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</row>
    <row r="708" ht="14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</row>
    <row r="709" ht="14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</row>
    <row r="710" ht="14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</row>
    <row r="711" ht="14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</row>
    <row r="712" ht="14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</row>
    <row r="713" ht="14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</row>
    <row r="714" ht="14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</row>
    <row r="715" ht="14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</row>
    <row r="716" ht="14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</row>
    <row r="717" ht="14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</row>
    <row r="718" ht="14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</row>
    <row r="719" ht="14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</row>
    <row r="720" ht="14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</row>
    <row r="721" ht="14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</row>
    <row r="722" ht="14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</row>
    <row r="723" ht="14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</row>
    <row r="724" ht="14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</row>
    <row r="725" ht="14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</row>
    <row r="726" ht="14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</row>
    <row r="727" ht="14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</row>
    <row r="728" ht="14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</row>
    <row r="729" ht="14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</row>
    <row r="730" ht="14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</row>
    <row r="731" ht="14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</row>
    <row r="732" ht="14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</row>
    <row r="733" ht="14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</row>
    <row r="734" ht="14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</row>
    <row r="735" ht="14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</row>
    <row r="736" ht="14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</row>
    <row r="737" ht="14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</row>
    <row r="738" ht="14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</row>
    <row r="739" ht="14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</row>
    <row r="740" ht="14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</row>
    <row r="741" ht="14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</row>
    <row r="742" ht="14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</row>
    <row r="743" ht="14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</row>
    <row r="744" ht="14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</row>
    <row r="745" ht="14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</row>
    <row r="746" ht="14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</row>
    <row r="747" ht="14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</row>
    <row r="748" ht="14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</row>
    <row r="749" ht="14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</row>
    <row r="750" ht="14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</row>
    <row r="751" ht="14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</row>
    <row r="752" ht="14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</row>
    <row r="753" ht="14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</row>
    <row r="754" ht="14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</row>
    <row r="755" ht="14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</row>
    <row r="756" ht="14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</row>
    <row r="757" ht="14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</row>
    <row r="758" ht="14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</row>
    <row r="759" ht="14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</row>
    <row r="760" ht="14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</row>
    <row r="761" ht="14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</row>
    <row r="762" ht="14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</row>
    <row r="763" ht="14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</row>
    <row r="764" ht="14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</row>
    <row r="765" ht="14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</row>
    <row r="766" ht="14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</row>
    <row r="767" ht="14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</row>
    <row r="768" ht="14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</row>
    <row r="769" ht="14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</row>
    <row r="770" ht="14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</row>
    <row r="771" ht="14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</row>
    <row r="772" ht="14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</row>
    <row r="773" ht="14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</row>
    <row r="774" ht="14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</row>
    <row r="775" ht="14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</row>
    <row r="776" ht="14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</row>
    <row r="777" ht="14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</row>
    <row r="778" ht="14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</row>
    <row r="779" ht="14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</row>
    <row r="780" ht="14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</row>
    <row r="781" ht="14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</row>
    <row r="782" ht="14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</row>
    <row r="783" ht="14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</row>
    <row r="784" ht="14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</row>
    <row r="785" ht="14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</row>
    <row r="786" ht="14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</row>
    <row r="787" ht="14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</row>
    <row r="788" ht="14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</row>
    <row r="789" ht="14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</row>
    <row r="790" ht="14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</row>
    <row r="791" ht="14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</row>
    <row r="792" ht="14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</row>
    <row r="793" ht="14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</row>
    <row r="794" ht="14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</row>
    <row r="795" ht="14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</row>
    <row r="796" ht="14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</row>
    <row r="797" ht="14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</row>
    <row r="798" ht="14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</row>
    <row r="799" ht="14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</row>
    <row r="800" ht="14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</row>
    <row r="801" ht="14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</row>
    <row r="802" ht="14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</row>
    <row r="803" ht="14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</row>
    <row r="804" ht="14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</row>
    <row r="805" ht="14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</row>
    <row r="806" ht="14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</row>
    <row r="807" ht="14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</row>
    <row r="808" ht="14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</row>
    <row r="809" ht="14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</row>
    <row r="810" ht="14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</row>
    <row r="811" ht="14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</row>
    <row r="812" ht="14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</row>
    <row r="813" ht="14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</row>
    <row r="814" ht="14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</row>
    <row r="815" ht="14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</row>
    <row r="816" ht="14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</row>
    <row r="817" ht="14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</row>
    <row r="818" ht="14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</row>
    <row r="819" ht="14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</row>
    <row r="820" ht="14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</row>
    <row r="821" ht="14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</row>
    <row r="822" ht="14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</row>
    <row r="823" ht="14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</row>
    <row r="824" ht="14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</row>
    <row r="825" ht="14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</row>
    <row r="826" ht="14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</row>
    <row r="827" ht="14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</row>
    <row r="828" ht="14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</row>
    <row r="829" ht="14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</row>
    <row r="830" ht="14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</row>
    <row r="831" ht="14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</row>
    <row r="832" ht="14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</row>
    <row r="833" ht="14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</row>
    <row r="834" ht="14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</row>
    <row r="835" ht="14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</row>
    <row r="836" ht="14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</row>
    <row r="837" ht="14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</row>
    <row r="838" ht="14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</row>
    <row r="839" ht="14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</row>
    <row r="840" ht="14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</row>
    <row r="841" ht="14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</row>
    <row r="842" ht="14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</row>
    <row r="843" ht="14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</row>
    <row r="844" ht="14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</row>
    <row r="845" ht="14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</row>
    <row r="846" ht="14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</row>
    <row r="847" ht="14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</row>
    <row r="848" ht="14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</row>
    <row r="849" ht="14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</row>
    <row r="850" ht="14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</row>
    <row r="851" ht="14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</row>
    <row r="852" ht="14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</row>
    <row r="853" ht="14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</row>
    <row r="854" ht="14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</row>
    <row r="855" ht="14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</row>
    <row r="856" ht="14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</row>
    <row r="857" ht="14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</row>
    <row r="858" ht="14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</row>
    <row r="859" ht="14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</row>
    <row r="860" ht="14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</row>
    <row r="861" ht="14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</row>
    <row r="862" ht="14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</row>
    <row r="863" ht="14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</row>
    <row r="864" ht="14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</row>
    <row r="865" ht="14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</row>
    <row r="866" ht="14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</row>
    <row r="867" ht="14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</row>
    <row r="868" ht="14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</row>
    <row r="869" ht="14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</row>
    <row r="870" ht="14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</row>
    <row r="871" ht="14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</row>
    <row r="872" ht="14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</row>
    <row r="873" ht="14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</row>
    <row r="874" ht="14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</row>
    <row r="875" ht="14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</row>
    <row r="876" ht="14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</row>
    <row r="877" ht="14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</row>
    <row r="878" ht="14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</row>
    <row r="879" ht="14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</row>
    <row r="880" ht="14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</row>
    <row r="881" ht="14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</row>
    <row r="882" ht="14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</row>
    <row r="883" ht="14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</row>
    <row r="884" ht="14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</row>
    <row r="885" ht="14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</row>
    <row r="886" ht="14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</row>
    <row r="887" ht="14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</row>
    <row r="888" ht="14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</row>
    <row r="889" ht="14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</row>
    <row r="890" ht="14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</row>
    <row r="891" ht="14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</row>
    <row r="892" ht="14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</row>
    <row r="893" ht="14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</row>
    <row r="894" ht="14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</row>
    <row r="895" ht="14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</row>
    <row r="896" ht="14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</row>
    <row r="897" ht="14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</row>
    <row r="898" ht="14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</row>
    <row r="899" ht="14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</row>
    <row r="900" ht="14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</row>
    <row r="901" ht="14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</row>
    <row r="902" ht="14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</row>
    <row r="903" ht="14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</row>
    <row r="904" ht="14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</row>
    <row r="905" ht="14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</row>
    <row r="906" ht="14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</row>
    <row r="907" ht="14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</row>
    <row r="908" ht="14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</row>
    <row r="909" ht="14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</row>
    <row r="910" ht="14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</row>
    <row r="911" ht="14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</row>
    <row r="912" ht="14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</row>
    <row r="913" ht="14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</row>
    <row r="914" ht="14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</row>
    <row r="915" ht="14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</row>
    <row r="916" ht="14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</row>
    <row r="917" ht="14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</row>
    <row r="918" ht="14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</row>
    <row r="919" ht="14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</row>
    <row r="920" ht="14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</row>
    <row r="921" ht="14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</row>
    <row r="922" ht="14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</row>
    <row r="923" ht="14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</row>
    <row r="924" ht="14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</row>
    <row r="925" ht="14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</row>
    <row r="926" ht="14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</row>
    <row r="927" ht="14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</row>
    <row r="928" ht="14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</row>
    <row r="929" ht="14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</row>
    <row r="930" ht="14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</row>
    <row r="931" ht="14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</row>
    <row r="932" ht="14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</row>
    <row r="933" ht="14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</row>
    <row r="934" ht="14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</row>
    <row r="935" ht="14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</row>
    <row r="936" ht="14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</row>
    <row r="937" ht="14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</row>
    <row r="938" ht="14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</row>
    <row r="939" ht="14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</row>
    <row r="940" ht="14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</row>
    <row r="941" ht="14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</row>
    <row r="942" ht="14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</row>
    <row r="943" ht="14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</row>
    <row r="944" ht="14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</row>
    <row r="945" ht="14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</row>
    <row r="946" ht="14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</row>
    <row r="947" ht="14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</row>
    <row r="948" ht="14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</row>
    <row r="949" ht="14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</row>
    <row r="950" ht="14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</row>
    <row r="951" ht="14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</row>
    <row r="952" ht="14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</row>
    <row r="953" ht="14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</row>
    <row r="954" ht="14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</row>
    <row r="955" ht="14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</row>
    <row r="956" ht="14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</row>
    <row r="957" ht="14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</row>
    <row r="958" ht="14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</row>
    <row r="959" ht="14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</row>
    <row r="960" ht="14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</row>
    <row r="961" ht="14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</row>
    <row r="962" ht="14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</row>
    <row r="963" ht="14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</row>
    <row r="964" ht="14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</row>
    <row r="965" ht="14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</row>
    <row r="966" ht="14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</row>
    <row r="967" ht="14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</row>
    <row r="968" ht="14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</row>
    <row r="969" ht="14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</row>
    <row r="970" ht="14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</row>
    <row r="971" ht="14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</row>
    <row r="972" ht="14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</row>
    <row r="973" ht="14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</row>
    <row r="974" ht="14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</row>
    <row r="975" ht="14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</row>
    <row r="976" ht="14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</row>
    <row r="977" ht="14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</row>
    <row r="978" ht="14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</row>
    <row r="979" ht="14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</row>
    <row r="980" ht="14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</row>
    <row r="981" ht="14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</row>
    <row r="982" ht="14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</row>
    <row r="983" ht="14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</row>
    <row r="984" ht="14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</row>
    <row r="985" ht="14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</row>
    <row r="986" ht="14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</row>
    <row r="987" ht="14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</row>
    <row r="988" ht="14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</row>
    <row r="989" ht="14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</row>
    <row r="990" ht="14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</row>
    <row r="991" ht="14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</row>
    <row r="992" ht="14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</row>
    <row r="993" ht="14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</row>
    <row r="994" ht="14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</row>
    <row r="995" ht="14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</row>
    <row r="996" ht="14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</row>
    <row r="997" ht="14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</row>
    <row r="998" ht="14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</row>
    <row r="999" ht="14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</row>
    <row r="1000" ht="14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</row>
  </sheetData>
  <mergeCells count="23">
    <mergeCell ref="A1:AN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0.75" footer="0.0" header="0.0" left="0.25" right="0.25" top="0.75"/>
  <pageSetup paperSize="9" scale="7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2023-04-13T12:41:28Z</dcterms:created>
  <dc:creator>Microsoft</dc:creator>
</cp:coreProperties>
</file>