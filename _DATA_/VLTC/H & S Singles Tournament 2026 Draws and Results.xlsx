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-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Men Div 5" sheetId="6" r:id="rId9"/>
    <sheet state="visible" name="Players - Ladies" sheetId="7" r:id="rId10"/>
    <sheet state="visible" name="Ladies Div 1" sheetId="8" r:id="rId11"/>
    <sheet state="visible" name="Ladies Div 2" sheetId="9" r:id="rId12"/>
    <sheet state="visible" name="Ladies Div 3" sheetId="10" r:id="rId13"/>
  </sheets>
  <definedNames/>
  <calcPr/>
  <extLst>
    <ext uri="GoogleSheetsCustomDataVersion2">
      <go:sheetsCustomData xmlns:go="http://customooxmlschemas.google.com/" r:id="rId14" roundtripDataChecksum="4k3vSS1+pfbjMOSBVkx3nKGT5laWaKo54L+JvG6BCSA="/>
    </ext>
  </extLst>
</workbook>
</file>

<file path=xl/sharedStrings.xml><?xml version="1.0" encoding="utf-8"?>
<sst xmlns="http://schemas.openxmlformats.org/spreadsheetml/2006/main" count="743" uniqueCount="117">
  <si>
    <t>H &amp; S Singles Tournament 2026</t>
  </si>
  <si>
    <t>Men Division 1</t>
  </si>
  <si>
    <t>Trevor Rutter</t>
  </si>
  <si>
    <t>Jean Attard</t>
  </si>
  <si>
    <t>Josef Cristiano</t>
  </si>
  <si>
    <t>Sebastian Sanchez</t>
  </si>
  <si>
    <t>Jean Carl Azzopardi</t>
  </si>
  <si>
    <t>Karl Debattista</t>
  </si>
  <si>
    <t>Fotios Evangelou</t>
  </si>
  <si>
    <t>Men Division 2 - Group A</t>
  </si>
  <si>
    <t>Men Division 2 - Group B</t>
  </si>
  <si>
    <t>Kristen Cachia</t>
  </si>
  <si>
    <t>Jonathan Martinelli</t>
  </si>
  <si>
    <t>Emman Xuereb</t>
  </si>
  <si>
    <t>Peter Khiev</t>
  </si>
  <si>
    <t>Sandro Pecorella</t>
  </si>
  <si>
    <t>John Mifsud</t>
  </si>
  <si>
    <t>Justin Graeme Christie</t>
  </si>
  <si>
    <t>Luke Genuis</t>
  </si>
  <si>
    <t>Ivan Cassar</t>
  </si>
  <si>
    <t>Tobias Kristensen</t>
  </si>
  <si>
    <t>Jurgen Farrugia</t>
  </si>
  <si>
    <t>Etienne Formosa Carabez</t>
  </si>
  <si>
    <t>Jean Paul Vella</t>
  </si>
  <si>
    <t>Steve Gambin</t>
  </si>
  <si>
    <t>Men Division 3 - Group A</t>
  </si>
  <si>
    <t>Men Division 3 Group B</t>
  </si>
  <si>
    <t>Manuel Mifsud</t>
  </si>
  <si>
    <t>Matthias Sciriha</t>
  </si>
  <si>
    <t>Matthew Caruana</t>
  </si>
  <si>
    <t>Kenneth Farrugia</t>
  </si>
  <si>
    <t>Juan Sammut</t>
  </si>
  <si>
    <t>Simone Re</t>
  </si>
  <si>
    <t>Artiom Kricenko</t>
  </si>
  <si>
    <t>Matthew Micallef</t>
  </si>
  <si>
    <t>Jason Lee Evans</t>
  </si>
  <si>
    <t>Jurgen Cachia</t>
  </si>
  <si>
    <t>Chris Vella</t>
  </si>
  <si>
    <t>Redent Scicluna</t>
  </si>
  <si>
    <t>Men Division 4 - Group A</t>
  </si>
  <si>
    <t>Men Division 4 Group B</t>
  </si>
  <si>
    <t>Clive Silvio Borg</t>
  </si>
  <si>
    <t>David Camilleri</t>
  </si>
  <si>
    <t>Julian Galea Naudi</t>
  </si>
  <si>
    <t>Braydon Galea</t>
  </si>
  <si>
    <t>JP Sciberras</t>
  </si>
  <si>
    <t>Isaac Joseph Zammit</t>
  </si>
  <si>
    <t>Matthias Cremona</t>
  </si>
  <si>
    <t>Daniele Privitera</t>
  </si>
  <si>
    <t>Mickey Mitic</t>
  </si>
  <si>
    <t>Kevin Sciberras</t>
  </si>
  <si>
    <t>Sean Cachia</t>
  </si>
  <si>
    <t>Glenn Micallef</t>
  </si>
  <si>
    <t>Men Division 5</t>
  </si>
  <si>
    <t>Twesigye Twekye</t>
  </si>
  <si>
    <t>Justin Scicluna</t>
  </si>
  <si>
    <t>Frank Agius</t>
  </si>
  <si>
    <t>Chris Boot</t>
  </si>
  <si>
    <t>Oliver Brincat</t>
  </si>
  <si>
    <t>Mark Napier</t>
  </si>
  <si>
    <t>Antoine Bugeja</t>
  </si>
  <si>
    <t>Division 1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</si>
  <si>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</si>
  <si>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</si>
  <si>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</si>
  <si>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</si>
  <si>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</si>
  <si>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</si>
  <si>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</si>
  <si>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</si>
  <si>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</si>
  <si>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</si>
  <si>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</si>
  <si>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</si>
  <si>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</si>
  <si>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</si>
  <si>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</si>
  <si>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</si>
  <si>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</si>
  <si>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</si>
  <si>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Total Games Work</t>
  </si>
  <si>
    <t>Winner</t>
  </si>
  <si>
    <t>vs.</t>
  </si>
  <si>
    <t>Division Winner</t>
  </si>
  <si>
    <t>Division Runner UP</t>
  </si>
  <si>
    <t>Division 2 - Group A</t>
  </si>
  <si>
    <t>Group A Winner</t>
  </si>
  <si>
    <t>Division 2 - Group B</t>
  </si>
  <si>
    <t>Group B Winner</t>
  </si>
  <si>
    <t>Final</t>
  </si>
  <si>
    <t>Divison Winner</t>
  </si>
  <si>
    <t>Divison Runner Up</t>
  </si>
  <si>
    <t>Runner Up Working</t>
  </si>
  <si>
    <t>Runner Up</t>
  </si>
  <si>
    <t>Men Division 3 - Group B</t>
  </si>
  <si>
    <t>w/o</t>
  </si>
  <si>
    <t>Ret</t>
  </si>
  <si>
    <t>Men Division 4 - Group B</t>
  </si>
  <si>
    <t>Ladies Division 1</t>
  </si>
  <si>
    <t>Alison Muscat</t>
  </si>
  <si>
    <t>Giada Sciberras</t>
  </si>
  <si>
    <t>Amanda Falzon</t>
  </si>
  <si>
    <t>Dawn Azzopardi</t>
  </si>
  <si>
    <t>Yanika Pace</t>
  </si>
  <si>
    <t>Ladies Division 2</t>
  </si>
  <si>
    <t>Nancy Wong</t>
  </si>
  <si>
    <t>Tiffany Fenech</t>
  </si>
  <si>
    <t>Maria Angela Gambin</t>
  </si>
  <si>
    <t>Maria Ellul</t>
  </si>
  <si>
    <t>Alida Borg</t>
  </si>
  <si>
    <t>Ladies Division 3</t>
  </si>
  <si>
    <t>Tiziana Spiteri</t>
  </si>
  <si>
    <t>Janice Galea</t>
  </si>
  <si>
    <t>Roberta Grixti</t>
  </si>
  <si>
    <t>Francesca Mamo</t>
  </si>
  <si>
    <t>Karolina Papiernik</t>
  </si>
  <si>
    <t>Division Runner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</si>
</sst>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3">
    <font>
      <sz val="10.0"/>
      <color rgb="FF000000"/>
      <name val="Arial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sz val="12.0"/>
      <color theme="1"/>
      <name val="Calibri"/>
    </font>
    <font>
      <b/>
      <u/>
      <sz val="14.0"/>
      <color theme="1"/>
      <name val="Calibri"/>
    </font>
    <font>
      <sz val="12.0"/>
      <color rgb="FF000000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20.0"/>
      <color theme="1"/>
      <name val="Calibri"/>
    </font>
    <font>
      <b/>
      <u/>
      <sz val="16.0"/>
      <color theme="1"/>
      <name val="Arial"/>
    </font>
    <font/>
    <font>
      <sz val="11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sz val="11.0"/>
      <color rgb="FF000000"/>
      <name val="Calibri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23.0"/>
      <color theme="1"/>
      <name val="Calibri"/>
    </font>
    <font>
      <sz val="10.0"/>
      <color theme="1"/>
      <name val="Calibri"/>
    </font>
    <font>
      <sz val="16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sz val="20.0"/>
      <color rgb="FF000000"/>
      <name val="Arial"/>
    </font>
    <font>
      <b/>
      <u/>
      <sz val="16.0"/>
      <color theme="1"/>
      <name val="Arial"/>
    </font>
    <font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66CC"/>
        <bgColor rgb="FF0066CC"/>
      </patternFill>
    </fill>
    <fill>
      <patternFill patternType="solid">
        <fgColor rgb="FF993366"/>
        <bgColor rgb="FF993366"/>
      </patternFill>
    </fill>
    <fill>
      <patternFill patternType="solid">
        <fgColor rgb="FFFF9966"/>
        <bgColor rgb="FFFF9966"/>
      </patternFill>
    </fill>
    <fill>
      <patternFill patternType="solid">
        <fgColor rgb="FF0CBCB8"/>
        <bgColor rgb="FF0CBCB8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00CC99"/>
        <bgColor rgb="FF00CC99"/>
      </patternFill>
    </fill>
    <fill>
      <patternFill patternType="solid">
        <fgColor rgb="FFFF66FF"/>
        <bgColor rgb="FFFF66FF"/>
      </patternFill>
    </fill>
    <fill>
      <patternFill patternType="solid">
        <fgColor rgb="FF9CC2E5"/>
        <bgColor rgb="FF9CC2E5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vertical="center"/>
    </xf>
    <xf borderId="1" fillId="5" fontId="9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1" fillId="6" fontId="10" numFmtId="0" xfId="0" applyAlignment="1" applyBorder="1" applyFill="1" applyFont="1">
      <alignment horizontal="center" vertical="center"/>
    </xf>
    <xf borderId="2" fillId="7" fontId="11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8" fontId="12" numFmtId="0" xfId="0" applyAlignment="1" applyBorder="1" applyFill="1" applyFont="1">
      <alignment horizontal="center" vertical="center"/>
    </xf>
    <xf borderId="2" fillId="9" fontId="13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1" fillId="10" fontId="1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4" fillId="3" fontId="16" numFmtId="0" xfId="0" applyAlignment="1" applyBorder="1" applyFont="1">
      <alignment horizontal="center" readingOrder="0" shrinkToFit="0" vertical="center" wrapText="1"/>
    </xf>
    <xf borderId="5" fillId="0" fontId="17" numFmtId="0" xfId="0" applyBorder="1" applyFont="1"/>
    <xf borderId="6" fillId="0" fontId="17" numFmtId="0" xfId="0" applyBorder="1" applyFont="1"/>
    <xf borderId="0" fillId="0" fontId="18" numFmtId="0" xfId="0" applyAlignment="1" applyFont="1">
      <alignment horizontal="center" shrinkToFit="0" vertical="center" wrapText="1"/>
    </xf>
    <xf borderId="2" fillId="3" fontId="19" numFmtId="0" xfId="0" applyAlignment="1" applyBorder="1" applyFont="1">
      <alignment horizontal="center" shrinkToFit="0" vertical="center" wrapText="1"/>
    </xf>
    <xf borderId="3" fillId="3" fontId="20" numFmtId="0" xfId="0" applyAlignment="1" applyBorder="1" applyFont="1">
      <alignment horizontal="center" shrinkToFit="0" vertical="center" wrapText="1"/>
    </xf>
    <xf borderId="7" fillId="0" fontId="17" numFmtId="0" xfId="0" applyBorder="1" applyFont="1"/>
    <xf borderId="8" fillId="0" fontId="17" numFmtId="0" xfId="0" applyBorder="1" applyFont="1"/>
    <xf borderId="1" fillId="3" fontId="21" numFmtId="0" xfId="0" applyAlignment="1" applyBorder="1" applyFont="1">
      <alignment horizontal="center" shrinkToFit="0" vertical="center" wrapText="1"/>
    </xf>
    <xf borderId="9" fillId="3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10" fillId="11" fontId="25" numFmtId="0" xfId="0" applyAlignment="1" applyBorder="1" applyFill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1" fillId="11" fontId="26" numFmtId="0" xfId="0" applyAlignment="1" applyBorder="1" applyFont="1">
      <alignment horizontal="center" shrinkToFit="0" vertical="center" wrapText="1"/>
    </xf>
    <xf borderId="2" fillId="11" fontId="27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14" fillId="3" fontId="28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15" fillId="0" fontId="18" numFmtId="0" xfId="0" applyAlignment="1" applyBorder="1" applyFont="1">
      <alignment horizontal="center" shrinkToFit="0" vertical="center" wrapText="1"/>
    </xf>
    <xf borderId="16" fillId="0" fontId="17" numFmtId="0" xfId="0" applyBorder="1" applyFont="1"/>
    <xf borderId="0" fillId="0" fontId="18" numFmtId="0" xfId="0" applyAlignment="1" applyFont="1">
      <alignment shrinkToFit="0" vertical="center" wrapText="1"/>
    </xf>
    <xf borderId="17" fillId="0" fontId="18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18" fillId="0" fontId="24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/>
    </xf>
    <xf borderId="3" fillId="3" fontId="30" numFmtId="0" xfId="0" applyAlignment="1" applyBorder="1" applyFont="1">
      <alignment horizontal="center" shrinkToFit="0" vertical="center" wrapText="1"/>
    </xf>
    <xf borderId="14" fillId="3" fontId="31" numFmtId="0" xfId="0" applyAlignment="1" applyBorder="1" applyFont="1">
      <alignment horizontal="center"/>
    </xf>
    <xf borderId="3" fillId="0" fontId="32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4" fillId="12" fontId="35" numFmtId="0" xfId="0" applyAlignment="1" applyBorder="1" applyFill="1" applyFont="1">
      <alignment horizontal="center" shrinkToFit="0" vertical="center" wrapText="1"/>
    </xf>
    <xf borderId="2" fillId="12" fontId="36" numFmtId="0" xfId="0" applyAlignment="1" applyBorder="1" applyFont="1">
      <alignment horizontal="center" shrinkToFit="0" vertical="center" wrapText="1"/>
    </xf>
    <xf borderId="3" fillId="12" fontId="37" numFmtId="0" xfId="0" applyAlignment="1" applyBorder="1" applyFont="1">
      <alignment horizontal="center" shrinkToFit="0" vertical="center" wrapText="1"/>
    </xf>
    <xf borderId="1" fillId="13" fontId="21" numFmtId="0" xfId="0" applyAlignment="1" applyBorder="1" applyFill="1" applyFont="1">
      <alignment horizontal="center" shrinkToFit="0" vertical="center" wrapText="1"/>
    </xf>
    <xf borderId="19" fillId="0" fontId="38" numFmtId="0" xfId="0" applyAlignment="1" applyBorder="1" applyFont="1">
      <alignment horizontal="center" shrinkToFit="0" vertical="center" wrapText="1"/>
    </xf>
    <xf borderId="12" fillId="14" fontId="18" numFmtId="0" xfId="0" applyAlignment="1" applyBorder="1" applyFill="1" applyFont="1">
      <alignment horizontal="center" shrinkToFit="0" vertical="center" wrapText="1"/>
    </xf>
    <xf borderId="2" fillId="14" fontId="24" numFmtId="0" xfId="0" applyAlignment="1" applyBorder="1" applyFont="1">
      <alignment horizontal="center" readingOrder="0" shrinkToFit="0" vertical="center" wrapText="1"/>
    </xf>
    <xf borderId="13" fillId="14" fontId="18" numFmtId="0" xfId="0" applyAlignment="1" applyBorder="1" applyFont="1">
      <alignment horizontal="center" shrinkToFit="0" vertical="center" wrapText="1"/>
    </xf>
    <xf borderId="13" fillId="14" fontId="24" numFmtId="0" xfId="0" applyAlignment="1" applyBorder="1" applyFont="1">
      <alignment horizontal="center" shrinkToFit="0" vertical="center" wrapText="1"/>
    </xf>
    <xf borderId="2" fillId="14" fontId="24" numFmtId="0" xfId="0" applyAlignment="1" applyBorder="1" applyFont="1">
      <alignment horizontal="center" shrinkToFit="0" vertical="center" wrapText="1"/>
    </xf>
    <xf borderId="14" fillId="12" fontId="39" numFmtId="0" xfId="0" applyAlignment="1" applyBorder="1" applyFont="1">
      <alignment horizontal="center" shrinkToFit="0" vertical="center" wrapText="1"/>
    </xf>
    <xf borderId="15" fillId="14" fontId="18" numFmtId="0" xfId="0" applyAlignment="1" applyBorder="1" applyFont="1">
      <alignment horizontal="center" shrinkToFit="0" vertical="center" wrapText="1"/>
    </xf>
    <xf borderId="17" fillId="14" fontId="18" numFmtId="0" xfId="0" applyAlignment="1" applyBorder="1" applyFont="1">
      <alignment horizontal="center" shrinkToFit="0" vertical="center" wrapText="1"/>
    </xf>
    <xf borderId="18" fillId="14" fontId="18" numFmtId="0" xfId="0" applyAlignment="1" applyBorder="1" applyFont="1">
      <alignment horizontal="center" shrinkToFit="0" vertical="center" wrapText="1"/>
    </xf>
    <xf borderId="18" fillId="14" fontId="24" numFmtId="0" xfId="0" applyAlignment="1" applyBorder="1" applyFont="1">
      <alignment horizontal="center" shrinkToFit="0" vertical="center" wrapText="1"/>
    </xf>
    <xf borderId="7" fillId="14" fontId="24" numFmtId="0" xfId="0" applyAlignment="1" applyBorder="1" applyFont="1">
      <alignment horizontal="center" shrinkToFit="0" vertical="center" wrapText="1"/>
    </xf>
    <xf borderId="8" fillId="14" fontId="24" numFmtId="0" xfId="0" applyAlignment="1" applyBorder="1" applyFont="1">
      <alignment horizontal="center" shrinkToFit="0" vertical="center" wrapText="1"/>
    </xf>
    <xf borderId="3" fillId="12" fontId="40" numFmtId="0" xfId="0" applyAlignment="1" applyBorder="1" applyFont="1">
      <alignment horizontal="center" shrinkToFit="0" vertical="center" wrapText="1"/>
    </xf>
    <xf borderId="4" fillId="5" fontId="41" numFmtId="0" xfId="0" applyAlignment="1" applyBorder="1" applyFont="1">
      <alignment horizontal="center" shrinkToFit="0" vertical="center" wrapText="1"/>
    </xf>
    <xf borderId="2" fillId="5" fontId="42" numFmtId="0" xfId="0" applyAlignment="1" applyBorder="1" applyFont="1">
      <alignment horizontal="center" shrinkToFit="0" vertical="center" wrapText="1"/>
    </xf>
    <xf borderId="3" fillId="5" fontId="43" numFmtId="0" xfId="0" applyAlignment="1" applyBorder="1" applyFont="1">
      <alignment horizontal="center" shrinkToFit="0" vertical="center" wrapText="1"/>
    </xf>
    <xf borderId="1" fillId="6" fontId="24" numFmtId="0" xfId="0" applyAlignment="1" applyBorder="1" applyFont="1">
      <alignment horizontal="center" shrinkToFit="0" vertical="center" wrapText="1"/>
    </xf>
    <xf borderId="14" fillId="5" fontId="44" numFmtId="0" xfId="0" applyAlignment="1" applyBorder="1" applyFont="1">
      <alignment horizontal="center" shrinkToFit="0" vertical="center" wrapText="1"/>
    </xf>
    <xf borderId="3" fillId="5" fontId="45" numFmtId="0" xfId="0" applyAlignment="1" applyBorder="1" applyFont="1">
      <alignment horizontal="center" shrinkToFit="0" vertical="center" wrapText="1"/>
    </xf>
    <xf borderId="3" fillId="15" fontId="46" numFmtId="0" xfId="0" applyAlignment="1" applyBorder="1" applyFill="1" applyFont="1">
      <alignment horizontal="center" shrinkToFit="0" vertical="center" wrapText="1"/>
    </xf>
    <xf borderId="20" fillId="0" fontId="17" numFmtId="0" xfId="0" applyBorder="1" applyFont="1"/>
    <xf borderId="2" fillId="15" fontId="47" numFmtId="0" xfId="0" applyAlignment="1" applyBorder="1" applyFont="1">
      <alignment horizontal="center" shrinkToFit="0" vertical="center" wrapText="1"/>
    </xf>
    <xf borderId="1" fillId="16" fontId="18" numFmtId="0" xfId="0" applyAlignment="1" applyBorder="1" applyFill="1" applyFont="1">
      <alignment horizontal="center" shrinkToFit="0" vertical="center" wrapText="1"/>
    </xf>
    <xf borderId="9" fillId="16" fontId="48" numFmtId="0" xfId="0" applyAlignment="1" applyBorder="1" applyFont="1">
      <alignment horizontal="center" shrinkToFit="0" vertical="center" wrapText="1"/>
    </xf>
    <xf borderId="17" fillId="0" fontId="49" numFmtId="0" xfId="0" applyAlignment="1" applyBorder="1" applyFont="1">
      <alignment horizontal="center" shrinkToFit="0" vertical="center" wrapText="1"/>
    </xf>
    <xf borderId="18" fillId="0" fontId="17" numFmtId="0" xfId="0" applyBorder="1" applyFont="1"/>
    <xf borderId="21" fillId="0" fontId="17" numFmtId="0" xfId="0" applyBorder="1" applyFont="1"/>
    <xf borderId="4" fillId="6" fontId="50" numFmtId="0" xfId="0" applyAlignment="1" applyBorder="1" applyFont="1">
      <alignment horizontal="center" shrinkToFit="0" vertical="center" wrapText="1"/>
    </xf>
    <xf borderId="2" fillId="6" fontId="51" numFmtId="0" xfId="0" applyAlignment="1" applyBorder="1" applyFont="1">
      <alignment horizontal="center" shrinkToFit="0" vertical="center" wrapText="1"/>
    </xf>
    <xf borderId="3" fillId="6" fontId="52" numFmtId="0" xfId="0" applyAlignment="1" applyBorder="1" applyFont="1">
      <alignment horizontal="center" shrinkToFit="0" vertical="center" wrapText="1"/>
    </xf>
    <xf borderId="14" fillId="6" fontId="53" numFmtId="0" xfId="0" applyAlignment="1" applyBorder="1" applyFont="1">
      <alignment horizontal="center" shrinkToFit="0" vertical="center" wrapText="1"/>
    </xf>
    <xf borderId="3" fillId="6" fontId="54" numFmtId="0" xfId="0" applyAlignment="1" applyBorder="1" applyFont="1">
      <alignment horizontal="center" shrinkToFit="0" vertical="center" wrapText="1"/>
    </xf>
    <xf borderId="4" fillId="17" fontId="55" numFmtId="0" xfId="0" applyAlignment="1" applyBorder="1" applyFill="1" applyFont="1">
      <alignment horizontal="center" shrinkToFit="0" vertical="center" wrapText="1"/>
    </xf>
    <xf borderId="2" fillId="17" fontId="56" numFmtId="0" xfId="0" applyAlignment="1" applyBorder="1" applyFont="1">
      <alignment horizontal="center" shrinkToFit="0" vertical="center" wrapText="1"/>
    </xf>
    <xf borderId="3" fillId="17" fontId="57" numFmtId="0" xfId="0" applyAlignment="1" applyBorder="1" applyFont="1">
      <alignment horizontal="center" shrinkToFit="0" vertical="center" wrapText="1"/>
    </xf>
    <xf borderId="14" fillId="17" fontId="5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3" fillId="17" fontId="59" numFmtId="0" xfId="0" applyAlignment="1" applyBorder="1" applyFont="1">
      <alignment horizontal="center" shrinkToFit="0" vertical="center" wrapText="1"/>
    </xf>
    <xf borderId="4" fillId="8" fontId="60" numFmtId="0" xfId="0" applyAlignment="1" applyBorder="1" applyFont="1">
      <alignment horizontal="center" shrinkToFit="0" vertical="center" wrapText="1"/>
    </xf>
    <xf borderId="2" fillId="8" fontId="61" numFmtId="0" xfId="0" applyAlignment="1" applyBorder="1" applyFont="1">
      <alignment horizontal="center" shrinkToFit="0" vertical="center" wrapText="1"/>
    </xf>
    <xf borderId="3" fillId="8" fontId="62" numFmtId="0" xfId="0" applyAlignment="1" applyBorder="1" applyFont="1">
      <alignment horizontal="center" shrinkToFit="0" vertical="center" wrapText="1"/>
    </xf>
    <xf borderId="14" fillId="8" fontId="63" numFmtId="0" xfId="0" applyAlignment="1" applyBorder="1" applyFont="1">
      <alignment horizontal="center" shrinkToFit="0" vertical="center" wrapText="1"/>
    </xf>
    <xf borderId="3" fillId="8" fontId="64" numFmtId="0" xfId="0" applyAlignment="1" applyBorder="1" applyFont="1">
      <alignment horizontal="center" shrinkToFit="0" vertical="center" wrapText="1"/>
    </xf>
    <xf borderId="4" fillId="9" fontId="65" numFmtId="0" xfId="0" applyAlignment="1" applyBorder="1" applyFont="1">
      <alignment horizontal="center" shrinkToFit="0" vertical="center" wrapText="1"/>
    </xf>
    <xf borderId="2" fillId="9" fontId="66" numFmtId="0" xfId="0" applyAlignment="1" applyBorder="1" applyFont="1">
      <alignment horizontal="center" shrinkToFit="0" vertical="center" wrapText="1"/>
    </xf>
    <xf borderId="3" fillId="9" fontId="67" numFmtId="0" xfId="0" applyAlignment="1" applyBorder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vertical="center" wrapText="1"/>
    </xf>
    <xf borderId="9" fillId="9" fontId="68" numFmtId="0" xfId="0" applyAlignment="1" applyBorder="1" applyFont="1">
      <alignment horizontal="center" shrinkToFit="0" vertical="center" wrapText="1"/>
    </xf>
    <xf borderId="1" fillId="9" fontId="24" numFmtId="0" xfId="0" applyAlignment="1" applyBorder="1" applyFont="1">
      <alignment horizontal="center" shrinkToFit="0" vertical="center" wrapText="1"/>
    </xf>
    <xf borderId="14" fillId="9" fontId="69" numFmtId="0" xfId="0" applyAlignment="1" applyBorder="1" applyFont="1">
      <alignment horizontal="center" shrinkToFit="0" vertical="center" wrapText="1"/>
    </xf>
    <xf borderId="4" fillId="10" fontId="70" numFmtId="0" xfId="0" applyAlignment="1" applyBorder="1" applyFont="1">
      <alignment horizontal="center" readingOrder="0" shrinkToFit="0" vertical="center" wrapText="1"/>
    </xf>
    <xf borderId="2" fillId="10" fontId="71" numFmtId="0" xfId="0" applyAlignment="1" applyBorder="1" applyFont="1">
      <alignment horizontal="center" shrinkToFit="0" vertical="center" wrapText="1"/>
    </xf>
    <xf borderId="3" fillId="10" fontId="72" numFmtId="0" xfId="0" applyAlignment="1" applyBorder="1" applyFont="1">
      <alignment horizontal="center" shrinkToFit="0" vertical="center" wrapText="1"/>
    </xf>
    <xf borderId="1" fillId="13" fontId="18" numFmtId="0" xfId="0" applyAlignment="1" applyBorder="1" applyFont="1">
      <alignment horizontal="center" shrinkToFit="0" vertical="center" wrapText="1"/>
    </xf>
    <xf borderId="19" fillId="0" fontId="73" numFmtId="0" xfId="0" applyAlignment="1" applyBorder="1" applyFont="1">
      <alignment horizontal="center" shrinkToFit="0" vertical="center" wrapText="1"/>
    </xf>
    <xf borderId="14" fillId="10" fontId="74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2" fillId="0" fontId="29" numFmtId="0" xfId="0" applyAlignment="1" applyBorder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center" wrapText="1"/>
    </xf>
    <xf borderId="0" fillId="0" fontId="75" numFmtId="0" xfId="0" applyAlignment="1" applyFont="1">
      <alignment horizontal="center" vertical="center"/>
    </xf>
    <xf borderId="0" fillId="0" fontId="76" numFmtId="0" xfId="0" applyAlignment="1" applyFont="1">
      <alignment horizontal="center" vertical="center"/>
    </xf>
    <xf borderId="0" fillId="0" fontId="77" numFmtId="0" xfId="0" applyAlignment="1" applyFont="1">
      <alignment horizontal="center" vertical="center"/>
    </xf>
    <xf borderId="9" fillId="14" fontId="78" numFmtId="0" xfId="0" applyAlignment="1" applyBorder="1" applyFont="1">
      <alignment horizontal="center" vertical="center"/>
    </xf>
    <xf borderId="9" fillId="18" fontId="79" numFmtId="0" xfId="0" applyAlignment="1" applyBorder="1" applyFill="1" applyFont="1">
      <alignment horizontal="center" vertical="center"/>
    </xf>
    <xf borderId="9" fillId="19" fontId="80" numFmtId="0" xfId="0" applyAlignment="1" applyBorder="1" applyFill="1" applyFont="1">
      <alignment horizontal="center"/>
    </xf>
    <xf borderId="0" fillId="0" fontId="81" numFmtId="0" xfId="0" applyFont="1"/>
    <xf borderId="4" fillId="14" fontId="82" numFmtId="0" xfId="0" applyAlignment="1" applyBorder="1" applyFont="1">
      <alignment horizontal="center" shrinkToFit="0" vertical="center" wrapText="1"/>
    </xf>
    <xf borderId="0" fillId="0" fontId="83" numFmtId="0" xfId="0" applyAlignment="1" applyFont="1">
      <alignment horizontal="center" shrinkToFit="0" vertical="center" wrapText="1"/>
    </xf>
    <xf borderId="2" fillId="14" fontId="84" numFmtId="0" xfId="0" applyAlignment="1" applyBorder="1" applyFont="1">
      <alignment horizontal="center" shrinkToFit="0" vertical="center" wrapText="1"/>
    </xf>
    <xf borderId="3" fillId="14" fontId="85" numFmtId="0" xfId="0" applyAlignment="1" applyBorder="1" applyFont="1">
      <alignment horizontal="center" shrinkToFit="0" vertical="center" wrapText="1"/>
    </xf>
    <xf borderId="1" fillId="20" fontId="21" numFmtId="0" xfId="0" applyAlignment="1" applyBorder="1" applyFill="1" applyFont="1">
      <alignment horizontal="center" shrinkToFit="0" vertical="center" wrapText="1"/>
    </xf>
    <xf borderId="14" fillId="14" fontId="86" numFmtId="0" xfId="0" applyAlignment="1" applyBorder="1" applyFont="1">
      <alignment horizontal="center" shrinkToFit="0" vertical="center" wrapText="1"/>
    </xf>
    <xf borderId="3" fillId="14" fontId="87" numFmtId="0" xfId="0" applyAlignment="1" applyBorder="1" applyFont="1">
      <alignment horizontal="center" shrinkToFit="0" vertical="center" wrapText="1"/>
    </xf>
    <xf borderId="4" fillId="18" fontId="88" numFmtId="0" xfId="0" applyAlignment="1" applyBorder="1" applyFont="1">
      <alignment horizontal="center" shrinkToFit="0" vertical="center" wrapText="1"/>
    </xf>
    <xf borderId="2" fillId="18" fontId="89" numFmtId="0" xfId="0" applyAlignment="1" applyBorder="1" applyFont="1">
      <alignment horizontal="center" shrinkToFit="0" vertical="center" wrapText="1"/>
    </xf>
    <xf borderId="3" fillId="18" fontId="90" numFmtId="0" xfId="0" applyAlignment="1" applyBorder="1" applyFont="1">
      <alignment horizontal="center" shrinkToFit="0" vertical="center" wrapText="1"/>
    </xf>
    <xf borderId="1" fillId="18" fontId="21" numFmtId="0" xfId="0" applyAlignment="1" applyBorder="1" applyFont="1">
      <alignment horizontal="center" shrinkToFit="0" vertical="center" wrapText="1"/>
    </xf>
    <xf borderId="22" fillId="11" fontId="91" numFmtId="0" xfId="0" applyAlignment="1" applyBorder="1" applyFont="1">
      <alignment horizontal="center" shrinkToFit="0" vertical="center" wrapText="1"/>
    </xf>
    <xf borderId="14" fillId="18" fontId="92" numFmtId="0" xfId="0" applyAlignment="1" applyBorder="1" applyFont="1">
      <alignment horizontal="center" shrinkToFit="0" vertical="center" wrapText="1"/>
    </xf>
    <xf borderId="3" fillId="18" fontId="93" numFmtId="0" xfId="0" applyAlignment="1" applyBorder="1" applyFont="1">
      <alignment horizontal="center" shrinkToFit="0" vertical="center" wrapText="1"/>
    </xf>
    <xf borderId="4" fillId="19" fontId="94" numFmtId="0" xfId="0" applyAlignment="1" applyBorder="1" applyFont="1">
      <alignment horizontal="center" vertical="center"/>
    </xf>
    <xf borderId="2" fillId="19" fontId="95" numFmtId="0" xfId="0" applyAlignment="1" applyBorder="1" applyFont="1">
      <alignment horizontal="center" vertical="center"/>
    </xf>
    <xf borderId="3" fillId="19" fontId="96" numFmtId="0" xfId="0" applyAlignment="1" applyBorder="1" applyFont="1">
      <alignment horizontal="center" vertical="center"/>
    </xf>
    <xf borderId="1" fillId="21" fontId="21" numFmtId="0" xfId="0" applyAlignment="1" applyBorder="1" applyFill="1" applyFont="1">
      <alignment horizontal="center" shrinkToFit="0" vertical="center" wrapText="1"/>
    </xf>
    <xf borderId="0" fillId="16" fontId="97" numFmtId="0" xfId="0" applyAlignment="1" applyFont="1">
      <alignment horizontal="center" vertical="center"/>
    </xf>
    <xf borderId="2" fillId="0" fontId="98" numFmtId="0" xfId="0" applyAlignment="1" applyBorder="1" applyFont="1">
      <alignment horizontal="center"/>
    </xf>
    <xf borderId="2" fillId="19" fontId="99" numFmtId="0" xfId="0" applyAlignment="1" applyBorder="1" applyFont="1">
      <alignment horizontal="center" shrinkToFit="0" vertical="center" wrapText="1"/>
    </xf>
    <xf borderId="23" fillId="11" fontId="100" numFmtId="0" xfId="0" applyAlignment="1" applyBorder="1" applyFont="1">
      <alignment horizontal="center" shrinkToFit="0" vertical="center" wrapText="1"/>
    </xf>
    <xf borderId="14" fillId="19" fontId="101" numFmtId="0" xfId="0" applyAlignment="1" applyBorder="1" applyFont="1">
      <alignment horizontal="center" shrinkToFit="0" vertical="center" wrapText="1"/>
    </xf>
    <xf borderId="3" fillId="19" fontId="10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3638550</xdr:colOff>
      <xdr:row>0</xdr:row>
      <xdr:rowOff>0</xdr:rowOff>
    </xdr:from>
    <xdr:ext cx="723900" cy="657225"/>
    <xdr:pic>
      <xdr:nvPicPr>
        <xdr:cNvPr descr="No photo description available."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581025" cy="57150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76200</xdr:rowOff>
    </xdr:from>
    <xdr:ext cx="581025" cy="571500"/>
    <xdr:pic>
      <xdr:nvPicPr>
        <xdr:cNvPr descr="A logo of a tennis club&#10;&#10;Description automatically generated"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590550</xdr:colOff>
      <xdr:row>0</xdr:row>
      <xdr:rowOff>0</xdr:rowOff>
    </xdr:from>
    <xdr:ext cx="781050" cy="723900"/>
    <xdr:pic>
      <xdr:nvPicPr>
        <xdr:cNvPr descr="No photo description available.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76200</xdr:rowOff>
    </xdr:from>
    <xdr:ext cx="5810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409575</xdr:colOff>
      <xdr:row>0</xdr:row>
      <xdr:rowOff>0</xdr:rowOff>
    </xdr:from>
    <xdr:ext cx="781050" cy="7239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76200</xdr:rowOff>
    </xdr:from>
    <xdr:ext cx="5810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561975</xdr:colOff>
      <xdr:row>0</xdr:row>
      <xdr:rowOff>0</xdr:rowOff>
    </xdr:from>
    <xdr:ext cx="781050" cy="7239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76200</xdr:rowOff>
    </xdr:from>
    <xdr:ext cx="5810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523875</xdr:colOff>
      <xdr:row>0</xdr:row>
      <xdr:rowOff>0</xdr:rowOff>
    </xdr:from>
    <xdr:ext cx="781050" cy="7239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76200</xdr:rowOff>
    </xdr:from>
    <xdr:ext cx="590550" cy="571500"/>
    <xdr:pic>
      <xdr:nvPicPr>
        <xdr:cNvPr descr="A logo of a tennis club&#10;&#10;Description automatically generated"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790575" cy="723900"/>
    <xdr:pic>
      <xdr:nvPicPr>
        <xdr:cNvPr descr="No photo description available.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581025" cy="5715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1800225</xdr:colOff>
      <xdr:row>0</xdr:row>
      <xdr:rowOff>28575</xdr:rowOff>
    </xdr:from>
    <xdr:ext cx="723900" cy="657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47625</xdr:rowOff>
    </xdr:from>
    <xdr:ext cx="647700" cy="647700"/>
    <xdr:pic>
      <xdr:nvPicPr>
        <xdr:cNvPr descr="A logo of a tennis club&#10;&#10;Description automatically generated"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485775</xdr:colOff>
      <xdr:row>0</xdr:row>
      <xdr:rowOff>0</xdr:rowOff>
    </xdr:from>
    <xdr:ext cx="790575" cy="733425"/>
    <xdr:pic>
      <xdr:nvPicPr>
        <xdr:cNvPr descr="No photo description available.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47625</xdr:rowOff>
    </xdr:from>
    <xdr:ext cx="647700" cy="6477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504825</xdr:colOff>
      <xdr:row>0</xdr:row>
      <xdr:rowOff>0</xdr:rowOff>
    </xdr:from>
    <xdr:ext cx="790575" cy="7334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38100</xdr:rowOff>
    </xdr:from>
    <xdr:ext cx="647700" cy="6477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466725</xdr:colOff>
      <xdr:row>0</xdr:row>
      <xdr:rowOff>0</xdr:rowOff>
    </xdr:from>
    <xdr:ext cx="790575" cy="7334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58.0"/>
    <col customWidth="1" min="3" max="4" width="9.13"/>
    <col customWidth="1" min="5" max="5" width="58.0"/>
    <col customWidth="1" min="6" max="7" width="9.13"/>
    <col customWidth="1" min="8" max="8" width="20.38"/>
    <col customWidth="1" min="9" max="25" width="9.13"/>
    <col customWidth="1" min="26" max="35" width="8.6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5.0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15.0" customHeight="1"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5.0" customHeight="1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5.0" customHeight="1">
      <c r="A5" s="5"/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5"/>
      <c r="B6" s="6" t="s">
        <v>1</v>
      </c>
      <c r="C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5.0" customHeight="1">
      <c r="A7" s="7">
        <v>1.0</v>
      </c>
      <c r="B7" s="8" t="s">
        <v>2</v>
      </c>
      <c r="C7" s="5"/>
      <c r="F7" s="4"/>
      <c r="G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15.0" customHeight="1">
      <c r="A8" s="7">
        <v>2.0</v>
      </c>
      <c r="B8" s="9" t="s">
        <v>3</v>
      </c>
      <c r="C8" s="5"/>
      <c r="F8" s="4"/>
      <c r="G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5.0" customHeight="1">
      <c r="A9" s="7">
        <v>3.0</v>
      </c>
      <c r="B9" s="9" t="s">
        <v>4</v>
      </c>
      <c r="C9" s="5"/>
      <c r="F9" s="4"/>
      <c r="G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5.0" customHeight="1">
      <c r="A10" s="7">
        <v>4.0</v>
      </c>
      <c r="B10" s="9" t="s">
        <v>5</v>
      </c>
      <c r="C10" s="5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5.0" customHeight="1">
      <c r="A11" s="7">
        <v>5.0</v>
      </c>
      <c r="B11" s="8" t="s">
        <v>6</v>
      </c>
      <c r="C11" s="5"/>
      <c r="F11" s="4"/>
      <c r="G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5.0" customHeight="1">
      <c r="A12" s="7">
        <v>6.0</v>
      </c>
      <c r="B12" s="8" t="s">
        <v>7</v>
      </c>
      <c r="C12" s="5"/>
      <c r="F12" s="4"/>
      <c r="G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5.0" customHeight="1">
      <c r="A13" s="7">
        <v>7.0</v>
      </c>
      <c r="B13" s="8" t="s">
        <v>8</v>
      </c>
      <c r="C13" s="5"/>
      <c r="D13" s="5"/>
      <c r="E13" s="10"/>
      <c r="F13" s="4"/>
      <c r="G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5.0" customHeight="1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A15" s="5"/>
      <c r="B15" s="11" t="s">
        <v>9</v>
      </c>
      <c r="C15" s="5"/>
      <c r="D15" s="5"/>
      <c r="E15" s="12" t="s">
        <v>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5.0" customHeight="1">
      <c r="A16" s="7">
        <v>1.0</v>
      </c>
      <c r="B16" s="8" t="s">
        <v>11</v>
      </c>
      <c r="C16" s="13"/>
      <c r="D16" s="7">
        <v>1.0</v>
      </c>
      <c r="E16" s="14" t="s">
        <v>12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5.0" customHeight="1">
      <c r="A17" s="7">
        <v>2.0</v>
      </c>
      <c r="B17" s="15" t="s">
        <v>13</v>
      </c>
      <c r="C17" s="5"/>
      <c r="D17" s="7">
        <v>2.0</v>
      </c>
      <c r="E17" s="9" t="s">
        <v>14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5.0" customHeight="1">
      <c r="A18" s="7">
        <v>3.0</v>
      </c>
      <c r="B18" s="9" t="s">
        <v>15</v>
      </c>
      <c r="C18" s="5"/>
      <c r="D18" s="7">
        <v>3.0</v>
      </c>
      <c r="E18" s="15" t="s">
        <v>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5.0" customHeight="1">
      <c r="A19" s="7">
        <v>4.0</v>
      </c>
      <c r="B19" s="8" t="s">
        <v>17</v>
      </c>
      <c r="C19" s="5"/>
      <c r="D19" s="7">
        <v>4.0</v>
      </c>
      <c r="E19" s="9" t="s">
        <v>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5.0" customHeight="1">
      <c r="A20" s="7">
        <v>5.0</v>
      </c>
      <c r="B20" s="8" t="s">
        <v>19</v>
      </c>
      <c r="C20" s="5"/>
      <c r="D20" s="7">
        <v>5.0</v>
      </c>
      <c r="E20" s="8" t="s">
        <v>20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5.0" customHeight="1">
      <c r="A21" s="7">
        <v>6.0</v>
      </c>
      <c r="B21" s="9" t="s">
        <v>21</v>
      </c>
      <c r="C21" s="5"/>
      <c r="D21" s="7">
        <v>6.0</v>
      </c>
      <c r="E21" s="8" t="s">
        <v>22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5.0" customHeight="1">
      <c r="A22" s="7">
        <v>7.0</v>
      </c>
      <c r="B22" s="9" t="s">
        <v>23</v>
      </c>
      <c r="C22" s="5"/>
      <c r="D22" s="7">
        <v>7.0</v>
      </c>
      <c r="E22" s="9" t="s">
        <v>24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5.0" customHeight="1">
      <c r="A23" s="5"/>
      <c r="B23" s="5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>
      <c r="A24" s="5"/>
      <c r="B24" s="16" t="s">
        <v>25</v>
      </c>
      <c r="C24" s="5"/>
      <c r="D24" s="5"/>
      <c r="E24" s="17" t="s">
        <v>26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5.0" customHeight="1">
      <c r="A25" s="18">
        <v>1.0</v>
      </c>
      <c r="B25" s="9" t="s">
        <v>27</v>
      </c>
      <c r="C25" s="5"/>
      <c r="D25" s="7">
        <v>1.0</v>
      </c>
      <c r="E25" s="9" t="s">
        <v>28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5.0" customHeight="1">
      <c r="A26" s="18">
        <v>2.0</v>
      </c>
      <c r="B26" s="8" t="s">
        <v>29</v>
      </c>
      <c r="C26" s="5"/>
      <c r="D26" s="7">
        <v>2.0</v>
      </c>
      <c r="E26" s="9" t="s">
        <v>30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5.0" customHeight="1">
      <c r="A27" s="18">
        <v>3.0</v>
      </c>
      <c r="B27" s="8" t="s">
        <v>31</v>
      </c>
      <c r="C27" s="5"/>
      <c r="D27" s="7">
        <v>3.0</v>
      </c>
      <c r="E27" s="8" t="s">
        <v>32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5.0" customHeight="1">
      <c r="A28" s="18">
        <v>4.0</v>
      </c>
      <c r="B28" s="9" t="s">
        <v>33</v>
      </c>
      <c r="C28" s="5"/>
      <c r="D28" s="7">
        <v>4.0</v>
      </c>
      <c r="E28" s="8" t="s">
        <v>34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5.0" customHeight="1">
      <c r="A29" s="18">
        <v>5.0</v>
      </c>
      <c r="B29" s="8" t="s">
        <v>35</v>
      </c>
      <c r="C29" s="5"/>
      <c r="D29" s="7">
        <v>5.0</v>
      </c>
      <c r="E29" s="8" t="s">
        <v>36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5.0" customHeight="1">
      <c r="A30" s="18">
        <v>6.0</v>
      </c>
      <c r="B30" s="8" t="s">
        <v>37</v>
      </c>
      <c r="C30" s="5"/>
      <c r="D30" s="7">
        <v>6.0</v>
      </c>
      <c r="E30" s="8" t="s">
        <v>38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5.0" customHeight="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5"/>
      <c r="B32" s="19" t="s">
        <v>39</v>
      </c>
      <c r="C32" s="5"/>
      <c r="E32" s="20" t="s">
        <v>40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5.0" customHeight="1">
      <c r="A33" s="18">
        <v>1.0</v>
      </c>
      <c r="B33" s="9" t="s">
        <v>41</v>
      </c>
      <c r="C33" s="5"/>
      <c r="D33" s="7">
        <v>1.0</v>
      </c>
      <c r="E33" s="8" t="s">
        <v>42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5.0" customHeight="1">
      <c r="A34" s="18">
        <v>2.0</v>
      </c>
      <c r="B34" s="9" t="s">
        <v>43</v>
      </c>
      <c r="C34" s="5"/>
      <c r="D34" s="7">
        <v>2.0</v>
      </c>
      <c r="E34" s="21" t="s">
        <v>44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5.0" customHeight="1">
      <c r="A35" s="18">
        <v>3.0</v>
      </c>
      <c r="B35" s="8" t="s">
        <v>45</v>
      </c>
      <c r="C35" s="5"/>
      <c r="D35" s="7">
        <v>3.0</v>
      </c>
      <c r="E35" s="9" t="s">
        <v>46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5.0" customHeight="1">
      <c r="A36" s="18">
        <v>4.0</v>
      </c>
      <c r="B36" s="9" t="s">
        <v>47</v>
      </c>
      <c r="C36" s="5"/>
      <c r="D36" s="7">
        <v>4.0</v>
      </c>
      <c r="E36" s="9" t="s">
        <v>48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18">
        <v>5.0</v>
      </c>
      <c r="B37" s="9" t="s">
        <v>49</v>
      </c>
      <c r="C37" s="5"/>
      <c r="D37" s="7">
        <v>5.0</v>
      </c>
      <c r="E37" s="8" t="s">
        <v>50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18">
        <v>6.0</v>
      </c>
      <c r="B38" s="8" t="s">
        <v>51</v>
      </c>
      <c r="C38" s="5"/>
      <c r="D38" s="7">
        <v>6.0</v>
      </c>
      <c r="E38" s="8" t="s">
        <v>52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5.0" customHeight="1">
      <c r="A39" s="5"/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5"/>
      <c r="B41" s="22" t="s">
        <v>53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7">
        <v>1.0</v>
      </c>
      <c r="B42" s="15" t="s">
        <v>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7">
        <v>2.0</v>
      </c>
      <c r="B43" s="9" t="s">
        <v>55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7">
        <v>3.0</v>
      </c>
      <c r="B44" s="9" t="s">
        <v>56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7">
        <v>4.0</v>
      </c>
      <c r="B45" s="9" t="s">
        <v>57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7">
        <v>5.0</v>
      </c>
      <c r="B46" s="9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7">
        <v>6.0</v>
      </c>
      <c r="B47" s="9" t="s">
        <v>59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23">
        <v>7.0</v>
      </c>
      <c r="B48" s="9" t="s">
        <v>60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</sheetData>
  <mergeCells count="1">
    <mergeCell ref="A1:E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4.75"/>
    <col customWidth="1" hidden="1" min="10" max="10" width="4.25"/>
    <col customWidth="1" hidden="1" min="11" max="11" width="4.88"/>
    <col customWidth="1" hidden="1" min="12" max="12" width="4.38"/>
    <col customWidth="1" hidden="1" min="13" max="13" width="4.75"/>
    <col customWidth="1" hidden="1" min="14" max="14" width="4.13"/>
    <col customWidth="1" min="15" max="15" width="8.63"/>
    <col customWidth="1" min="16" max="16" width="39.88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5.13"/>
    <col customWidth="1" hidden="1" min="25" max="25" width="3.38"/>
    <col customWidth="1" hidden="1" min="26" max="26" width="5.13"/>
    <col customWidth="1" hidden="1" min="27" max="27" width="4.88"/>
    <col customWidth="1" hidden="1" min="28" max="28" width="5.0"/>
    <col customWidth="1" hidden="1" min="29" max="29" width="5.25"/>
    <col customWidth="1" min="30" max="30" width="8.63"/>
    <col customWidth="1" min="31" max="31" width="39.88"/>
    <col customWidth="1" min="32" max="35" width="10.5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24" t="s">
        <v>0</v>
      </c>
      <c r="AJ1" s="4"/>
      <c r="AK1" s="4"/>
      <c r="AL1" s="4"/>
    </row>
    <row r="2" ht="21.0" customHeight="1">
      <c r="AJ2" s="4"/>
      <c r="AK2" s="4"/>
      <c r="AL2" s="4"/>
    </row>
    <row r="3" ht="15.0" customHeight="1">
      <c r="AJ3" s="4"/>
      <c r="AK3" s="4"/>
      <c r="AL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25" t="s">
        <v>61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</row>
    <row r="6" ht="13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>
      <c r="A7" s="29" t="s">
        <v>62</v>
      </c>
      <c r="B7" s="30" t="s">
        <v>63</v>
      </c>
      <c r="C7" s="31"/>
      <c r="D7" s="31"/>
      <c r="E7" s="32"/>
      <c r="F7" s="33"/>
      <c r="G7" s="34"/>
      <c r="H7" s="29" t="s">
        <v>64</v>
      </c>
      <c r="I7" s="35"/>
      <c r="J7" s="35"/>
      <c r="K7" s="35"/>
      <c r="L7" s="35"/>
      <c r="M7" s="36"/>
      <c r="N7" s="36"/>
      <c r="O7" s="36"/>
      <c r="P7" s="29" t="s">
        <v>62</v>
      </c>
      <c r="Q7" s="30" t="s">
        <v>63</v>
      </c>
      <c r="R7" s="31"/>
      <c r="S7" s="31"/>
      <c r="T7" s="32"/>
      <c r="U7" s="33"/>
      <c r="V7" s="34"/>
      <c r="W7" s="29" t="s">
        <v>64</v>
      </c>
      <c r="X7" s="35"/>
      <c r="Y7" s="36"/>
      <c r="Z7" s="36"/>
      <c r="AA7" s="36"/>
      <c r="AB7" s="36"/>
      <c r="AC7" s="36"/>
      <c r="AD7" s="36"/>
      <c r="AE7" s="29" t="s">
        <v>65</v>
      </c>
      <c r="AF7" s="29" t="s">
        <v>66</v>
      </c>
      <c r="AG7" s="29" t="s">
        <v>67</v>
      </c>
      <c r="AH7" s="29" t="s">
        <v>68</v>
      </c>
      <c r="AI7" s="29" t="s">
        <v>69</v>
      </c>
      <c r="AJ7" s="37"/>
      <c r="AK7" s="37"/>
      <c r="AL7" s="28"/>
    </row>
    <row r="8" hidden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9"/>
      <c r="AF8" s="37"/>
      <c r="AG8" s="37"/>
      <c r="AH8" s="37"/>
      <c r="AI8" s="37"/>
      <c r="AJ8" s="38" t="s">
        <v>79</v>
      </c>
      <c r="AK8" s="40" t="s">
        <v>80</v>
      </c>
      <c r="AL8" s="41" t="s">
        <v>81</v>
      </c>
    </row>
    <row r="9" ht="15.0" customHeight="1">
      <c r="A9" s="42" t="str">
        <f>AE9</f>
        <v>Trevor Rutter</v>
      </c>
      <c r="B9" s="43">
        <v>3.0</v>
      </c>
      <c r="C9" s="44">
        <f>IF(B9&gt;B11,1,0)</f>
        <v>0</v>
      </c>
      <c r="D9" s="45"/>
      <c r="E9" s="43">
        <v>4.0</v>
      </c>
      <c r="F9" s="44">
        <f>IF(E9&gt;E11,1,0)</f>
        <v>0</v>
      </c>
      <c r="G9" s="45"/>
      <c r="H9" s="46"/>
      <c r="I9" s="28">
        <f>IF(H9&gt;H11,1,0)</f>
        <v>0</v>
      </c>
      <c r="J9" s="28">
        <f>IF(B9="",0,1)</f>
        <v>1</v>
      </c>
      <c r="K9" s="28">
        <f>IF(C9+F9=2,3,IF(C9+F9=1,1,0))</f>
        <v>0</v>
      </c>
      <c r="L9" s="28">
        <f>IF(K9=3,3,IF(I9+K9=2,2,IF(K9=1,1,0)))</f>
        <v>0</v>
      </c>
      <c r="M9" s="28">
        <f>B9+E9</f>
        <v>7</v>
      </c>
      <c r="N9" s="28">
        <f>C9+F9+I9</f>
        <v>0</v>
      </c>
      <c r="O9" s="28"/>
      <c r="P9" s="42" t="str">
        <f>AE9</f>
        <v>Trevor Rutter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28">
        <f>IF(W9&gt;W11,1,0)</f>
        <v>0</v>
      </c>
      <c r="Y9" s="28">
        <f>IF(Q9="",0,1)</f>
        <v>1</v>
      </c>
      <c r="Z9" s="28">
        <f>IF(R9+U9=2,3,IF(R9+U9=1,1,0))</f>
        <v>3</v>
      </c>
      <c r="AA9" s="28">
        <f>IF(Z9=3,3,IF(X9+Z9=2,2,IF(Z9=1,1,0)))</f>
        <v>3</v>
      </c>
      <c r="AB9" s="28">
        <f>Q9+T9</f>
        <v>12</v>
      </c>
      <c r="AC9" s="28">
        <f>R9+U9+X9</f>
        <v>2</v>
      </c>
      <c r="AD9" s="28"/>
      <c r="AE9" s="47" t="str">
        <f>'Players - Men'!B7</f>
        <v>Trevor Rutter</v>
      </c>
      <c r="AF9" s="48">
        <f>J9+Y9+J13+Y13+J17+J49</f>
        <v>5</v>
      </c>
      <c r="AG9" s="48">
        <f t="shared" ref="AG9:AI9" si="1">L9+AA9+L13+AA13+L17+L49</f>
        <v>11</v>
      </c>
      <c r="AH9" s="48">
        <f t="shared" si="1"/>
        <v>56</v>
      </c>
      <c r="AI9" s="49">
        <f t="shared" si="1"/>
        <v>8</v>
      </c>
      <c r="AJ9" s="28">
        <f>MAX(AG9:AG19)</f>
        <v>11</v>
      </c>
      <c r="AK9" s="28">
        <f>SUM(AF9:AF19)</f>
        <v>26</v>
      </c>
      <c r="AL9" s="28" t="str">
        <f>IF(AG9=$AJ$9,AE9,IF(AG11=$AJ$9,AE11,IF(AG13=$AJ$9,AE13,IF(AG15=$AJ$9,AE15,IF(AG17=$AJ$9,AE17,IF(AG19=$AJ$9,AE19,""))))))</f>
        <v>Trevor Rutter</v>
      </c>
    </row>
    <row r="10" ht="15.0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28"/>
    </row>
    <row r="11" ht="15.0" customHeight="1">
      <c r="A11" s="53" t="str">
        <f>AE11</f>
        <v>Jean Attard</v>
      </c>
      <c r="B11" s="43">
        <v>6.0</v>
      </c>
      <c r="C11" s="54">
        <f>IF(B11&gt;B9,1,0)</f>
        <v>1</v>
      </c>
      <c r="D11" s="55"/>
      <c r="E11" s="43">
        <v>6.0</v>
      </c>
      <c r="F11" s="54">
        <f>IF(E11&gt;E9,1,0)</f>
        <v>1</v>
      </c>
      <c r="G11" s="55"/>
      <c r="H11" s="46"/>
      <c r="I11" s="28">
        <f>IF(H11&gt;H9,1,0)</f>
        <v>0</v>
      </c>
      <c r="J11" s="28">
        <f>IF(B11="",0,1)</f>
        <v>1</v>
      </c>
      <c r="K11" s="28">
        <f>IF(C11+F11=2,3,IF(C11+F11=1,1,0))</f>
        <v>3</v>
      </c>
      <c r="L11" s="28">
        <f>IF(K11=3,3,IF(I11+K11=2,2,IF(K11=1,1,0)))</f>
        <v>3</v>
      </c>
      <c r="M11" s="28">
        <f>B11+E11</f>
        <v>12</v>
      </c>
      <c r="N11" s="28">
        <f>C11+F11+I11</f>
        <v>2</v>
      </c>
      <c r="O11" s="28"/>
      <c r="P11" s="53" t="str">
        <f>AE13</f>
        <v>Josef Cristiano</v>
      </c>
      <c r="Q11" s="43">
        <v>1.0</v>
      </c>
      <c r="R11" s="54">
        <f>IF(Q11&gt;Q9,1,0)</f>
        <v>0</v>
      </c>
      <c r="S11" s="55"/>
      <c r="T11" s="43">
        <v>1.0</v>
      </c>
      <c r="U11" s="54">
        <f>IF(T11&gt;T9,1,0)</f>
        <v>0</v>
      </c>
      <c r="V11" s="55"/>
      <c r="W11" s="46"/>
      <c r="X11" s="28">
        <f>IF(W11&gt;W9,1,0)</f>
        <v>0</v>
      </c>
      <c r="Y11" s="28">
        <f>IF(Q11="",0,1)</f>
        <v>1</v>
      </c>
      <c r="Z11" s="28">
        <f>IF(R11+U11=2,3,IF(R11+U11=1,1,0))</f>
        <v>0</v>
      </c>
      <c r="AA11" s="28">
        <f>IF(Z11=3,3,IF(X11+Z11=2,2,IF(Z11=1,1,0)))</f>
        <v>0</v>
      </c>
      <c r="AB11" s="28">
        <f>Q11+T11</f>
        <v>2</v>
      </c>
      <c r="AC11" s="28">
        <f>R11+U11+X11</f>
        <v>0</v>
      </c>
      <c r="AD11" s="28"/>
      <c r="AE11" s="47" t="str">
        <f>'Players - Men'!B8</f>
        <v>Jean Attard</v>
      </c>
      <c r="AF11" s="48">
        <f>J11+Y25+J25+Y21+J21+Y45</f>
        <v>4</v>
      </c>
      <c r="AG11" s="48">
        <f t="shared" ref="AG11:AI11" si="2">L11+AA25+L25+AA21+L21+AA45</f>
        <v>6</v>
      </c>
      <c r="AH11" s="48">
        <f t="shared" si="2"/>
        <v>35</v>
      </c>
      <c r="AI11" s="49">
        <f t="shared" si="2"/>
        <v>4</v>
      </c>
      <c r="AJ11" s="37"/>
      <c r="AK11" s="37"/>
      <c r="AL11" s="28"/>
    </row>
    <row r="12" ht="15.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28"/>
    </row>
    <row r="13" ht="15.0" customHeight="1">
      <c r="A13" s="42" t="str">
        <f>AE9</f>
        <v>Trevor Rutter</v>
      </c>
      <c r="B13" s="43">
        <v>7.0</v>
      </c>
      <c r="C13" s="44">
        <f>IF(B13&gt;B15,1,0)</f>
        <v>1</v>
      </c>
      <c r="D13" s="45"/>
      <c r="E13" s="43">
        <v>6.0</v>
      </c>
      <c r="F13" s="44">
        <f>IF(E13&gt;E15,1,0)</f>
        <v>0</v>
      </c>
      <c r="G13" s="45"/>
      <c r="H13" s="43">
        <v>10.0</v>
      </c>
      <c r="I13" s="28">
        <f>IF(H13&gt;H15,1,0)</f>
        <v>1</v>
      </c>
      <c r="J13" s="28">
        <f>IF(B13="",0,1)</f>
        <v>1</v>
      </c>
      <c r="K13" s="28">
        <f>IF(C13+F13=2,3,IF(C13+F13=1,1,0))</f>
        <v>1</v>
      </c>
      <c r="L13" s="28">
        <f>IF(K13=3,3,IF(I13+K13=2,2,IF(K13=1,1,0)))</f>
        <v>2</v>
      </c>
      <c r="M13" s="28">
        <f>B13+E13</f>
        <v>13</v>
      </c>
      <c r="N13" s="28">
        <f>C13+F13+I13</f>
        <v>2</v>
      </c>
      <c r="O13" s="28"/>
      <c r="P13" s="42" t="str">
        <f>AE9</f>
        <v>Trevor Rutter</v>
      </c>
      <c r="Q13" s="46"/>
      <c r="R13" s="44">
        <f>IF(Q13&gt;Q15,1,0)</f>
        <v>0</v>
      </c>
      <c r="S13" s="45"/>
      <c r="T13" s="46"/>
      <c r="U13" s="44">
        <f>IF(T13&gt;T15,1,0)</f>
        <v>0</v>
      </c>
      <c r="V13" s="45"/>
      <c r="W13" s="46"/>
      <c r="X13" s="28">
        <f>IF(W13&gt;W15,1,0)</f>
        <v>0</v>
      </c>
      <c r="Y13" s="28">
        <f>IF(Q13="",0,1)</f>
        <v>0</v>
      </c>
      <c r="Z13" s="28">
        <f>IF(R13+U13=2,3,IF(R13+U13=1,1,0))</f>
        <v>0</v>
      </c>
      <c r="AA13" s="28">
        <f>IF(Z13=3,3,IF(X13+Z13=2,2,IF(Z13=1,1,0)))</f>
        <v>0</v>
      </c>
      <c r="AB13" s="28">
        <f>Q13+T13</f>
        <v>0</v>
      </c>
      <c r="AC13" s="28">
        <f>R13+U13+X13</f>
        <v>0</v>
      </c>
      <c r="AD13" s="28"/>
      <c r="AE13" s="47" t="str">
        <f>'Players - Men'!B9</f>
        <v>Josef Cristiano</v>
      </c>
      <c r="AF13" s="48">
        <f>Y29+Y11+Y33+J33+J23+J45</f>
        <v>5</v>
      </c>
      <c r="AG13" s="48">
        <f t="shared" ref="AG13:AI13" si="3">AA29+AA11+AA33+L33+L23+L45</f>
        <v>6</v>
      </c>
      <c r="AH13" s="48">
        <f t="shared" si="3"/>
        <v>40</v>
      </c>
      <c r="AI13" s="49">
        <f t="shared" si="3"/>
        <v>5</v>
      </c>
      <c r="AJ13" s="37"/>
      <c r="AK13" s="37"/>
      <c r="AL13" s="28"/>
    </row>
    <row r="14" ht="15.0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28"/>
    </row>
    <row r="15" ht="15.0" customHeight="1">
      <c r="A15" s="53" t="str">
        <f>AE15</f>
        <v>Sebastian Sanchez</v>
      </c>
      <c r="B15" s="43">
        <v>6.0</v>
      </c>
      <c r="C15" s="54">
        <f>IF(B15&gt;B13,1,0)</f>
        <v>0</v>
      </c>
      <c r="D15" s="55"/>
      <c r="E15" s="43">
        <v>7.0</v>
      </c>
      <c r="F15" s="54">
        <f>IF(E15&gt;E13,1,0)</f>
        <v>1</v>
      </c>
      <c r="G15" s="55"/>
      <c r="H15" s="43">
        <v>8.0</v>
      </c>
      <c r="I15" s="28">
        <f>IF(H15&gt;H13,1,0)</f>
        <v>0</v>
      </c>
      <c r="J15" s="28">
        <f>IF(B15="",0,1)</f>
        <v>1</v>
      </c>
      <c r="K15" s="28">
        <f>IF(C15+F15=2,3,IF(C15+F15=1,1,0))</f>
        <v>1</v>
      </c>
      <c r="L15" s="28">
        <f>IF(K15=3,3,IF(I15+K15=2,2,IF(K15=1,1,0)))</f>
        <v>1</v>
      </c>
      <c r="M15" s="28">
        <f>B15+E15</f>
        <v>13</v>
      </c>
      <c r="N15" s="28">
        <f>C15+F15+I15</f>
        <v>1</v>
      </c>
      <c r="O15" s="28"/>
      <c r="P15" s="53" t="str">
        <f>AE17</f>
        <v>Jean Carl Azzopardi</v>
      </c>
      <c r="Q15" s="46"/>
      <c r="R15" s="54">
        <f>IF(Q15&gt;Q13,1,0)</f>
        <v>0</v>
      </c>
      <c r="S15" s="55"/>
      <c r="T15" s="46"/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0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0</v>
      </c>
      <c r="AC15" s="28">
        <f>R15+U15+X15</f>
        <v>0</v>
      </c>
      <c r="AD15" s="28"/>
      <c r="AE15" s="47" t="str">
        <f>'Players - Men'!B10</f>
        <v>Sebastian Sanchez</v>
      </c>
      <c r="AF15" s="48">
        <f>Y31+J37+J15+Y23+J29+J43</f>
        <v>4</v>
      </c>
      <c r="AG15" s="48">
        <f t="shared" ref="AG15:AI15" si="4">AA31+L37+L15+AA23+L29+L43</f>
        <v>8</v>
      </c>
      <c r="AH15" s="48">
        <f t="shared" si="4"/>
        <v>45</v>
      </c>
      <c r="AI15" s="49">
        <f t="shared" si="4"/>
        <v>6</v>
      </c>
      <c r="AJ15" s="37"/>
      <c r="AK15" s="37"/>
      <c r="AL15" s="28"/>
    </row>
    <row r="16" ht="15.0" customHeight="1">
      <c r="A16" s="28"/>
      <c r="B16" s="3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28"/>
    </row>
    <row r="17" ht="15.0" customHeight="1">
      <c r="A17" s="42" t="str">
        <f>AE9</f>
        <v>Trevor Rutter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8">
        <f>IF(H17&gt;H19,1,0)</f>
        <v>0</v>
      </c>
      <c r="J17" s="28">
        <f>IF(B17="",0,1)</f>
        <v>1</v>
      </c>
      <c r="K17" s="28">
        <f>IF(C17+F17=2,3,IF(C17+F17=1,1,0))</f>
        <v>3</v>
      </c>
      <c r="L17" s="28">
        <f>IF(K17=3,3,IF(I17+K17=2,2,IF(K17=1,1,0)))</f>
        <v>3</v>
      </c>
      <c r="M17" s="28">
        <f>B17+E17</f>
        <v>12</v>
      </c>
      <c r="N17" s="28">
        <f>C17+F17+I17</f>
        <v>2</v>
      </c>
      <c r="O17" s="28"/>
      <c r="P17" s="42" t="str">
        <f>AE17</f>
        <v>Jean Carl Azzopardi</v>
      </c>
      <c r="Q17" s="46"/>
      <c r="R17" s="44">
        <f>IF(Q17&gt;Q19,1,0)</f>
        <v>0</v>
      </c>
      <c r="S17" s="45"/>
      <c r="T17" s="46"/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0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0</v>
      </c>
      <c r="AC17" s="28">
        <f>R17+U17+X17</f>
        <v>0</v>
      </c>
      <c r="AD17" s="56"/>
      <c r="AE17" s="57" t="str">
        <f>'Players - Men'!B11</f>
        <v>Jean Carl Azzopardi</v>
      </c>
      <c r="AF17" s="48">
        <f>Y17+J39+J27+Y15+J35+Y41</f>
        <v>4</v>
      </c>
      <c r="AG17" s="48">
        <f t="shared" ref="AG17:AI17" si="5">AA17+L39+L27+AA15+L35+AA41</f>
        <v>11</v>
      </c>
      <c r="AH17" s="48">
        <f t="shared" si="5"/>
        <v>47</v>
      </c>
      <c r="AI17" s="49">
        <f t="shared" si="5"/>
        <v>8</v>
      </c>
      <c r="AJ17" s="37"/>
      <c r="AK17" s="37"/>
      <c r="AL17" s="28"/>
    </row>
    <row r="18" ht="15.0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28"/>
    </row>
    <row r="19" ht="15.0" customHeight="1">
      <c r="A19" s="53" t="str">
        <f>AE19</f>
        <v>Karl Debattista</v>
      </c>
      <c r="B19" s="43">
        <v>3.0</v>
      </c>
      <c r="C19" s="54">
        <f>IF(B19&gt;B17,1,0)</f>
        <v>0</v>
      </c>
      <c r="D19" s="55"/>
      <c r="E19" s="43">
        <v>2.0</v>
      </c>
      <c r="F19" s="54">
        <f>IF(E19&gt;E17,1,0)</f>
        <v>0</v>
      </c>
      <c r="G19" s="55"/>
      <c r="H19" s="46"/>
      <c r="I19" s="28">
        <f>IF(H19&gt;H17,1,0)</f>
        <v>0</v>
      </c>
      <c r="J19" s="28">
        <f>IF(B19="",0,1)</f>
        <v>1</v>
      </c>
      <c r="K19" s="28">
        <f>IF(C19+F19=2,3,IF(C19+F19=1,1,0))</f>
        <v>0</v>
      </c>
      <c r="L19" s="28">
        <f>IF(K19=3,3,IF(I19+K19=2,2,IF(K19=1,1,0)))</f>
        <v>0</v>
      </c>
      <c r="M19" s="28">
        <f>B19+E19</f>
        <v>5</v>
      </c>
      <c r="N19" s="28">
        <f>C19+F19+I19</f>
        <v>0</v>
      </c>
      <c r="O19" s="28"/>
      <c r="P19" s="53" t="str">
        <f>AE19</f>
        <v>Karl Debattista</v>
      </c>
      <c r="Q19" s="46"/>
      <c r="R19" s="54">
        <f>IF(Q19&gt;Q17,1,0)</f>
        <v>0</v>
      </c>
      <c r="S19" s="55"/>
      <c r="T19" s="46"/>
      <c r="U19" s="54">
        <f>IF(T19&gt;T17,1,0)</f>
        <v>0</v>
      </c>
      <c r="V19" s="55"/>
      <c r="W19" s="46"/>
      <c r="X19" s="28">
        <f>IF(W19&gt;W17,1,0)</f>
        <v>0</v>
      </c>
      <c r="Y19" s="28">
        <f>IF(Q19="",0,1)</f>
        <v>0</v>
      </c>
      <c r="Z19" s="28">
        <f>IF(R19+U19=2,3,IF(R19+U19=1,1,0))</f>
        <v>0</v>
      </c>
      <c r="AA19" s="28">
        <f>IF(Z19=3,3,IF(X19+Z19=2,2,IF(Z19=1,1,0)))</f>
        <v>0</v>
      </c>
      <c r="AB19" s="28">
        <f>Q19+T19</f>
        <v>0</v>
      </c>
      <c r="AC19" s="28">
        <f>R19+U19+X19</f>
        <v>0</v>
      </c>
      <c r="AD19" s="28"/>
      <c r="AE19" s="47" t="str">
        <f>'Players - Men'!B12</f>
        <v>Karl Debattista</v>
      </c>
      <c r="AF19" s="48">
        <f>Y19+Y27+Y35+J19+J31+Y39</f>
        <v>4</v>
      </c>
      <c r="AG19" s="48">
        <f>AA19+AA35+L31+AA27+L19+AA39</f>
        <v>5</v>
      </c>
      <c r="AH19" s="48">
        <f t="shared" ref="AH19:AI19" si="6">AB19+AB27+AB35+M19+M31+AB39</f>
        <v>38</v>
      </c>
      <c r="AI19" s="49">
        <f t="shared" si="6"/>
        <v>4</v>
      </c>
      <c r="AJ19" s="28"/>
      <c r="AK19" s="37"/>
      <c r="AL19" s="28"/>
    </row>
    <row r="20" ht="15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ht="15.0" customHeight="1">
      <c r="A21" s="42" t="str">
        <f>AE11</f>
        <v>Jean Attard</v>
      </c>
      <c r="B21" s="43">
        <v>4.0</v>
      </c>
      <c r="C21" s="44">
        <f>IF(B21&gt;B23,1,0)</f>
        <v>0</v>
      </c>
      <c r="D21" s="45"/>
      <c r="E21" s="43">
        <v>1.0</v>
      </c>
      <c r="F21" s="44">
        <f>IF(E21&gt;E23,1,0)</f>
        <v>0</v>
      </c>
      <c r="G21" s="45"/>
      <c r="H21" s="46"/>
      <c r="I21" s="28">
        <f>IF(H21&gt;H23,1,0)</f>
        <v>0</v>
      </c>
      <c r="J21" s="28">
        <f>IF(B21="",0,1)</f>
        <v>1</v>
      </c>
      <c r="K21" s="28">
        <f>IF(C21+F21=2,3,IF(C21+F21=1,1,0))</f>
        <v>0</v>
      </c>
      <c r="L21" s="28">
        <f>IF(K21=3,3,IF(I21+K21=2,2,IF(K21=1,1,0)))</f>
        <v>0</v>
      </c>
      <c r="M21" s="28">
        <f>B21+E21</f>
        <v>5</v>
      </c>
      <c r="N21" s="28">
        <f>C21+F21+I21</f>
        <v>0</v>
      </c>
      <c r="O21" s="28"/>
      <c r="P21" s="42" t="str">
        <f>AE11</f>
        <v>Jean Attard</v>
      </c>
      <c r="Q21" s="46"/>
      <c r="R21" s="44">
        <f>IF(Q21&gt;Q23,1,0)</f>
        <v>0</v>
      </c>
      <c r="S21" s="45"/>
      <c r="T21" s="46"/>
      <c r="U21" s="44">
        <f>IF(T21&gt;T23,1,0)</f>
        <v>0</v>
      </c>
      <c r="V21" s="45"/>
      <c r="W21" s="46"/>
      <c r="X21" s="28">
        <f>IF(W21&gt;W23,1,0)</f>
        <v>0</v>
      </c>
      <c r="Y21" s="28">
        <f>IF(Q21="",0,1)</f>
        <v>0</v>
      </c>
      <c r="Z21" s="28">
        <f>IF(R21+U21=2,3,IF(R21+U21=1,1,0))</f>
        <v>0</v>
      </c>
      <c r="AA21" s="28">
        <f>IF(Z21=3,3,IF(X21+Z21=2,2,IF(Z21=1,1,0)))</f>
        <v>0</v>
      </c>
      <c r="AB21" s="28">
        <f>Q21+T21</f>
        <v>0</v>
      </c>
      <c r="AC21" s="28">
        <f>R21+U21+X21</f>
        <v>0</v>
      </c>
      <c r="AD21" s="28"/>
      <c r="AE21" s="58" t="str">
        <f>'Players - Men'!B13</f>
        <v>Fotios Evangelou</v>
      </c>
      <c r="AF21" s="48">
        <f>J41+J47+J51+Y37+Y43+Y47</f>
        <v>6</v>
      </c>
      <c r="AG21" s="48">
        <f t="shared" ref="AG21:AI21" si="7">L41+L47+L51+AA37+AA43+AA47</f>
        <v>1</v>
      </c>
      <c r="AH21" s="48">
        <f t="shared" si="7"/>
        <v>27</v>
      </c>
      <c r="AI21" s="49">
        <f t="shared" si="7"/>
        <v>1</v>
      </c>
      <c r="AJ21" s="28"/>
      <c r="AK21" s="28"/>
      <c r="AL21" s="28"/>
    </row>
    <row r="22" ht="15.0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J22" s="28"/>
      <c r="AK22" s="28"/>
      <c r="AL22" s="28"/>
    </row>
    <row r="23" ht="15.0" customHeight="1">
      <c r="A23" s="53" t="str">
        <f>AE13</f>
        <v>Josef Cristiano</v>
      </c>
      <c r="B23" s="43">
        <v>6.0</v>
      </c>
      <c r="C23" s="54">
        <f>IF(B23&gt;B21,1,0)</f>
        <v>1</v>
      </c>
      <c r="D23" s="55"/>
      <c r="E23" s="43">
        <v>6.0</v>
      </c>
      <c r="F23" s="54">
        <f>IF(E23&gt;E21,1,0)</f>
        <v>1</v>
      </c>
      <c r="G23" s="55"/>
      <c r="H23" s="46"/>
      <c r="I23" s="28">
        <f>IF(H23&gt;H21,1,0)</f>
        <v>0</v>
      </c>
      <c r="J23" s="28">
        <f>IF(B23="",0,1)</f>
        <v>1</v>
      </c>
      <c r="K23" s="28">
        <f>IF(C23+F23=2,3,IF(C23+F23=1,1,0))</f>
        <v>3</v>
      </c>
      <c r="L23" s="28">
        <f>IF(K23=3,3,IF(I23+K23=2,2,IF(K23=1,1,0)))</f>
        <v>3</v>
      </c>
      <c r="M23" s="28">
        <f>B23+E23</f>
        <v>12</v>
      </c>
      <c r="N23" s="28">
        <f>C23+F23+I23</f>
        <v>2</v>
      </c>
      <c r="O23" s="28"/>
      <c r="P23" s="53" t="str">
        <f>AE15</f>
        <v>Sebastian Sanchez</v>
      </c>
      <c r="Q23" s="46"/>
      <c r="R23" s="54">
        <f>IF(Q23&gt;Q21,1,0)</f>
        <v>0</v>
      </c>
      <c r="S23" s="55"/>
      <c r="T23" s="46"/>
      <c r="U23" s="54">
        <f>IF(T23&gt;T21,1,0)</f>
        <v>0</v>
      </c>
      <c r="V23" s="55"/>
      <c r="W23" s="46"/>
      <c r="X23" s="28">
        <f>IF(W23&gt;W21,1,0)</f>
        <v>0</v>
      </c>
      <c r="Y23" s="28">
        <f>IF(Q23="",0,1)</f>
        <v>0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0</v>
      </c>
      <c r="AC23" s="28">
        <f>R23+U23+X23</f>
        <v>0</v>
      </c>
      <c r="AD23" s="28"/>
      <c r="AE23" s="57" t="s">
        <v>83</v>
      </c>
      <c r="AF23" s="31"/>
      <c r="AG23" s="31"/>
      <c r="AH23" s="31"/>
      <c r="AI23" s="32"/>
      <c r="AJ23" s="28"/>
      <c r="AK23" s="28"/>
      <c r="AL23" s="28"/>
    </row>
    <row r="24" ht="15.0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59"/>
      <c r="AF24" s="31"/>
      <c r="AG24" s="31"/>
      <c r="AH24" s="31"/>
      <c r="AI24" s="32"/>
      <c r="AJ24" s="28"/>
      <c r="AK24" s="28"/>
      <c r="AL24" s="28"/>
    </row>
    <row r="25" ht="15.0" customHeight="1">
      <c r="A25" s="42" t="str">
        <f>AE11</f>
        <v>Jean Attard</v>
      </c>
      <c r="B25" s="43">
        <v>5.0</v>
      </c>
      <c r="C25" s="44">
        <f>IF(B25&gt;B27,1,0)</f>
        <v>0</v>
      </c>
      <c r="D25" s="45"/>
      <c r="E25" s="43">
        <v>1.0</v>
      </c>
      <c r="F25" s="44">
        <f>IF(E25&gt;E27,1,0)</f>
        <v>0</v>
      </c>
      <c r="G25" s="45"/>
      <c r="H25" s="46"/>
      <c r="I25" s="28">
        <f>IF(H25&gt;H27,1,0)</f>
        <v>0</v>
      </c>
      <c r="J25" s="28">
        <f>IF(B25="",0,1)</f>
        <v>1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6</v>
      </c>
      <c r="N25" s="28">
        <f>C25+F25+I25</f>
        <v>0</v>
      </c>
      <c r="O25" s="28"/>
      <c r="P25" s="42" t="str">
        <f>AE11</f>
        <v>Jean Attard</v>
      </c>
      <c r="Q25" s="43"/>
      <c r="R25" s="44"/>
      <c r="S25" s="45"/>
      <c r="T25" s="43"/>
      <c r="U25" s="44">
        <f>IF(T25&gt;T27,1,0)</f>
        <v>0</v>
      </c>
      <c r="V25" s="45"/>
      <c r="W25" s="46"/>
      <c r="X25" s="28">
        <f>IF(W25&gt;W27,1,0)</f>
        <v>0</v>
      </c>
      <c r="Y25" s="28">
        <f>IF(Q25="",0,1)</f>
        <v>0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0</v>
      </c>
      <c r="AC25" s="28">
        <f>R25+U25+X25</f>
        <v>0</v>
      </c>
      <c r="AD25" s="28"/>
      <c r="AJ25" s="28"/>
      <c r="AK25" s="28"/>
      <c r="AL25" s="28"/>
    </row>
    <row r="26" ht="15.0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E26" s="57" t="s">
        <v>84</v>
      </c>
      <c r="AF26" s="31"/>
      <c r="AG26" s="31"/>
      <c r="AH26" s="31"/>
      <c r="AI26" s="32"/>
      <c r="AJ26" s="28"/>
      <c r="AK26" s="28"/>
      <c r="AL26" s="28"/>
    </row>
    <row r="27" ht="15.0" customHeight="1">
      <c r="A27" s="53" t="str">
        <f>AE17</f>
        <v>Jean Carl Azzopardi</v>
      </c>
      <c r="B27" s="43">
        <v>7.0</v>
      </c>
      <c r="C27" s="54">
        <f>IF(B27&gt;B25,1,0)</f>
        <v>1</v>
      </c>
      <c r="D27" s="55"/>
      <c r="E27" s="43">
        <v>6.0</v>
      </c>
      <c r="F27" s="54">
        <f>IF(E27&gt;E25,1,0)</f>
        <v>1</v>
      </c>
      <c r="G27" s="55"/>
      <c r="H27" s="46"/>
      <c r="I27" s="28">
        <f>IF(H27&gt;H25,1,0)</f>
        <v>0</v>
      </c>
      <c r="J27" s="28">
        <f>IF(B27="",0,1)</f>
        <v>1</v>
      </c>
      <c r="K27" s="28">
        <f>IF(C27+F27=2,3,IF(C27+F27=1,1,0))</f>
        <v>3</v>
      </c>
      <c r="L27" s="28">
        <f>IF(K27=3,3,IF(I27+K27=2,2,IF(K27=1,1,0)))</f>
        <v>3</v>
      </c>
      <c r="M27" s="28">
        <f>B27+E27</f>
        <v>13</v>
      </c>
      <c r="N27" s="28">
        <f>C27+F27+I27</f>
        <v>2</v>
      </c>
      <c r="O27" s="28"/>
      <c r="P27" s="53" t="str">
        <f>AE19</f>
        <v>Karl Debattista</v>
      </c>
      <c r="Q27" s="43"/>
      <c r="R27" s="54"/>
      <c r="S27" s="55"/>
      <c r="T27" s="43"/>
      <c r="U27" s="54">
        <f>IF(T27&gt;T25,1,0)</f>
        <v>0</v>
      </c>
      <c r="V27" s="55"/>
      <c r="W27" s="46"/>
      <c r="X27" s="28">
        <f>IF(W27&gt;W25,1,0)</f>
        <v>0</v>
      </c>
      <c r="Y27" s="28">
        <f>IF(Q27="",0,1)</f>
        <v>0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0</v>
      </c>
      <c r="AC27" s="28">
        <f>R27+U27+X27</f>
        <v>0</v>
      </c>
      <c r="AD27" s="28"/>
      <c r="AE27" s="59"/>
      <c r="AF27" s="31"/>
      <c r="AG27" s="31"/>
      <c r="AH27" s="31"/>
      <c r="AI27" s="32"/>
      <c r="AJ27" s="28"/>
      <c r="AK27" s="28"/>
      <c r="AL27" s="28"/>
    </row>
    <row r="28" ht="15.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J28" s="28"/>
      <c r="AK28" s="28"/>
      <c r="AL28" s="28"/>
    </row>
    <row r="29" ht="15.0" customHeight="1">
      <c r="A29" s="42" t="str">
        <f>AE15</f>
        <v>Sebastian Sanchez</v>
      </c>
      <c r="B29" s="43">
        <v>6.0</v>
      </c>
      <c r="C29" s="44">
        <f>IF(B29&gt;B31,1,0)</f>
        <v>1</v>
      </c>
      <c r="D29" s="45"/>
      <c r="E29" s="43">
        <v>7.0</v>
      </c>
      <c r="F29" s="44">
        <f>IF(E29&gt;E31,1,0)</f>
        <v>1</v>
      </c>
      <c r="G29" s="45"/>
      <c r="H29" s="46"/>
      <c r="I29" s="28">
        <f>IF(H29&gt;H31,1,0)</f>
        <v>0</v>
      </c>
      <c r="J29" s="28">
        <f>IF(B29="",0,1)</f>
        <v>1</v>
      </c>
      <c r="K29" s="28">
        <f>IF(C29+F29=2,3,IF(C29+F29=1,1,0))</f>
        <v>3</v>
      </c>
      <c r="L29" s="28">
        <f>IF(K29=3,3,IF(I29+K29=2,2,IF(K29=1,1,0)))</f>
        <v>3</v>
      </c>
      <c r="M29" s="28">
        <f>B29+E29</f>
        <v>13</v>
      </c>
      <c r="N29" s="28">
        <f>C29+F29+I29</f>
        <v>2</v>
      </c>
      <c r="O29" s="28"/>
      <c r="P29" s="42" t="str">
        <f>AE13</f>
        <v>Josef Cristiano</v>
      </c>
      <c r="Q29" s="46"/>
      <c r="R29" s="44">
        <f>IF(Q29&gt;Q31,1,0)</f>
        <v>0</v>
      </c>
      <c r="S29" s="45"/>
      <c r="T29" s="46"/>
      <c r="U29" s="44">
        <f>IF(T29&gt;T31,1,0)</f>
        <v>0</v>
      </c>
      <c r="V29" s="45"/>
      <c r="W29" s="46"/>
      <c r="X29" s="28">
        <f>IF(W29&gt;W31,1,0)</f>
        <v>0</v>
      </c>
      <c r="Y29" s="28">
        <f>IF(Q29="",0,1)</f>
        <v>0</v>
      </c>
      <c r="Z29" s="28">
        <f>IF(R29+U29=2,3,IF(R29+U29=1,1,0))</f>
        <v>0</v>
      </c>
      <c r="AA29" s="28">
        <f>IF(Z29=3,3,IF(X29+Z29=2,2,IF(Z29=1,1,0)))</f>
        <v>0</v>
      </c>
      <c r="AB29" s="28">
        <f>Q29+T29</f>
        <v>0</v>
      </c>
      <c r="AC29" s="28">
        <f>R29+U29+X29</f>
        <v>0</v>
      </c>
      <c r="AD29" s="28"/>
      <c r="AE29" s="28"/>
      <c r="AF29" s="28"/>
      <c r="AG29" s="28"/>
      <c r="AH29" s="28"/>
      <c r="AI29" s="28"/>
      <c r="AJ29" s="28"/>
      <c r="AK29" s="28"/>
      <c r="AL29" s="28"/>
    </row>
    <row r="30" ht="15.0" customHeight="1">
      <c r="A30" s="50" t="s">
        <v>82</v>
      </c>
      <c r="H30" s="51"/>
      <c r="I30" s="52"/>
      <c r="J30" s="28"/>
      <c r="K30" s="28"/>
      <c r="L30" s="28"/>
      <c r="M30" s="28"/>
      <c r="N30" s="28"/>
      <c r="O30" s="28"/>
      <c r="P30" s="50" t="s">
        <v>82</v>
      </c>
      <c r="W30" s="51"/>
      <c r="X30" s="52"/>
      <c r="Y30" s="28"/>
      <c r="Z30" s="28"/>
      <c r="AA30" s="28"/>
      <c r="AB30" s="28"/>
      <c r="AC30" s="28"/>
      <c r="AD30" s="28"/>
      <c r="AJ30" s="28"/>
      <c r="AK30" s="60"/>
      <c r="AL30" s="28"/>
    </row>
    <row r="31" ht="15.0" customHeight="1">
      <c r="A31" s="53" t="str">
        <f>AE19</f>
        <v>Karl Debattista</v>
      </c>
      <c r="B31" s="43">
        <v>4.0</v>
      </c>
      <c r="C31" s="54">
        <f>IF(B31&gt;B29,1,0)</f>
        <v>0</v>
      </c>
      <c r="D31" s="55"/>
      <c r="E31" s="43">
        <v>5.0</v>
      </c>
      <c r="F31" s="54">
        <f>IF(E31&gt;E29,1,0)</f>
        <v>0</v>
      </c>
      <c r="G31" s="55"/>
      <c r="H31" s="46"/>
      <c r="I31" s="28">
        <f>IF(H31&gt;H29,1,0)</f>
        <v>0</v>
      </c>
      <c r="J31" s="28">
        <f>IF(B31="",0,1)</f>
        <v>1</v>
      </c>
      <c r="K31" s="28">
        <f>IF(C31+F31=2,3,IF(C31+F31=1,1,0))</f>
        <v>0</v>
      </c>
      <c r="L31" s="28">
        <f>IF(K31=3,3,IF(I31+K31=2,2,IF(K31=1,1,0)))</f>
        <v>0</v>
      </c>
      <c r="M31" s="28">
        <f>B31+E31</f>
        <v>9</v>
      </c>
      <c r="N31" s="28">
        <f>C31+F31+I31</f>
        <v>0</v>
      </c>
      <c r="O31" s="28"/>
      <c r="P31" s="53" t="str">
        <f>AE15</f>
        <v>Sebastian Sanchez</v>
      </c>
      <c r="Q31" s="46"/>
      <c r="R31" s="54">
        <f>IF(Q31&gt;Q29,1,0)</f>
        <v>0</v>
      </c>
      <c r="S31" s="55"/>
      <c r="T31" s="46"/>
      <c r="U31" s="54">
        <f>IF(T31&gt;T29,1,0)</f>
        <v>0</v>
      </c>
      <c r="V31" s="55"/>
      <c r="W31" s="46"/>
      <c r="X31" s="28">
        <f>IF(W31&gt;W29,1,0)</f>
        <v>0</v>
      </c>
      <c r="Y31" s="28">
        <f>IF(Q31="",0,1)</f>
        <v>0</v>
      </c>
      <c r="Z31" s="28">
        <f>IF(R31+U31=2,3,IF(R31+U31=1,1,0))</f>
        <v>0</v>
      </c>
      <c r="AA31" s="28">
        <f>IF(Z31=3,3,IF(X31+Z31=2,2,IF(Z31=1,1,0)))</f>
        <v>0</v>
      </c>
      <c r="AB31" s="28">
        <f>Q31+T31</f>
        <v>0</v>
      </c>
      <c r="AC31" s="28">
        <f>R31+U31+X31</f>
        <v>0</v>
      </c>
      <c r="AD31" s="28"/>
      <c r="AJ31" s="28"/>
      <c r="AK31" s="28"/>
      <c r="AL31" s="28"/>
    </row>
    <row r="32" ht="15.0" customHeight="1">
      <c r="A32" s="28"/>
      <c r="B32" s="28"/>
      <c r="C32" s="28"/>
      <c r="D32" s="28"/>
      <c r="E32" s="37"/>
      <c r="F32" s="28"/>
      <c r="G32" s="28"/>
      <c r="H32" s="37"/>
      <c r="I32" s="28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0"/>
      <c r="AL32" s="28"/>
    </row>
    <row r="33" ht="15.0" customHeight="1">
      <c r="A33" s="42" t="str">
        <f>AE13</f>
        <v>Josef Cristiano</v>
      </c>
      <c r="B33" s="43">
        <v>3.0</v>
      </c>
      <c r="C33" s="44">
        <f>IF(B33&gt;B35,1,0)</f>
        <v>0</v>
      </c>
      <c r="D33" s="45"/>
      <c r="E33" s="43">
        <v>2.0</v>
      </c>
      <c r="F33" s="44">
        <f>IF(E33&gt;E35,1,0)</f>
        <v>0</v>
      </c>
      <c r="G33" s="45"/>
      <c r="H33" s="46"/>
      <c r="I33" s="28">
        <f>IF(H33&gt;H35,1,0)</f>
        <v>0</v>
      </c>
      <c r="J33" s="28">
        <f>IF(B33="",0,1)</f>
        <v>1</v>
      </c>
      <c r="K33" s="28">
        <f>IF(C33+F33=2,3,IF(C33+F33=1,1,0))</f>
        <v>0</v>
      </c>
      <c r="L33" s="28">
        <f>IF(K33=3,3,IF(I33+K33=2,2,IF(K33=1,1,0)))</f>
        <v>0</v>
      </c>
      <c r="M33" s="28">
        <f>B33+E33</f>
        <v>5</v>
      </c>
      <c r="N33" s="28">
        <f>C33+F33+I33</f>
        <v>0</v>
      </c>
      <c r="O33" s="28"/>
      <c r="P33" s="42" t="str">
        <f>AE13</f>
        <v>Josef Cristiano</v>
      </c>
      <c r="Q33" s="43">
        <v>7.0</v>
      </c>
      <c r="R33" s="44">
        <f>IF(Q33&gt;Q35,1,0)</f>
        <v>1</v>
      </c>
      <c r="S33" s="45"/>
      <c r="T33" s="43">
        <v>5.0</v>
      </c>
      <c r="U33" s="44">
        <f>IF(T33&gt;T35,1,0)</f>
        <v>0</v>
      </c>
      <c r="V33" s="45"/>
      <c r="W33" s="43">
        <v>4.0</v>
      </c>
      <c r="X33" s="28">
        <f>IF(W33&gt;W35,1,0)</f>
        <v>0</v>
      </c>
      <c r="Y33" s="28">
        <f>IF(Q33="",0,1)</f>
        <v>1</v>
      </c>
      <c r="Z33" s="28">
        <f>IF(R33+U33=2,3,IF(R33+U33=1,1,0))</f>
        <v>1</v>
      </c>
      <c r="AA33" s="28">
        <f>IF(Z33=3,3,IF(X33+Z33=2,2,IF(Z33=1,1,0)))</f>
        <v>1</v>
      </c>
      <c r="AB33" s="28">
        <f>Q33+T33</f>
        <v>12</v>
      </c>
      <c r="AC33" s="28">
        <f>R33+U33+X33</f>
        <v>1</v>
      </c>
      <c r="AD33" s="28"/>
      <c r="AE33" s="28"/>
      <c r="AF33" s="28"/>
      <c r="AG33" s="28"/>
      <c r="AH33" s="28"/>
      <c r="AI33" s="28"/>
      <c r="AJ33" s="28"/>
      <c r="AK33" s="28"/>
      <c r="AL33" s="28"/>
    </row>
    <row r="34" ht="15.0" customHeight="1">
      <c r="A34" s="50" t="s">
        <v>82</v>
      </c>
      <c r="H34" s="51"/>
      <c r="I34" s="52"/>
      <c r="J34" s="28"/>
      <c r="K34" s="28"/>
      <c r="L34" s="28"/>
      <c r="M34" s="28"/>
      <c r="N34" s="28"/>
      <c r="O34" s="28"/>
      <c r="P34" s="50" t="s">
        <v>82</v>
      </c>
      <c r="W34" s="51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ht="15.0" customHeight="1">
      <c r="A35" s="53" t="str">
        <f>AE17</f>
        <v>Jean Carl Azzopardi</v>
      </c>
      <c r="B35" s="43">
        <v>6.0</v>
      </c>
      <c r="C35" s="54">
        <f>IF(B35&gt;B33,1,0)</f>
        <v>1</v>
      </c>
      <c r="D35" s="55"/>
      <c r="E35" s="43">
        <v>6.0</v>
      </c>
      <c r="F35" s="54">
        <f>IF(E35&gt;E33,1,0)</f>
        <v>1</v>
      </c>
      <c r="G35" s="55"/>
      <c r="H35" s="46"/>
      <c r="I35" s="28">
        <f>IF(H35&gt;H33,1,0)</f>
        <v>0</v>
      </c>
      <c r="J35" s="28">
        <f>IF(B35="",0,1)</f>
        <v>1</v>
      </c>
      <c r="K35" s="28">
        <f>IF(C35+F35=2,3,IF(C35+F35=1,1,0))</f>
        <v>3</v>
      </c>
      <c r="L35" s="28">
        <f>IF(K35=3,3,IF(I35+K35=2,2,IF(K35=1,1,0)))</f>
        <v>3</v>
      </c>
      <c r="M35" s="28">
        <f>B35+E35</f>
        <v>12</v>
      </c>
      <c r="N35" s="28">
        <f>C35+F35+I35</f>
        <v>2</v>
      </c>
      <c r="O35" s="28"/>
      <c r="P35" s="53" t="str">
        <f>AE19</f>
        <v>Karl Debattista</v>
      </c>
      <c r="Q35" s="43">
        <v>5.0</v>
      </c>
      <c r="R35" s="54">
        <f>IF(Q35&gt;Q33,1,0)</f>
        <v>0</v>
      </c>
      <c r="S35" s="55"/>
      <c r="T35" s="43">
        <v>7.0</v>
      </c>
      <c r="U35" s="54">
        <f>IF(T35&gt;T33,1,0)</f>
        <v>1</v>
      </c>
      <c r="V35" s="55"/>
      <c r="W35" s="43">
        <v>10.0</v>
      </c>
      <c r="X35" s="28">
        <f>IF(W35&gt;W33,1,0)</f>
        <v>1</v>
      </c>
      <c r="Y35" s="28">
        <f>IF(Q35="",0,1)</f>
        <v>1</v>
      </c>
      <c r="Z35" s="28">
        <f>IF(R35+U35=2,3,IF(R35+U35=1,1,0))</f>
        <v>1</v>
      </c>
      <c r="AA35" s="28">
        <f>IF(Z35=3,3,IF(X35+Z35=2,2,IF(Z35=1,1,0)))</f>
        <v>2</v>
      </c>
      <c r="AB35" s="28">
        <f>Q35+T35</f>
        <v>12</v>
      </c>
      <c r="AC35" s="28">
        <f>R35+U35+X35</f>
        <v>2</v>
      </c>
      <c r="AD35" s="28"/>
      <c r="AE35" s="28"/>
      <c r="AF35" s="28"/>
      <c r="AG35" s="28"/>
      <c r="AH35" s="28"/>
      <c r="AI35" s="28"/>
      <c r="AJ35" s="28"/>
      <c r="AK35" s="28"/>
      <c r="AL35" s="28"/>
    </row>
    <row r="36" ht="15.0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28"/>
      <c r="AL36" s="28"/>
    </row>
    <row r="37" ht="15.0" customHeight="1">
      <c r="A37" s="42" t="str">
        <f>AE15</f>
        <v>Sebastian Sanchez</v>
      </c>
      <c r="B37" s="43">
        <v>6.0</v>
      </c>
      <c r="C37" s="44">
        <f>IF(B37&gt;B39,1,0)</f>
        <v>1</v>
      </c>
      <c r="D37" s="45"/>
      <c r="E37" s="43">
        <v>1.0</v>
      </c>
      <c r="F37" s="44">
        <f>IF(E37&gt;E39,1,0)</f>
        <v>0</v>
      </c>
      <c r="G37" s="45"/>
      <c r="H37" s="43">
        <v>0.0</v>
      </c>
      <c r="I37" s="28">
        <f>IF(H37&gt;H39,1,0)</f>
        <v>0</v>
      </c>
      <c r="J37" s="28">
        <f>IF(B37="",0,1)</f>
        <v>1</v>
      </c>
      <c r="K37" s="28">
        <f>IF(C37+F37=2,3,IF(C37+F37=1,1,0))</f>
        <v>1</v>
      </c>
      <c r="L37" s="28">
        <f>IF(K37=3,3,IF(I37+K37=2,2,IF(K37=1,1,0)))</f>
        <v>1</v>
      </c>
      <c r="M37" s="28">
        <f>B37+E37</f>
        <v>7</v>
      </c>
      <c r="N37" s="28">
        <f>C37+F37+I37</f>
        <v>1</v>
      </c>
      <c r="O37" s="28"/>
      <c r="P37" s="42" t="str">
        <f>AE21</f>
        <v>Fotios Evangelou</v>
      </c>
      <c r="Q37" s="43">
        <v>1.0</v>
      </c>
      <c r="R37" s="44">
        <f>IF(Q37&gt;Q39,1,0)</f>
        <v>0</v>
      </c>
      <c r="S37" s="45"/>
      <c r="T37" s="43">
        <v>1.0</v>
      </c>
      <c r="U37" s="44">
        <f>IF(T37&gt;T39,1,0)</f>
        <v>0</v>
      </c>
      <c r="V37" s="45"/>
      <c r="W37" s="46"/>
      <c r="X37" s="28">
        <f>IF(W37&gt;W35,1,0)</f>
        <v>0</v>
      </c>
      <c r="Y37" s="28">
        <f>IF(Q37="",0,1)</f>
        <v>1</v>
      </c>
      <c r="Z37" s="28">
        <f>IF(R37+U37=2,3,IF(R37+U37=1,1,0))</f>
        <v>0</v>
      </c>
      <c r="AA37" s="28">
        <f>IF(Z37=3,3,IF(X37+Z37=2,2,IF(Z37=1,1,0)))</f>
        <v>0</v>
      </c>
      <c r="AB37" s="28">
        <f>Q37+T37</f>
        <v>2</v>
      </c>
      <c r="AC37" s="28">
        <f>R37+U37+X37</f>
        <v>0</v>
      </c>
      <c r="AD37" s="28"/>
      <c r="AE37" s="28"/>
      <c r="AF37" s="28"/>
      <c r="AG37" s="28"/>
      <c r="AH37" s="28"/>
      <c r="AI37" s="28"/>
      <c r="AJ37" s="28"/>
      <c r="AK37" s="28"/>
      <c r="AL37" s="28"/>
    </row>
    <row r="38" ht="15.0" customHeight="1">
      <c r="A38" s="50" t="s">
        <v>82</v>
      </c>
      <c r="H38" s="51"/>
      <c r="I38" s="52"/>
      <c r="J38" s="28"/>
      <c r="K38" s="28"/>
      <c r="L38" s="28"/>
      <c r="M38" s="28"/>
      <c r="N38" s="28"/>
      <c r="O38" s="28"/>
      <c r="P38" s="50" t="s">
        <v>82</v>
      </c>
      <c r="W38" s="51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</row>
    <row r="39" ht="15.0" customHeight="1">
      <c r="A39" s="53" t="str">
        <f>AE17</f>
        <v>Jean Carl Azzopardi</v>
      </c>
      <c r="B39" s="43">
        <v>4.0</v>
      </c>
      <c r="C39" s="54">
        <f>IF(B39&gt;B37,1,0)</f>
        <v>0</v>
      </c>
      <c r="D39" s="55"/>
      <c r="E39" s="43">
        <v>6.0</v>
      </c>
      <c r="F39" s="54">
        <f>IF(E39&gt;E37,1,0)</f>
        <v>1</v>
      </c>
      <c r="G39" s="55"/>
      <c r="H39" s="43">
        <v>10.0</v>
      </c>
      <c r="I39" s="28">
        <f>IF(H39&gt;H37,1,0)</f>
        <v>1</v>
      </c>
      <c r="J39" s="28">
        <f>IF(B39="",0,1)</f>
        <v>1</v>
      </c>
      <c r="K39" s="28">
        <f>IF(C39+F39=2,3,IF(C39+F39=1,1,0))</f>
        <v>1</v>
      </c>
      <c r="L39" s="28">
        <f>IF(K39=3,3,IF(I39+K39=2,2,IF(K39=1,1,0)))</f>
        <v>2</v>
      </c>
      <c r="M39" s="28">
        <f>B39+E39</f>
        <v>10</v>
      </c>
      <c r="N39" s="28">
        <f>C39+F39+I39</f>
        <v>2</v>
      </c>
      <c r="O39" s="28"/>
      <c r="P39" s="53" t="str">
        <f>AE19</f>
        <v>Karl Debattista</v>
      </c>
      <c r="Q39" s="43">
        <v>6.0</v>
      </c>
      <c r="R39" s="54">
        <f>IF(Q39&gt;Q37,1,0)</f>
        <v>1</v>
      </c>
      <c r="S39" s="55"/>
      <c r="T39" s="43">
        <v>6.0</v>
      </c>
      <c r="U39" s="54">
        <f>IF(T39&gt;T37,1,0)</f>
        <v>1</v>
      </c>
      <c r="V39" s="55"/>
      <c r="W39" s="46"/>
      <c r="X39" s="28">
        <f>IF(W39&gt;W37,1,0)</f>
        <v>0</v>
      </c>
      <c r="Y39" s="28">
        <f>IF(Q39="",0,1)</f>
        <v>1</v>
      </c>
      <c r="Z39" s="28">
        <f>IF(R39+U39=2,3,IF(R39+U39=1,1,0))</f>
        <v>3</v>
      </c>
      <c r="AA39" s="28">
        <f>IF(Z39=3,3,IF(X39+Z39=2,2,IF(Z39=1,1,0)))</f>
        <v>3</v>
      </c>
      <c r="AB39" s="28">
        <f>Q39+T39</f>
        <v>12</v>
      </c>
      <c r="AC39" s="28">
        <f>R39+U39+X39</f>
        <v>2</v>
      </c>
      <c r="AD39" s="28"/>
      <c r="AE39" s="28"/>
      <c r="AF39" s="28"/>
      <c r="AG39" s="28"/>
      <c r="AH39" s="28"/>
      <c r="AI39" s="28"/>
      <c r="AJ39" s="28"/>
      <c r="AK39" s="28"/>
      <c r="AL39" s="28"/>
    </row>
    <row r="40" ht="15.0" customHeight="1">
      <c r="A40" s="28"/>
      <c r="B40" s="37"/>
      <c r="C40" s="28"/>
      <c r="D40" s="37"/>
      <c r="E40" s="37"/>
      <c r="F40" s="28"/>
      <c r="G40" s="37"/>
      <c r="H40" s="37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ht="15.0" customHeight="1">
      <c r="A41" s="62" t="str">
        <f>AE21</f>
        <v>Fotios Evangelou</v>
      </c>
      <c r="B41" s="43">
        <v>3.0</v>
      </c>
      <c r="C41" s="44">
        <f>IF(B41&gt;B43,1,0)</f>
        <v>0</v>
      </c>
      <c r="D41" s="45"/>
      <c r="E41" s="43">
        <v>2.0</v>
      </c>
      <c r="F41" s="44">
        <f>IF(E41&gt;E43,1,0)</f>
        <v>0</v>
      </c>
      <c r="G41" s="45"/>
      <c r="H41" s="43"/>
      <c r="I41" s="28">
        <f>IF(H41&gt;H39,1,0)</f>
        <v>0</v>
      </c>
      <c r="J41" s="28">
        <f>IF(B41="",0,1)</f>
        <v>1</v>
      </c>
      <c r="K41" s="28">
        <f>IF(C41+F41=2,3,IF(C41+F41=1,1,0))</f>
        <v>0</v>
      </c>
      <c r="L41" s="28">
        <f>IF(K41=3,3,IF(I41+K41=2,2,IF(K41=1,1,0)))</f>
        <v>0</v>
      </c>
      <c r="M41" s="28">
        <f>B41+E41</f>
        <v>5</v>
      </c>
      <c r="N41" s="28">
        <f>C41+F41+I41</f>
        <v>0</v>
      </c>
      <c r="O41" s="28"/>
      <c r="P41" s="42" t="str">
        <f>AE17</f>
        <v>Jean Carl Azzopardi</v>
      </c>
      <c r="Q41" s="43">
        <v>6.0</v>
      </c>
      <c r="R41" s="44">
        <f>IF(Q41&gt;Q43,1,0)</f>
        <v>1</v>
      </c>
      <c r="S41" s="45"/>
      <c r="T41" s="43">
        <v>6.0</v>
      </c>
      <c r="U41" s="44">
        <f>IF(T41&gt;T43,1,0)</f>
        <v>1</v>
      </c>
      <c r="V41" s="45"/>
      <c r="W41" s="46"/>
      <c r="X41" s="28">
        <f>IF(W41&gt;W39,1,0)</f>
        <v>0</v>
      </c>
      <c r="Y41" s="28">
        <f>IF(Q41="",0,1)</f>
        <v>1</v>
      </c>
      <c r="Z41" s="28">
        <f>IF(R41+U41=2,3,IF(R41+U41=1,1,0))</f>
        <v>3</v>
      </c>
      <c r="AA41" s="28">
        <f>IF(Z41=3,3,IF(X41+Z41=2,2,IF(Z41=1,1,0)))</f>
        <v>3</v>
      </c>
      <c r="AB41" s="28">
        <f>Q41+T41</f>
        <v>12</v>
      </c>
      <c r="AC41" s="28">
        <f>R41+U41+X41</f>
        <v>2</v>
      </c>
      <c r="AD41" s="28"/>
      <c r="AE41" s="28"/>
      <c r="AF41" s="28"/>
      <c r="AG41" s="28"/>
      <c r="AH41" s="28"/>
      <c r="AI41" s="28"/>
      <c r="AJ41" s="28"/>
      <c r="AK41" s="28"/>
      <c r="AL41" s="28"/>
    </row>
    <row r="42" ht="15.0" customHeight="1">
      <c r="A42" s="50" t="s">
        <v>82</v>
      </c>
      <c r="H42" s="51"/>
      <c r="I42" s="28"/>
      <c r="J42" s="28"/>
      <c r="K42" s="28"/>
      <c r="L42" s="28"/>
      <c r="M42" s="28"/>
      <c r="N42" s="28"/>
      <c r="O42" s="28"/>
      <c r="P42" s="50" t="s">
        <v>82</v>
      </c>
      <c r="W42" s="51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ht="15.0" customHeight="1">
      <c r="A43" s="53" t="str">
        <f>AE15</f>
        <v>Sebastian Sanchez</v>
      </c>
      <c r="B43" s="43">
        <v>6.0</v>
      </c>
      <c r="C43" s="54">
        <f>IF(B43&gt;B41,1,0)</f>
        <v>1</v>
      </c>
      <c r="D43" s="55"/>
      <c r="E43" s="43">
        <v>6.0</v>
      </c>
      <c r="F43" s="54">
        <f>IF(E43&gt;E41,1,0)</f>
        <v>1</v>
      </c>
      <c r="G43" s="55"/>
      <c r="H43" s="43"/>
      <c r="I43" s="28">
        <f>IF(H43&gt;H41,1,0)</f>
        <v>0</v>
      </c>
      <c r="J43" s="28">
        <f>IF(B43="",0,1)</f>
        <v>1</v>
      </c>
      <c r="K43" s="28">
        <f>IF(C43+F43=2,3,IF(C43+F43=1,1,0))</f>
        <v>3</v>
      </c>
      <c r="L43" s="28">
        <f>IF(K43=3,3,IF(I43+K43=2,2,IF(K43=1,1,0)))</f>
        <v>3</v>
      </c>
      <c r="M43" s="28">
        <f>B43+E43</f>
        <v>12</v>
      </c>
      <c r="N43" s="28">
        <f>C43+F43+I43</f>
        <v>2</v>
      </c>
      <c r="O43" s="28"/>
      <c r="P43" s="53" t="str">
        <f>AE21</f>
        <v>Fotios Evangelou</v>
      </c>
      <c r="Q43" s="43">
        <v>2.0</v>
      </c>
      <c r="R43" s="54">
        <f>IF(Q43&gt;Q41,1,0)</f>
        <v>0</v>
      </c>
      <c r="S43" s="55"/>
      <c r="T43" s="43">
        <v>1.0</v>
      </c>
      <c r="U43" s="54">
        <f>IF(T43&gt;T41,1,0)</f>
        <v>0</v>
      </c>
      <c r="V43" s="55"/>
      <c r="W43" s="46"/>
      <c r="X43" s="28">
        <f>IF(W43&gt;W41,1,0)</f>
        <v>0</v>
      </c>
      <c r="Y43" s="28">
        <f>IF(Q43="",0,1)</f>
        <v>1</v>
      </c>
      <c r="Z43" s="28">
        <f>IF(R43+U43=2,3,IF(R43+U43=1,1,0))</f>
        <v>0</v>
      </c>
      <c r="AA43" s="28">
        <f>IF(Z43=3,3,IF(X43+Z43=2,2,IF(Z43=1,1,0)))</f>
        <v>0</v>
      </c>
      <c r="AB43" s="28">
        <f>Q43+T43</f>
        <v>3</v>
      </c>
      <c r="AC43" s="28">
        <f>R43+U43+X43</f>
        <v>0</v>
      </c>
      <c r="AD43" s="28"/>
      <c r="AE43" s="28"/>
      <c r="AF43" s="28"/>
      <c r="AG43" s="28"/>
      <c r="AH43" s="28"/>
      <c r="AI43" s="28"/>
      <c r="AJ43" s="28"/>
      <c r="AK43" s="28"/>
      <c r="AL43" s="28"/>
    </row>
    <row r="44" ht="15.0" customHeight="1">
      <c r="A44" s="28"/>
      <c r="B44" s="37"/>
      <c r="C44" s="28"/>
      <c r="D44" s="37"/>
      <c r="E44" s="37"/>
      <c r="F44" s="28"/>
      <c r="G44" s="37"/>
      <c r="H44" s="37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ht="15.0" customHeight="1">
      <c r="A45" s="42" t="str">
        <f>AE13</f>
        <v>Josef Cristiano</v>
      </c>
      <c r="B45" s="43">
        <v>3.0</v>
      </c>
      <c r="C45" s="44">
        <f>IF(B45&gt;B47,1,0)</f>
        <v>0</v>
      </c>
      <c r="D45" s="45"/>
      <c r="E45" s="43">
        <v>6.0</v>
      </c>
      <c r="F45" s="44">
        <f>IF(E45&gt;E47,1,0)</f>
        <v>1</v>
      </c>
      <c r="G45" s="45"/>
      <c r="H45" s="43">
        <v>10.0</v>
      </c>
      <c r="I45" s="28">
        <f>IF(H45&gt;H43,1,0)</f>
        <v>1</v>
      </c>
      <c r="J45" s="28">
        <f>IF(B45="",0,1)</f>
        <v>1</v>
      </c>
      <c r="K45" s="28">
        <f>IF(C45+F45=2,3,IF(C45+F45=1,1,0))</f>
        <v>1</v>
      </c>
      <c r="L45" s="28">
        <f>IF(K45=3,3,IF(I45+K45=2,2,IF(K45=1,1,0)))</f>
        <v>2</v>
      </c>
      <c r="M45" s="28">
        <f>B45+E45</f>
        <v>9</v>
      </c>
      <c r="N45" s="28">
        <f>C45+F45+I45</f>
        <v>2</v>
      </c>
      <c r="O45" s="28"/>
      <c r="P45" s="42" t="str">
        <f>AE11</f>
        <v>Jean Attard</v>
      </c>
      <c r="Q45" s="43">
        <v>6.0</v>
      </c>
      <c r="R45" s="44">
        <f>IF(Q45&gt;Q47,1,0)</f>
        <v>1</v>
      </c>
      <c r="S45" s="45"/>
      <c r="T45" s="43">
        <v>6.0</v>
      </c>
      <c r="U45" s="44">
        <f>IF(T45&gt;T47,1,0)</f>
        <v>1</v>
      </c>
      <c r="V45" s="45"/>
      <c r="W45" s="46"/>
      <c r="X45" s="28">
        <f>IF(W45&gt;W43,1,0)</f>
        <v>0</v>
      </c>
      <c r="Y45" s="28">
        <f>IF(Q45="",0,1)</f>
        <v>1</v>
      </c>
      <c r="Z45" s="28">
        <f>IF(R45+U45=2,3,IF(R45+U45=1,1,0))</f>
        <v>3</v>
      </c>
      <c r="AA45" s="28">
        <f>IF(Z45=3,3,IF(X45+Z45=2,2,IF(Z45=1,1,0)))</f>
        <v>3</v>
      </c>
      <c r="AB45" s="28">
        <f>Q45+T45</f>
        <v>12</v>
      </c>
      <c r="AC45" s="28">
        <f>R45+U45+X45</f>
        <v>2</v>
      </c>
      <c r="AD45" s="28"/>
      <c r="AE45" s="28"/>
      <c r="AF45" s="28"/>
      <c r="AG45" s="28"/>
      <c r="AH45" s="28"/>
      <c r="AI45" s="28"/>
      <c r="AJ45" s="28"/>
      <c r="AK45" s="28"/>
      <c r="AL45" s="28"/>
    </row>
    <row r="46" ht="15.0" customHeight="1">
      <c r="A46" s="50" t="s">
        <v>82</v>
      </c>
      <c r="H46" s="51"/>
      <c r="I46" s="28"/>
      <c r="J46" s="28"/>
      <c r="K46" s="28"/>
      <c r="L46" s="28"/>
      <c r="M46" s="28"/>
      <c r="N46" s="28"/>
      <c r="O46" s="28"/>
      <c r="P46" s="50" t="s">
        <v>82</v>
      </c>
      <c r="W46" s="51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ht="13.5" customHeight="1">
      <c r="A47" s="53" t="str">
        <f>AE21</f>
        <v>Fotios Evangelou</v>
      </c>
      <c r="B47" s="43">
        <v>6.0</v>
      </c>
      <c r="C47" s="54">
        <f>IF(B47&gt;B45,1,0)</f>
        <v>1</v>
      </c>
      <c r="D47" s="55"/>
      <c r="E47" s="43">
        <v>2.0</v>
      </c>
      <c r="F47" s="54">
        <f>IF(E47&gt;E45,1,0)</f>
        <v>0</v>
      </c>
      <c r="G47" s="55"/>
      <c r="H47" s="43">
        <v>7.0</v>
      </c>
      <c r="I47" s="28">
        <f>IF(H47&gt;H45,1,0)</f>
        <v>0</v>
      </c>
      <c r="J47" s="28">
        <f>IF(B47="",0,1)</f>
        <v>1</v>
      </c>
      <c r="K47" s="28">
        <f>IF(C47+F47=2,3,IF(C47+F47=1,1,0))</f>
        <v>1</v>
      </c>
      <c r="L47" s="28">
        <f>IF(K47=3,3,IF(I47+K47=2,2,IF(K47=1,1,0)))</f>
        <v>1</v>
      </c>
      <c r="M47" s="28">
        <f>B47+E47</f>
        <v>8</v>
      </c>
      <c r="N47" s="28">
        <f>C47+F47+I47</f>
        <v>1</v>
      </c>
      <c r="O47" s="28"/>
      <c r="P47" s="53" t="str">
        <f>AE21</f>
        <v>Fotios Evangelou</v>
      </c>
      <c r="Q47" s="43">
        <v>1.0</v>
      </c>
      <c r="R47" s="54">
        <f>IF(Q47&gt;Q45,1,0)</f>
        <v>0</v>
      </c>
      <c r="S47" s="55"/>
      <c r="T47" s="43">
        <v>3.0</v>
      </c>
      <c r="U47" s="54">
        <f>IF(T47&gt;T45,1,0)</f>
        <v>0</v>
      </c>
      <c r="V47" s="55"/>
      <c r="W47" s="46"/>
      <c r="X47" s="28">
        <f>IF(W47&gt;W45,1,0)</f>
        <v>0</v>
      </c>
      <c r="Y47" s="28">
        <f>IF(Q47="",0,1)</f>
        <v>1</v>
      </c>
      <c r="Z47" s="28">
        <f>IF(R47+U47=2,3,IF(R47+U47=1,1,0))</f>
        <v>0</v>
      </c>
      <c r="AA47" s="28">
        <f>IF(Z47=3,3,IF(X47+Z47=2,2,IF(Z47=1,1,0)))</f>
        <v>0</v>
      </c>
      <c r="AB47" s="28">
        <f>Q47+T47</f>
        <v>4</v>
      </c>
      <c r="AC47" s="28">
        <f>R47+U47+X47</f>
        <v>0</v>
      </c>
      <c r="AD47" s="28"/>
      <c r="AE47" s="28"/>
      <c r="AF47" s="28"/>
      <c r="AG47" s="28"/>
      <c r="AH47" s="28"/>
      <c r="AI47" s="28"/>
      <c r="AJ47" s="28"/>
      <c r="AK47" s="28"/>
      <c r="AL47" s="28"/>
    </row>
    <row r="48" ht="13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ht="13.5" customHeight="1">
      <c r="A49" s="42" t="str">
        <f>AE9</f>
        <v>Trevor Rutter</v>
      </c>
      <c r="B49" s="43">
        <v>6.0</v>
      </c>
      <c r="C49" s="44">
        <f>IF(B49&gt;B51,1,0)</f>
        <v>1</v>
      </c>
      <c r="D49" s="45"/>
      <c r="E49" s="43">
        <v>6.0</v>
      </c>
      <c r="F49" s="44">
        <f>IF(E49&gt;E51,1,0)</f>
        <v>1</v>
      </c>
      <c r="G49" s="45"/>
      <c r="H49" s="46"/>
      <c r="I49" s="28">
        <f>IF(H49&gt;H47,1,0)</f>
        <v>0</v>
      </c>
      <c r="J49" s="28">
        <f>IF(B49="",0,1)</f>
        <v>1</v>
      </c>
      <c r="K49" s="28">
        <f>IF(C49+F49=2,3,IF(C49+F49=1,1,0))</f>
        <v>3</v>
      </c>
      <c r="L49" s="28">
        <f>IF(K49=3,3,IF(I49+K49=2,2,IF(K49=1,1,0)))</f>
        <v>3</v>
      </c>
      <c r="M49" s="28">
        <f>B49+E49</f>
        <v>12</v>
      </c>
      <c r="N49" s="28">
        <f>C49+F49+I49</f>
        <v>2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ht="13.5" customHeight="1">
      <c r="A50" s="50" t="s">
        <v>82</v>
      </c>
      <c r="H50" s="51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ht="13.5" customHeight="1">
      <c r="A51" s="53" t="str">
        <f>AE21</f>
        <v>Fotios Evangelou</v>
      </c>
      <c r="B51" s="43">
        <v>3.0</v>
      </c>
      <c r="C51" s="54">
        <f>IF(B51&gt;B49,1,0)</f>
        <v>0</v>
      </c>
      <c r="D51" s="55"/>
      <c r="E51" s="43">
        <v>2.0</v>
      </c>
      <c r="F51" s="54">
        <f>IF(E51&gt;E49,1,0)</f>
        <v>0</v>
      </c>
      <c r="G51" s="55"/>
      <c r="H51" s="46"/>
      <c r="I51" s="28">
        <f>IF(H51&gt;H49,1,0)</f>
        <v>0</v>
      </c>
      <c r="J51" s="28">
        <f>IF(B51="",0,1)</f>
        <v>1</v>
      </c>
      <c r="K51" s="28">
        <f>IF(C51+F51=2,3,IF(C51+F51=1,1,0))</f>
        <v>0</v>
      </c>
      <c r="L51" s="28">
        <f>IF(K51=3,3,IF(I51+K51=2,2,IF(K51=1,1,0)))</f>
        <v>0</v>
      </c>
      <c r="M51" s="28">
        <f>B51+E51</f>
        <v>5</v>
      </c>
      <c r="N51" s="28">
        <f>C51+F51+I51</f>
        <v>0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ht="13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ht="13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ht="13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ht="13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ht="13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ht="13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ht="13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ht="13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37"/>
      <c r="R61" s="37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</row>
    <row r="64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</row>
    <row r="65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</row>
    <row r="6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</row>
    <row r="67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</row>
    <row r="68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</row>
    <row r="69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</row>
    <row r="72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</row>
    <row r="73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</row>
    <row r="74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</row>
    <row r="75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</row>
    <row r="7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</row>
    <row r="77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</row>
    <row r="78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</row>
    <row r="79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</row>
    <row r="80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</row>
    <row r="81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</row>
    <row r="85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</row>
    <row r="93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</row>
    <row r="130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</row>
    <row r="132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</row>
    <row r="133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</row>
    <row r="134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</row>
    <row r="140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</row>
    <row r="205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</row>
    <row r="20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</row>
    <row r="207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</row>
    <row r="208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</row>
    <row r="209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</row>
    <row r="215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</sheetData>
  <mergeCells count="29">
    <mergeCell ref="A1:AI3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22:H22"/>
    <mergeCell ref="P22:W22"/>
    <mergeCell ref="AE23:AI23"/>
    <mergeCell ref="AE24:AI24"/>
    <mergeCell ref="A34:H34"/>
    <mergeCell ref="A38:H38"/>
    <mergeCell ref="P38:W38"/>
    <mergeCell ref="A42:H42"/>
    <mergeCell ref="P42:W42"/>
    <mergeCell ref="A46:H46"/>
    <mergeCell ref="P46:W46"/>
    <mergeCell ref="A50:H50"/>
    <mergeCell ref="A26:H26"/>
    <mergeCell ref="P26:W26"/>
    <mergeCell ref="AE26:AI26"/>
    <mergeCell ref="AE27:AI27"/>
    <mergeCell ref="A30:H30"/>
    <mergeCell ref="P30:W30"/>
    <mergeCell ref="P34:W34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5.25"/>
    <col customWidth="1" hidden="1" min="10" max="10" width="5.0"/>
    <col customWidth="1" hidden="1" min="11" max="11" width="5.25"/>
    <col customWidth="1" hidden="1" min="12" max="12" width="5.13"/>
    <col customWidth="1" hidden="1" min="13" max="13" width="4.75"/>
    <col customWidth="1" hidden="1" min="14" max="14" width="5.0"/>
    <col customWidth="1" min="15" max="15" width="8.63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5.0"/>
    <col customWidth="1" hidden="1" min="25" max="25" width="4.63"/>
    <col customWidth="1" hidden="1" min="26" max="26" width="4.5"/>
    <col customWidth="1" hidden="1" min="27" max="27" width="4.13"/>
    <col customWidth="1" hidden="1" min="28" max="28" width="4.0"/>
    <col customWidth="1" hidden="1" min="29" max="29" width="3.88"/>
    <col customWidth="1" min="30" max="30" width="8.63"/>
    <col customWidth="1" min="31" max="31" width="39.88"/>
    <col customWidth="1" min="32" max="32" width="10.0"/>
    <col customWidth="1" min="33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24" t="s">
        <v>0</v>
      </c>
      <c r="AJ1" s="4"/>
      <c r="AK1" s="4"/>
      <c r="AL1" s="4"/>
    </row>
    <row r="2" ht="21.0" customHeight="1">
      <c r="AJ2" s="4"/>
      <c r="AK2" s="4"/>
      <c r="AL2" s="4"/>
    </row>
    <row r="3" ht="15.0" customHeight="1">
      <c r="AJ3" s="4"/>
      <c r="AK3" s="4"/>
      <c r="AL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63" t="s">
        <v>85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</row>
    <row r="6" ht="15.0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>
      <c r="A7" s="64" t="s">
        <v>62</v>
      </c>
      <c r="B7" s="65" t="s">
        <v>63</v>
      </c>
      <c r="C7" s="31"/>
      <c r="D7" s="31"/>
      <c r="E7" s="32"/>
      <c r="F7" s="66"/>
      <c r="G7" s="67"/>
      <c r="H7" s="64" t="s">
        <v>64</v>
      </c>
      <c r="I7" s="35"/>
      <c r="J7" s="35"/>
      <c r="K7" s="35"/>
      <c r="L7" s="35"/>
      <c r="M7" s="36"/>
      <c r="N7" s="36"/>
      <c r="O7" s="36"/>
      <c r="P7" s="64" t="s">
        <v>62</v>
      </c>
      <c r="Q7" s="65" t="s">
        <v>63</v>
      </c>
      <c r="R7" s="31"/>
      <c r="S7" s="31"/>
      <c r="T7" s="32"/>
      <c r="U7" s="66"/>
      <c r="V7" s="67"/>
      <c r="W7" s="64" t="s">
        <v>64</v>
      </c>
      <c r="X7" s="35"/>
      <c r="Y7" s="36"/>
      <c r="Z7" s="36"/>
      <c r="AA7" s="36"/>
      <c r="AB7" s="36"/>
      <c r="AC7" s="36"/>
      <c r="AD7" s="36"/>
      <c r="AE7" s="64" t="s">
        <v>65</v>
      </c>
      <c r="AF7" s="64" t="s">
        <v>66</v>
      </c>
      <c r="AG7" s="64" t="s">
        <v>67</v>
      </c>
      <c r="AH7" s="64" t="s">
        <v>68</v>
      </c>
      <c r="AI7" s="64" t="s">
        <v>69</v>
      </c>
      <c r="AJ7" s="37"/>
      <c r="AK7" s="37"/>
      <c r="AL7" s="28"/>
    </row>
    <row r="8" hidden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38" t="s">
        <v>79</v>
      </c>
      <c r="AK8" s="40" t="s">
        <v>80</v>
      </c>
      <c r="AL8" s="41" t="s">
        <v>81</v>
      </c>
    </row>
    <row r="9">
      <c r="A9" s="68" t="str">
        <f>AE9</f>
        <v>Kristen Cachia</v>
      </c>
      <c r="B9" s="69">
        <v>0.0</v>
      </c>
      <c r="C9" s="70">
        <f>IF(B9&gt;B11,1,0)</f>
        <v>0</v>
      </c>
      <c r="D9" s="71"/>
      <c r="E9" s="69">
        <v>0.0</v>
      </c>
      <c r="F9" s="70">
        <f>IF(E9&gt;E11,1,0)</f>
        <v>0</v>
      </c>
      <c r="G9" s="71"/>
      <c r="H9" s="72"/>
      <c r="I9" s="28">
        <f>IF(H9&gt;H11,1,0)</f>
        <v>0</v>
      </c>
      <c r="J9" s="28">
        <f>IF(B9="",0,1)</f>
        <v>1</v>
      </c>
      <c r="K9" s="28">
        <f>IF(C9+F9=2,3,IF(C9+F9=1,1,0))</f>
        <v>0</v>
      </c>
      <c r="L9" s="28">
        <f>IF(K9=3,3,IF(I9+K9=2,2,IF(K9=1,1,0)))</f>
        <v>0</v>
      </c>
      <c r="M9" s="28">
        <f>B9+E9</f>
        <v>0</v>
      </c>
      <c r="N9" s="28">
        <f>C9+F9+I9</f>
        <v>0</v>
      </c>
      <c r="O9" s="28"/>
      <c r="P9" s="42" t="str">
        <f>AE9</f>
        <v>Kristen Cachia</v>
      </c>
      <c r="Q9" s="43">
        <v>6.0</v>
      </c>
      <c r="R9" s="44">
        <f>IF(Q9&gt;Q11,1,0)</f>
        <v>1</v>
      </c>
      <c r="S9" s="45"/>
      <c r="T9" s="43">
        <v>6.0</v>
      </c>
      <c r="U9" s="44">
        <f>IF(T9&gt;T11,1,0)</f>
        <v>1</v>
      </c>
      <c r="V9" s="45"/>
      <c r="W9" s="46"/>
      <c r="X9" s="28">
        <f>IF(W9&gt;W11,1,0)</f>
        <v>0</v>
      </c>
      <c r="Y9" s="28">
        <f>IF(Q9="",0,1)</f>
        <v>1</v>
      </c>
      <c r="Z9" s="28">
        <f>IF(R9+U9=2,3,IF(R9+U9=1,1,0))</f>
        <v>3</v>
      </c>
      <c r="AA9" s="28">
        <f>IF(Z9=3,3,IF(X9+Z9=2,2,IF(Z9=1,1,0)))</f>
        <v>3</v>
      </c>
      <c r="AB9" s="28">
        <f>Q9+T9</f>
        <v>12</v>
      </c>
      <c r="AC9" s="28">
        <f>R9+U9+X9</f>
        <v>2</v>
      </c>
      <c r="AD9" s="28"/>
      <c r="AE9" s="73" t="str">
        <f>'Players - Men'!B16</f>
        <v>Kristen Cachia</v>
      </c>
      <c r="AF9" s="48">
        <f>J9+Y9+J13+Y13+J17+J49</f>
        <v>5</v>
      </c>
      <c r="AG9" s="48">
        <f t="shared" ref="AG9:AI9" si="1">L9+AA9+L13+AA13+L17+L49</f>
        <v>9</v>
      </c>
      <c r="AH9" s="48">
        <f t="shared" si="1"/>
        <v>41</v>
      </c>
      <c r="AI9" s="49">
        <f t="shared" si="1"/>
        <v>6</v>
      </c>
      <c r="AJ9" s="28">
        <f>MAX(AG9:AG19)</f>
        <v>11</v>
      </c>
      <c r="AK9" s="28">
        <f>SUM(AF9:AF19)</f>
        <v>32</v>
      </c>
      <c r="AL9" s="28" t="str">
        <f>IF(AG9=$AJ$9,AE9,IF(AG11=$AJ$9,AE11,IF(AG13=$AJ$9,AE13,IF(AG15=$AJ$9,AE15,IF(AG17=$AJ$9,AE17,IF(AG19=$AJ$9,AE19,""))))))</f>
        <v>Justin Graeme Christie</v>
      </c>
    </row>
    <row r="10" ht="15.0" customHeight="1">
      <c r="A10" s="74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28"/>
    </row>
    <row r="11" ht="15.0" customHeight="1">
      <c r="A11" s="75" t="str">
        <f>AE11</f>
        <v>Emman Xuereb</v>
      </c>
      <c r="B11" s="69">
        <v>0.0</v>
      </c>
      <c r="C11" s="76">
        <f>IF(B11&gt;B9,1,0)</f>
        <v>0</v>
      </c>
      <c r="D11" s="77"/>
      <c r="E11" s="69">
        <v>0.0</v>
      </c>
      <c r="F11" s="76">
        <f>IF(E11&gt;E9,1,0)</f>
        <v>0</v>
      </c>
      <c r="G11" s="77"/>
      <c r="H11" s="72"/>
      <c r="I11" s="28">
        <f>IF(H11&gt;H9,1,0)</f>
        <v>0</v>
      </c>
      <c r="J11" s="28">
        <f>IF(B11="",0,1)</f>
        <v>1</v>
      </c>
      <c r="K11" s="28">
        <f>IF(C11+F11=2,3,IF(C11+F11=1,1,0))</f>
        <v>0</v>
      </c>
      <c r="L11" s="28">
        <f>IF(K11=3,3,IF(I11+K11=2,2,IF(K11=1,1,0)))</f>
        <v>0</v>
      </c>
      <c r="M11" s="28">
        <f>B11+E11</f>
        <v>0</v>
      </c>
      <c r="N11" s="28">
        <f>C11+F11+I11</f>
        <v>0</v>
      </c>
      <c r="O11" s="28"/>
      <c r="P11" s="53" t="str">
        <f>AE13</f>
        <v>Sandro Pecorella</v>
      </c>
      <c r="Q11" s="43">
        <v>1.0</v>
      </c>
      <c r="R11" s="54">
        <f>IF(Q11&gt;Q9,1,0)</f>
        <v>0</v>
      </c>
      <c r="S11" s="55"/>
      <c r="T11" s="43">
        <v>3.0</v>
      </c>
      <c r="U11" s="54">
        <f>IF(T11&gt;T9,1,0)</f>
        <v>0</v>
      </c>
      <c r="V11" s="55"/>
      <c r="W11" s="46"/>
      <c r="X11" s="28">
        <f>IF(W11&gt;W9,1,0)</f>
        <v>0</v>
      </c>
      <c r="Y11" s="28">
        <f>IF(Q11="",0,1)</f>
        <v>1</v>
      </c>
      <c r="Z11" s="28">
        <f>IF(R11+U11=2,3,IF(R11+U11=1,1,0))</f>
        <v>0</v>
      </c>
      <c r="AA11" s="28">
        <f>IF(Z11=3,3,IF(X11+Z11=2,2,IF(Z11=1,1,0)))</f>
        <v>0</v>
      </c>
      <c r="AB11" s="28">
        <f>Q11+T11</f>
        <v>4</v>
      </c>
      <c r="AC11" s="28">
        <f>R11+U11+X11</f>
        <v>0</v>
      </c>
      <c r="AD11" s="28"/>
      <c r="AE11" s="73" t="str">
        <f>'Players - Men'!B17</f>
        <v>Emman Xuereb</v>
      </c>
      <c r="AF11" s="78">
        <f>J11+Y25+J25+Y21+J21+Y45</f>
        <v>6</v>
      </c>
      <c r="AG11" s="78">
        <f t="shared" ref="AG11:AI11" si="2">L11+AA25+L25+AA21+L21+AA45</f>
        <v>0</v>
      </c>
      <c r="AH11" s="78">
        <f t="shared" si="2"/>
        <v>0</v>
      </c>
      <c r="AI11" s="79">
        <f t="shared" si="2"/>
        <v>0</v>
      </c>
      <c r="AJ11" s="37"/>
      <c r="AK11" s="37"/>
      <c r="AL11" s="28"/>
    </row>
    <row r="12" ht="15.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28"/>
    </row>
    <row r="13" ht="15.0" customHeight="1">
      <c r="A13" s="42" t="str">
        <f>AE9</f>
        <v>Kristen Cachia</v>
      </c>
      <c r="B13" s="43">
        <v>0.0</v>
      </c>
      <c r="C13" s="44">
        <f>IF(B13&gt;B15,1,0)</f>
        <v>0</v>
      </c>
      <c r="D13" s="45"/>
      <c r="E13" s="43">
        <v>5.0</v>
      </c>
      <c r="F13" s="44">
        <f>IF(E13&gt;E15,1,0)</f>
        <v>0</v>
      </c>
      <c r="G13" s="45"/>
      <c r="H13" s="46"/>
      <c r="I13" s="28">
        <f>IF(H13&gt;H15,1,0)</f>
        <v>0</v>
      </c>
      <c r="J13" s="28">
        <f>IF(B13="",0,1)</f>
        <v>1</v>
      </c>
      <c r="K13" s="28">
        <f>IF(C13+F13=2,3,IF(C13+F13=1,1,0))</f>
        <v>0</v>
      </c>
      <c r="L13" s="28">
        <f>IF(K13=3,3,IF(I13+K13=2,2,IF(K13=1,1,0)))</f>
        <v>0</v>
      </c>
      <c r="M13" s="28">
        <f>B13+E13</f>
        <v>5</v>
      </c>
      <c r="N13" s="28">
        <f>C13+F13+I13</f>
        <v>0</v>
      </c>
      <c r="O13" s="28"/>
      <c r="P13" s="42" t="str">
        <f>AE9</f>
        <v>Kristen Cachia</v>
      </c>
      <c r="Q13" s="43">
        <v>6.0</v>
      </c>
      <c r="R13" s="44">
        <f>IF(Q13&gt;Q15,1,0)</f>
        <v>1</v>
      </c>
      <c r="S13" s="45"/>
      <c r="T13" s="43">
        <v>6.0</v>
      </c>
      <c r="U13" s="44">
        <f>IF(T13&gt;T15,1,0)</f>
        <v>1</v>
      </c>
      <c r="V13" s="45"/>
      <c r="W13" s="46"/>
      <c r="X13" s="28">
        <f>IF(W13&gt;W15,1,0)</f>
        <v>0</v>
      </c>
      <c r="Y13" s="28">
        <f>IF(Q13="",0,1)</f>
        <v>1</v>
      </c>
      <c r="Z13" s="28">
        <f>IF(R13+U13=2,3,IF(R13+U13=1,1,0))</f>
        <v>3</v>
      </c>
      <c r="AA13" s="28">
        <f>IF(Z13=3,3,IF(X13+Z13=2,2,IF(Z13=1,1,0)))</f>
        <v>3</v>
      </c>
      <c r="AB13" s="28">
        <f>Q13+T13</f>
        <v>12</v>
      </c>
      <c r="AC13" s="28">
        <f>R13+U13+X13</f>
        <v>2</v>
      </c>
      <c r="AD13" s="28"/>
      <c r="AE13" s="73" t="str">
        <f>'Players - Men'!B18</f>
        <v>Sandro Pecorella</v>
      </c>
      <c r="AF13" s="48">
        <f>Y29+Y11+Y33+J33+J23+J45</f>
        <v>6</v>
      </c>
      <c r="AG13" s="48">
        <f t="shared" ref="AG13:AI13" si="3">AA29+AA11+AA33+L33+L23+L45</f>
        <v>2</v>
      </c>
      <c r="AH13" s="48">
        <f t="shared" si="3"/>
        <v>23</v>
      </c>
      <c r="AI13" s="49">
        <f t="shared" si="3"/>
        <v>2</v>
      </c>
      <c r="AJ13" s="37"/>
      <c r="AK13" s="37"/>
      <c r="AL13" s="28"/>
    </row>
    <row r="14" ht="15.0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28"/>
    </row>
    <row r="15" ht="15.0" customHeight="1">
      <c r="A15" s="53" t="str">
        <f>AE15</f>
        <v>Justin Graeme Christie</v>
      </c>
      <c r="B15" s="43">
        <v>6.0</v>
      </c>
      <c r="C15" s="54">
        <f>IF(B15&gt;B13,1,0)</f>
        <v>1</v>
      </c>
      <c r="D15" s="55"/>
      <c r="E15" s="43">
        <v>7.0</v>
      </c>
      <c r="F15" s="54">
        <f>IF(E15&gt;E13,1,0)</f>
        <v>1</v>
      </c>
      <c r="G15" s="55"/>
      <c r="H15" s="46"/>
      <c r="I15" s="28">
        <f>IF(H15&gt;H13,1,0)</f>
        <v>0</v>
      </c>
      <c r="J15" s="28">
        <f>IF(B15="",0,1)</f>
        <v>1</v>
      </c>
      <c r="K15" s="28">
        <f>IF(C15+F15=2,3,IF(C15+F15=1,1,0))</f>
        <v>3</v>
      </c>
      <c r="L15" s="28">
        <f>IF(K15=3,3,IF(I15+K15=2,2,IF(K15=1,1,0)))</f>
        <v>3</v>
      </c>
      <c r="M15" s="28">
        <f>B15+E15</f>
        <v>13</v>
      </c>
      <c r="N15" s="28">
        <f>C15+F15+I15</f>
        <v>2</v>
      </c>
      <c r="O15" s="28"/>
      <c r="P15" s="53" t="str">
        <f>AE17</f>
        <v>Ivan Cassar</v>
      </c>
      <c r="Q15" s="43">
        <v>4.0</v>
      </c>
      <c r="R15" s="54">
        <f>IF(Q15&gt;Q13,1,0)</f>
        <v>0</v>
      </c>
      <c r="S15" s="55"/>
      <c r="T15" s="43">
        <v>3.0</v>
      </c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1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7</v>
      </c>
      <c r="AC15" s="28">
        <f>R15+U15+X15</f>
        <v>0</v>
      </c>
      <c r="AD15" s="28"/>
      <c r="AE15" s="73" t="str">
        <f>'Players - Men'!B19</f>
        <v>Justin Graeme Christie</v>
      </c>
      <c r="AF15" s="48">
        <f>Y31+J37+J15+Y23+J29+J43</f>
        <v>5</v>
      </c>
      <c r="AG15" s="48">
        <f t="shared" ref="AG15:AI15" si="4">AA31+L37+L15+AA23+L29+L43</f>
        <v>11</v>
      </c>
      <c r="AH15" s="48">
        <f t="shared" si="4"/>
        <v>49</v>
      </c>
      <c r="AI15" s="49">
        <f t="shared" si="4"/>
        <v>8</v>
      </c>
      <c r="AJ15" s="37"/>
      <c r="AK15" s="37"/>
      <c r="AL15" s="28"/>
    </row>
    <row r="16" ht="15.0" customHeight="1">
      <c r="A16" s="28"/>
      <c r="B16" s="3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28"/>
    </row>
    <row r="17" ht="15.0" customHeight="1">
      <c r="A17" s="42" t="str">
        <f>AE9</f>
        <v>Kristen Cachia</v>
      </c>
      <c r="B17" s="46"/>
      <c r="C17" s="44">
        <f>IF(B17&gt;B19,1,0)</f>
        <v>0</v>
      </c>
      <c r="D17" s="45"/>
      <c r="E17" s="46"/>
      <c r="F17" s="44">
        <f>IF(E17&gt;E19,1,0)</f>
        <v>0</v>
      </c>
      <c r="G17" s="45"/>
      <c r="H17" s="46"/>
      <c r="I17" s="28">
        <f>IF(H17&gt;H19,1,0)</f>
        <v>0</v>
      </c>
      <c r="J17" s="28">
        <f>IF(B17="",0,1)</f>
        <v>0</v>
      </c>
      <c r="K17" s="28">
        <f>IF(C17+F17=2,3,IF(C17+F17=1,1,0))</f>
        <v>0</v>
      </c>
      <c r="L17" s="28">
        <f>IF(K17=3,3,IF(I17+K17=2,2,IF(K17=1,1,0)))</f>
        <v>0</v>
      </c>
      <c r="M17" s="28">
        <f>B17+E17</f>
        <v>0</v>
      </c>
      <c r="N17" s="28">
        <f>C17+F17+I17</f>
        <v>0</v>
      </c>
      <c r="O17" s="28"/>
      <c r="P17" s="42" t="str">
        <f>AE17</f>
        <v>Ivan Cassar</v>
      </c>
      <c r="Q17" s="43">
        <v>2.0</v>
      </c>
      <c r="R17" s="44">
        <f>IF(Q17&gt;Q19,1,0)</f>
        <v>0</v>
      </c>
      <c r="S17" s="45"/>
      <c r="T17" s="43">
        <v>0.0</v>
      </c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2</v>
      </c>
      <c r="AC17" s="28">
        <f>R17+U17+X17</f>
        <v>0</v>
      </c>
      <c r="AD17" s="28"/>
      <c r="AE17" s="73" t="str">
        <f>'Players - Men'!B20</f>
        <v>Ivan Cassar</v>
      </c>
      <c r="AF17" s="48">
        <f>Y17+J39+J27+Y15+J35+Y41</f>
        <v>5</v>
      </c>
      <c r="AG17" s="48">
        <f t="shared" ref="AG17:AI17" si="5">AA17+L39+L27+AA15+L35+AA41</f>
        <v>6</v>
      </c>
      <c r="AH17" s="48">
        <f t="shared" si="5"/>
        <v>34</v>
      </c>
      <c r="AI17" s="49">
        <f t="shared" si="5"/>
        <v>4</v>
      </c>
      <c r="AJ17" s="37"/>
      <c r="AK17" s="37"/>
      <c r="AL17" s="28"/>
    </row>
    <row r="18" ht="15.0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28"/>
    </row>
    <row r="19" ht="15.0" customHeight="1">
      <c r="A19" s="53" t="str">
        <f>AE19</f>
        <v>Jurgen Farrugia</v>
      </c>
      <c r="B19" s="46"/>
      <c r="C19" s="54">
        <f>IF(B19&gt;B17,1,0)</f>
        <v>0</v>
      </c>
      <c r="D19" s="55"/>
      <c r="E19" s="46"/>
      <c r="F19" s="54">
        <f>IF(E19&gt;E17,1,0)</f>
        <v>0</v>
      </c>
      <c r="G19" s="55"/>
      <c r="H19" s="46"/>
      <c r="I19" s="28">
        <f>IF(H19&gt;H17,1,0)</f>
        <v>0</v>
      </c>
      <c r="J19" s="28">
        <f>IF(B19="",0,1)</f>
        <v>0</v>
      </c>
      <c r="K19" s="28">
        <f>IF(C19+F19=2,3,IF(C19+F19=1,1,0))</f>
        <v>0</v>
      </c>
      <c r="L19" s="28">
        <f>IF(K19=3,3,IF(I19+K19=2,2,IF(K19=1,1,0)))</f>
        <v>0</v>
      </c>
      <c r="M19" s="28">
        <f>B19+E19</f>
        <v>0</v>
      </c>
      <c r="N19" s="28">
        <f>C19+F19+I19</f>
        <v>0</v>
      </c>
      <c r="O19" s="28"/>
      <c r="P19" s="53" t="str">
        <f>AE19</f>
        <v>Jurgen Farrugia</v>
      </c>
      <c r="Q19" s="43">
        <v>6.0</v>
      </c>
      <c r="R19" s="54">
        <f>IF(Q19&gt;Q17,1,0)</f>
        <v>1</v>
      </c>
      <c r="S19" s="55"/>
      <c r="T19" s="43">
        <v>6.0</v>
      </c>
      <c r="U19" s="54">
        <f>IF(T19&gt;T17,1,0)</f>
        <v>1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3</v>
      </c>
      <c r="AA19" s="28">
        <f>IF(Z19=3,3,IF(X19+Z19=2,2,IF(Z19=1,1,0)))</f>
        <v>3</v>
      </c>
      <c r="AB19" s="28">
        <f>Q19+T19</f>
        <v>12</v>
      </c>
      <c r="AC19" s="28">
        <f>R19+U19+X19</f>
        <v>2</v>
      </c>
      <c r="AD19" s="28"/>
      <c r="AE19" s="73" t="str">
        <f>'Players - Men'!B21</f>
        <v>Jurgen Farrugia</v>
      </c>
      <c r="AF19" s="48">
        <f>Y19+Y27+Y35+J19+J31+Y39</f>
        <v>5</v>
      </c>
      <c r="AG19" s="48">
        <f>AA19+AA35+L31+AA27+L19+AA39</f>
        <v>10</v>
      </c>
      <c r="AH19" s="48">
        <f t="shared" ref="AH19:AI19" si="6">AB19+AB27+AB35+M19+M31+AB39</f>
        <v>44</v>
      </c>
      <c r="AI19" s="49">
        <f t="shared" si="6"/>
        <v>7</v>
      </c>
      <c r="AJ19" s="28"/>
      <c r="AK19" s="37"/>
      <c r="AL19" s="28"/>
    </row>
    <row r="20" ht="15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ht="15.0" customHeight="1">
      <c r="A21" s="68" t="str">
        <f>AE11</f>
        <v>Emman Xuereb</v>
      </c>
      <c r="B21" s="69">
        <v>0.0</v>
      </c>
      <c r="C21" s="70">
        <f>IF(B21&gt;B23,1,0)</f>
        <v>0</v>
      </c>
      <c r="D21" s="71"/>
      <c r="E21" s="69">
        <v>0.0</v>
      </c>
      <c r="F21" s="70">
        <f>IF(E21&gt;E23,1,0)</f>
        <v>0</v>
      </c>
      <c r="G21" s="71"/>
      <c r="H21" s="72"/>
      <c r="I21" s="28">
        <f>IF(H21&gt;H23,1,0)</f>
        <v>0</v>
      </c>
      <c r="J21" s="28">
        <f>IF(B21="",0,1)</f>
        <v>1</v>
      </c>
      <c r="K21" s="28">
        <f>IF(C21+F21=2,3,IF(C21+F21=1,1,0))</f>
        <v>0</v>
      </c>
      <c r="L21" s="28">
        <f>IF(K21=3,3,IF(I21+K21=2,2,IF(K21=1,1,0)))</f>
        <v>0</v>
      </c>
      <c r="M21" s="28">
        <f>B21+E21</f>
        <v>0</v>
      </c>
      <c r="N21" s="28">
        <f>C21+F21+I21</f>
        <v>0</v>
      </c>
      <c r="O21" s="28"/>
      <c r="P21" s="68" t="str">
        <f>AE11</f>
        <v>Emman Xuereb</v>
      </c>
      <c r="Q21" s="69">
        <v>0.0</v>
      </c>
      <c r="R21" s="70">
        <f>IF(Q21&gt;Q23,1,0)</f>
        <v>0</v>
      </c>
      <c r="S21" s="71"/>
      <c r="T21" s="69">
        <v>0.0</v>
      </c>
      <c r="U21" s="70">
        <f>IF(T21&gt;T23,1,0)</f>
        <v>0</v>
      </c>
      <c r="V21" s="71"/>
      <c r="W21" s="72"/>
      <c r="X21" s="28">
        <f>IF(W21&gt;W23,1,0)</f>
        <v>0</v>
      </c>
      <c r="Y21" s="28">
        <f>IF(Q21="",0,1)</f>
        <v>1</v>
      </c>
      <c r="Z21" s="28">
        <f>IF(R21+U21=2,3,IF(R21+U21=1,1,0))</f>
        <v>0</v>
      </c>
      <c r="AA21" s="28">
        <f>IF(Z21=3,3,IF(X21+Z21=2,2,IF(Z21=1,1,0)))</f>
        <v>0</v>
      </c>
      <c r="AB21" s="28">
        <f>Q21+T21</f>
        <v>0</v>
      </c>
      <c r="AC21" s="28">
        <f>R21+U21+X21</f>
        <v>0</v>
      </c>
      <c r="AD21" s="28"/>
      <c r="AE21" s="73" t="str">
        <f>'Players - Men'!B22</f>
        <v>Jean Paul Vella</v>
      </c>
      <c r="AF21" s="48">
        <f>J41+J47+J51+Y37+Y43+Y47</f>
        <v>6</v>
      </c>
      <c r="AG21" s="48">
        <f t="shared" ref="AG21:AI21" si="7">L41+L47+L51+AA37+AA43+AA47</f>
        <v>1</v>
      </c>
      <c r="AH21" s="48">
        <f t="shared" si="7"/>
        <v>23</v>
      </c>
      <c r="AI21" s="49">
        <f t="shared" si="7"/>
        <v>1</v>
      </c>
      <c r="AJ21" s="28"/>
      <c r="AK21" s="28"/>
      <c r="AL21" s="28"/>
    </row>
    <row r="22" ht="15.0" customHeight="1">
      <c r="A22" s="74" t="s">
        <v>82</v>
      </c>
      <c r="H22" s="51"/>
      <c r="I22" s="52"/>
      <c r="J22" s="28"/>
      <c r="K22" s="28"/>
      <c r="L22" s="28"/>
      <c r="M22" s="28"/>
      <c r="N22" s="28"/>
      <c r="O22" s="28"/>
      <c r="P22" s="74" t="s">
        <v>82</v>
      </c>
      <c r="W22" s="51"/>
      <c r="X22" s="52"/>
      <c r="Y22" s="28"/>
      <c r="Z22" s="28"/>
      <c r="AA22" s="28"/>
      <c r="AB22" s="28"/>
      <c r="AC22" s="28"/>
      <c r="AD22" s="28"/>
      <c r="AJ22" s="28"/>
      <c r="AK22" s="28"/>
      <c r="AL22" s="28"/>
    </row>
    <row r="23" ht="15.0" customHeight="1">
      <c r="A23" s="75" t="str">
        <f>AE13</f>
        <v>Sandro Pecorella</v>
      </c>
      <c r="B23" s="69">
        <v>0.0</v>
      </c>
      <c r="C23" s="76">
        <f>IF(B23&gt;B21,1,0)</f>
        <v>0</v>
      </c>
      <c r="D23" s="77"/>
      <c r="E23" s="69">
        <v>0.0</v>
      </c>
      <c r="F23" s="76">
        <f>IF(E23&gt;E21,1,0)</f>
        <v>0</v>
      </c>
      <c r="G23" s="77"/>
      <c r="H23" s="72"/>
      <c r="I23" s="28">
        <f>IF(H23&gt;H21,1,0)</f>
        <v>0</v>
      </c>
      <c r="J23" s="28">
        <f>IF(B23="",0,1)</f>
        <v>1</v>
      </c>
      <c r="K23" s="28">
        <f>IF(C23+F23=2,3,IF(C23+F23=1,1,0))</f>
        <v>0</v>
      </c>
      <c r="L23" s="28">
        <f>IF(K23=3,3,IF(I23+K23=2,2,IF(K23=1,1,0)))</f>
        <v>0</v>
      </c>
      <c r="M23" s="28">
        <f>B23+E23</f>
        <v>0</v>
      </c>
      <c r="N23" s="28">
        <f>C23+F23+I23</f>
        <v>0</v>
      </c>
      <c r="O23" s="28"/>
      <c r="P23" s="75" t="str">
        <f>AE15</f>
        <v>Justin Graeme Christie</v>
      </c>
      <c r="Q23" s="69">
        <v>0.0</v>
      </c>
      <c r="R23" s="76">
        <f>IF(Q23&gt;Q21,1,0)</f>
        <v>0</v>
      </c>
      <c r="S23" s="77"/>
      <c r="T23" s="69">
        <v>0.0</v>
      </c>
      <c r="U23" s="76">
        <f>IF(T23&gt;T21,1,0)</f>
        <v>0</v>
      </c>
      <c r="V23" s="77"/>
      <c r="W23" s="72"/>
      <c r="X23" s="28">
        <f>IF(W23&gt;W21,1,0)</f>
        <v>0</v>
      </c>
      <c r="Y23" s="28">
        <f>IF(Q23="",0,1)</f>
        <v>1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0</v>
      </c>
      <c r="AC23" s="28">
        <f>R23+U23+X23</f>
        <v>0</v>
      </c>
      <c r="AD23" s="28"/>
      <c r="AE23" s="28"/>
      <c r="AF23" s="28"/>
      <c r="AG23" s="28"/>
      <c r="AH23" s="28"/>
      <c r="AI23" s="28"/>
      <c r="AJ23" s="28"/>
      <c r="AK23" s="28"/>
      <c r="AL23" s="28"/>
    </row>
    <row r="24" ht="15.0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80" t="s">
        <v>86</v>
      </c>
      <c r="AF24" s="31"/>
      <c r="AG24" s="31"/>
      <c r="AH24" s="31"/>
      <c r="AI24" s="32"/>
      <c r="AJ24" s="28"/>
      <c r="AK24" s="28"/>
      <c r="AL24" s="28"/>
    </row>
    <row r="25" ht="15.0" customHeight="1">
      <c r="A25" s="68" t="str">
        <f>AE11</f>
        <v>Emman Xuereb</v>
      </c>
      <c r="B25" s="69">
        <v>0.0</v>
      </c>
      <c r="C25" s="70">
        <f>IF(B25&gt;B27,1,0)</f>
        <v>0</v>
      </c>
      <c r="D25" s="71"/>
      <c r="E25" s="69">
        <v>0.0</v>
      </c>
      <c r="F25" s="70">
        <f>IF(E25&gt;E27,1,0)</f>
        <v>0</v>
      </c>
      <c r="G25" s="71"/>
      <c r="H25" s="72"/>
      <c r="I25" s="28">
        <f>IF(H25&gt;H27,1,0)</f>
        <v>0</v>
      </c>
      <c r="J25" s="28">
        <f>IF(B25="",0,1)</f>
        <v>1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0</v>
      </c>
      <c r="N25" s="28">
        <f>C25+F25+I25</f>
        <v>0</v>
      </c>
      <c r="O25" s="28"/>
      <c r="P25" s="68" t="str">
        <f>AE11</f>
        <v>Emman Xuereb</v>
      </c>
      <c r="Q25" s="69">
        <v>0.0</v>
      </c>
      <c r="R25" s="70">
        <f>IF(Q25&gt;Q27,1,0)</f>
        <v>0</v>
      </c>
      <c r="S25" s="71"/>
      <c r="T25" s="69">
        <v>0.0</v>
      </c>
      <c r="U25" s="70">
        <f>IF(T25&gt;T27,1,0)</f>
        <v>0</v>
      </c>
      <c r="V25" s="71"/>
      <c r="W25" s="69"/>
      <c r="X25" s="28">
        <f>IF(W25&gt;W27,1,0)</f>
        <v>0</v>
      </c>
      <c r="Y25" s="28">
        <f>IF(Q25="",0,1)</f>
        <v>1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0</v>
      </c>
      <c r="AC25" s="28">
        <f>R25+U25+X25</f>
        <v>0</v>
      </c>
      <c r="AD25" s="28"/>
      <c r="AE25" s="59"/>
      <c r="AF25" s="31"/>
      <c r="AG25" s="31"/>
      <c r="AH25" s="31"/>
      <c r="AI25" s="32"/>
      <c r="AJ25" s="28"/>
      <c r="AK25" s="28"/>
      <c r="AL25" s="28"/>
    </row>
    <row r="26" ht="15.0" customHeight="1">
      <c r="A26" s="74" t="s">
        <v>82</v>
      </c>
      <c r="H26" s="51"/>
      <c r="I26" s="52"/>
      <c r="J26" s="28"/>
      <c r="K26" s="28"/>
      <c r="L26" s="28"/>
      <c r="M26" s="28"/>
      <c r="N26" s="28"/>
      <c r="O26" s="28"/>
      <c r="P26" s="74" t="s">
        <v>82</v>
      </c>
      <c r="W26" s="51"/>
      <c r="X26" s="52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ht="15.0" customHeight="1">
      <c r="A27" s="75" t="str">
        <f>AE17</f>
        <v>Ivan Cassar</v>
      </c>
      <c r="B27" s="69">
        <v>0.0</v>
      </c>
      <c r="C27" s="76">
        <f>IF(B27&gt;B25,1,0)</f>
        <v>0</v>
      </c>
      <c r="D27" s="77"/>
      <c r="E27" s="69">
        <v>0.0</v>
      </c>
      <c r="F27" s="76">
        <f>IF(E27&gt;E25,1,0)</f>
        <v>0</v>
      </c>
      <c r="G27" s="77"/>
      <c r="H27" s="72"/>
      <c r="I27" s="28">
        <f>IF(H27&gt;H25,1,0)</f>
        <v>0</v>
      </c>
      <c r="J27" s="28">
        <f>IF(B27="",0,1)</f>
        <v>1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0</v>
      </c>
      <c r="N27" s="28">
        <f>C27+F27+I27</f>
        <v>0</v>
      </c>
      <c r="O27" s="28"/>
      <c r="P27" s="75" t="str">
        <f>AE19</f>
        <v>Jurgen Farrugia</v>
      </c>
      <c r="Q27" s="69">
        <v>0.0</v>
      </c>
      <c r="R27" s="76">
        <f>IF(Q27&gt;Q25,1,0)</f>
        <v>0</v>
      </c>
      <c r="S27" s="77"/>
      <c r="T27" s="69">
        <v>0.0</v>
      </c>
      <c r="U27" s="76">
        <f>IF(T27&gt;T25,1,0)</f>
        <v>0</v>
      </c>
      <c r="V27" s="77"/>
      <c r="W27" s="69"/>
      <c r="X27" s="28">
        <f>IF(W27&gt;W25,1,0)</f>
        <v>0</v>
      </c>
      <c r="Y27" s="28">
        <f>IF(Q27="",0,1)</f>
        <v>1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0</v>
      </c>
      <c r="AC27" s="28">
        <f>R27+U27+X27</f>
        <v>0</v>
      </c>
      <c r="AD27" s="28"/>
      <c r="AE27" s="28"/>
      <c r="AF27" s="28"/>
      <c r="AG27" s="28"/>
      <c r="AH27" s="28"/>
      <c r="AI27" s="28"/>
      <c r="AJ27" s="28"/>
      <c r="AK27" s="28"/>
      <c r="AL27" s="28"/>
    </row>
    <row r="28" ht="15.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</row>
    <row r="29" ht="15.0" customHeight="1">
      <c r="A29" s="42" t="str">
        <f>AE15</f>
        <v>Justin Graeme Christie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0</v>
      </c>
      <c r="G29" s="45"/>
      <c r="H29" s="43">
        <v>10.0</v>
      </c>
      <c r="I29" s="28">
        <f>IF(H29&gt;H31,1,0)</f>
        <v>1</v>
      </c>
      <c r="J29" s="28">
        <f>IF(B29="",0,1)</f>
        <v>1</v>
      </c>
      <c r="K29" s="28">
        <f>IF(C29+F29=2,3,IF(C29+F29=1,1,0))</f>
        <v>1</v>
      </c>
      <c r="L29" s="28">
        <f>IF(K29=3,3,IF(I29+K29=2,2,IF(K29=1,1,0)))</f>
        <v>2</v>
      </c>
      <c r="M29" s="28">
        <f>B29+E29</f>
        <v>12</v>
      </c>
      <c r="N29" s="28">
        <f>C29+F29+I29</f>
        <v>2</v>
      </c>
      <c r="O29" s="28"/>
      <c r="P29" s="42" t="str">
        <f>AE13</f>
        <v>Sandro Pecorella</v>
      </c>
      <c r="Q29" s="43">
        <v>0.0</v>
      </c>
      <c r="R29" s="44">
        <f>IF(Q29&gt;Q31,1,0)</f>
        <v>0</v>
      </c>
      <c r="S29" s="45"/>
      <c r="T29" s="43">
        <v>1.0</v>
      </c>
      <c r="U29" s="44">
        <f>IF(T29&gt;T31,1,0)</f>
        <v>0</v>
      </c>
      <c r="V29" s="45"/>
      <c r="W29" s="46"/>
      <c r="X29" s="28">
        <f>IF(W29&gt;W31,1,0)</f>
        <v>0</v>
      </c>
      <c r="Y29" s="28">
        <f>IF(Q29="",0,1)</f>
        <v>1</v>
      </c>
      <c r="Z29" s="28">
        <f>IF(R29+U29=2,3,IF(R29+U29=1,1,0))</f>
        <v>0</v>
      </c>
      <c r="AA29" s="28">
        <f>IF(Z29=3,3,IF(X29+Z29=2,2,IF(Z29=1,1,0)))</f>
        <v>0</v>
      </c>
      <c r="AB29" s="28">
        <f>Q29+T29</f>
        <v>1</v>
      </c>
      <c r="AC29" s="28">
        <f>R29+U29+X29</f>
        <v>0</v>
      </c>
      <c r="AD29" s="28"/>
      <c r="AE29" s="28"/>
      <c r="AF29" s="28"/>
      <c r="AG29" s="28"/>
      <c r="AH29" s="28"/>
      <c r="AI29" s="28"/>
      <c r="AJ29" s="28"/>
      <c r="AK29" s="28"/>
      <c r="AL29" s="28"/>
    </row>
    <row r="30" ht="15.0" customHeight="1">
      <c r="A30" s="50" t="s">
        <v>82</v>
      </c>
      <c r="H30" s="51"/>
      <c r="I30" s="52"/>
      <c r="J30" s="28"/>
      <c r="K30" s="28"/>
      <c r="L30" s="28"/>
      <c r="M30" s="28"/>
      <c r="N30" s="28"/>
      <c r="O30" s="28"/>
      <c r="P30" s="50" t="s">
        <v>82</v>
      </c>
      <c r="W30" s="51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60"/>
      <c r="AL30" s="28"/>
    </row>
    <row r="31" ht="15.0" customHeight="1">
      <c r="A31" s="53" t="str">
        <f>AE19</f>
        <v>Jurgen Farrugia</v>
      </c>
      <c r="B31" s="43">
        <v>1.0</v>
      </c>
      <c r="C31" s="54">
        <f>IF(B31&gt;B29,1,0)</f>
        <v>0</v>
      </c>
      <c r="D31" s="55"/>
      <c r="E31" s="43">
        <v>7.0</v>
      </c>
      <c r="F31" s="54">
        <f>IF(E31&gt;E29,1,0)</f>
        <v>1</v>
      </c>
      <c r="G31" s="55"/>
      <c r="H31" s="43">
        <v>7.0</v>
      </c>
      <c r="I31" s="28">
        <f>IF(H31&gt;H29,1,0)</f>
        <v>0</v>
      </c>
      <c r="J31" s="28">
        <f>IF(B31="",0,1)</f>
        <v>1</v>
      </c>
      <c r="K31" s="28">
        <f>IF(C31+F31=2,3,IF(C31+F31=1,1,0))</f>
        <v>1</v>
      </c>
      <c r="L31" s="28">
        <f>IF(K31=3,3,IF(I31+K31=2,2,IF(K31=1,1,0)))</f>
        <v>1</v>
      </c>
      <c r="M31" s="28">
        <f>B31+E31</f>
        <v>8</v>
      </c>
      <c r="N31" s="28">
        <f>C31+F31+I31</f>
        <v>1</v>
      </c>
      <c r="O31" s="28"/>
      <c r="P31" s="53" t="str">
        <f>AE15</f>
        <v>Justin Graeme Christie</v>
      </c>
      <c r="Q31" s="43">
        <v>6.0</v>
      </c>
      <c r="R31" s="54">
        <f>IF(Q31&gt;Q29,1,0)</f>
        <v>1</v>
      </c>
      <c r="S31" s="55"/>
      <c r="T31" s="43">
        <v>6.0</v>
      </c>
      <c r="U31" s="54">
        <f>IF(T31&gt;T29,1,0)</f>
        <v>1</v>
      </c>
      <c r="V31" s="55"/>
      <c r="W31" s="46"/>
      <c r="X31" s="28">
        <f>IF(W31&gt;W29,1,0)</f>
        <v>0</v>
      </c>
      <c r="Y31" s="28">
        <f>IF(Q31="",0,1)</f>
        <v>1</v>
      </c>
      <c r="Z31" s="28">
        <f>IF(R31+U31=2,3,IF(R31+U31=1,1,0))</f>
        <v>3</v>
      </c>
      <c r="AA31" s="28">
        <f>IF(Z31=3,3,IF(X31+Z31=2,2,IF(Z31=1,1,0)))</f>
        <v>3</v>
      </c>
      <c r="AB31" s="28">
        <f>Q31+T31</f>
        <v>12</v>
      </c>
      <c r="AC31" s="28">
        <f>R31+U31+X31</f>
        <v>2</v>
      </c>
      <c r="AD31" s="28"/>
      <c r="AE31" s="28"/>
      <c r="AF31" s="28"/>
      <c r="AG31" s="28"/>
      <c r="AH31" s="28"/>
      <c r="AI31" s="28"/>
      <c r="AJ31" s="28"/>
      <c r="AK31" s="28"/>
      <c r="AL31" s="28"/>
    </row>
    <row r="32" ht="15.0" customHeight="1">
      <c r="A32" s="28"/>
      <c r="B32" s="28"/>
      <c r="C32" s="28"/>
      <c r="D32" s="28"/>
      <c r="E32" s="37"/>
      <c r="F32" s="28"/>
      <c r="G32" s="28"/>
      <c r="H32" s="37"/>
      <c r="I32" s="28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60"/>
      <c r="AL32" s="28"/>
    </row>
    <row r="33" ht="15.0" customHeight="1">
      <c r="A33" s="42" t="str">
        <f>AE13</f>
        <v>Sandro Pecorella</v>
      </c>
      <c r="B33" s="43">
        <v>4.0</v>
      </c>
      <c r="C33" s="44">
        <f>IF(B33&gt;B35,1,0)</f>
        <v>0</v>
      </c>
      <c r="D33" s="45"/>
      <c r="E33" s="43">
        <v>1.0</v>
      </c>
      <c r="F33" s="44">
        <f>IF(E33&gt;E35,1,0)</f>
        <v>0</v>
      </c>
      <c r="G33" s="45"/>
      <c r="H33" s="46"/>
      <c r="I33" s="28">
        <f>IF(H33&gt;H35,1,0)</f>
        <v>0</v>
      </c>
      <c r="J33" s="28">
        <f>IF(B33="",0,1)</f>
        <v>1</v>
      </c>
      <c r="K33" s="28">
        <f>IF(C33+F33=2,3,IF(C33+F33=1,1,0))</f>
        <v>0</v>
      </c>
      <c r="L33" s="28">
        <f>IF(K33=3,3,IF(I33+K33=2,2,IF(K33=1,1,0)))</f>
        <v>0</v>
      </c>
      <c r="M33" s="28">
        <f>B33+E33</f>
        <v>5</v>
      </c>
      <c r="N33" s="28">
        <f>C33+F33+I33</f>
        <v>0</v>
      </c>
      <c r="O33" s="28"/>
      <c r="P33" s="42" t="str">
        <f>AE13</f>
        <v>Sandro Pecorella</v>
      </c>
      <c r="Q33" s="43">
        <v>3.0</v>
      </c>
      <c r="R33" s="44">
        <f>IF(Q33&gt;Q35,1,0)</f>
        <v>0</v>
      </c>
      <c r="S33" s="45"/>
      <c r="T33" s="43">
        <v>0.0</v>
      </c>
      <c r="U33" s="44">
        <f>IF(T33&gt;T35,1,0)</f>
        <v>0</v>
      </c>
      <c r="V33" s="45"/>
      <c r="W33" s="46"/>
      <c r="X33" s="28">
        <f>IF(W33&gt;W35,1,0)</f>
        <v>0</v>
      </c>
      <c r="Y33" s="28">
        <f>IF(Q33="",0,1)</f>
        <v>1</v>
      </c>
      <c r="Z33" s="28">
        <f>IF(R33+U33=2,3,IF(R33+U33=1,1,0))</f>
        <v>0</v>
      </c>
      <c r="AA33" s="28">
        <f>IF(Z33=3,3,IF(X33+Z33=2,2,IF(Z33=1,1,0)))</f>
        <v>0</v>
      </c>
      <c r="AB33" s="28">
        <f>Q33+T33</f>
        <v>3</v>
      </c>
      <c r="AC33" s="28">
        <f>R33+U33+X33</f>
        <v>0</v>
      </c>
      <c r="AD33" s="28"/>
      <c r="AE33" s="28"/>
      <c r="AF33" s="28"/>
      <c r="AG33" s="28"/>
      <c r="AH33" s="28"/>
      <c r="AI33" s="28"/>
      <c r="AJ33" s="28"/>
      <c r="AK33" s="28"/>
      <c r="AL33" s="28"/>
    </row>
    <row r="34" ht="15.0" customHeight="1">
      <c r="A34" s="50" t="s">
        <v>82</v>
      </c>
      <c r="H34" s="51"/>
      <c r="I34" s="52"/>
      <c r="J34" s="28"/>
      <c r="K34" s="28"/>
      <c r="L34" s="28"/>
      <c r="M34" s="28"/>
      <c r="N34" s="28"/>
      <c r="O34" s="28"/>
      <c r="P34" s="50" t="s">
        <v>82</v>
      </c>
      <c r="W34" s="51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ht="15.0" customHeight="1">
      <c r="A35" s="53" t="str">
        <f>AE17</f>
        <v>Ivan Cassar</v>
      </c>
      <c r="B35" s="43">
        <v>6.0</v>
      </c>
      <c r="C35" s="54">
        <f>IF(B35&gt;B33,1,0)</f>
        <v>1</v>
      </c>
      <c r="D35" s="55"/>
      <c r="E35" s="43">
        <v>6.0</v>
      </c>
      <c r="F35" s="54">
        <f>IF(E35&gt;E33,1,0)</f>
        <v>1</v>
      </c>
      <c r="G35" s="55"/>
      <c r="H35" s="46"/>
      <c r="I35" s="28">
        <f>IF(H35&gt;H33,1,0)</f>
        <v>0</v>
      </c>
      <c r="J35" s="28">
        <f>IF(B35="",0,1)</f>
        <v>1</v>
      </c>
      <c r="K35" s="28">
        <f>IF(C35+F35=2,3,IF(C35+F35=1,1,0))</f>
        <v>3</v>
      </c>
      <c r="L35" s="28">
        <f>IF(K35=3,3,IF(I35+K35=2,2,IF(K35=1,1,0)))</f>
        <v>3</v>
      </c>
      <c r="M35" s="28">
        <f>B35+E35</f>
        <v>12</v>
      </c>
      <c r="N35" s="28">
        <f>C35+F35+I35</f>
        <v>2</v>
      </c>
      <c r="O35" s="28"/>
      <c r="P35" s="53" t="str">
        <f>AE19</f>
        <v>Jurgen Farrugia</v>
      </c>
      <c r="Q35" s="43">
        <v>6.0</v>
      </c>
      <c r="R35" s="54">
        <f>IF(Q35&gt;Q33,1,0)</f>
        <v>1</v>
      </c>
      <c r="S35" s="55"/>
      <c r="T35" s="43">
        <v>6.0</v>
      </c>
      <c r="U35" s="54">
        <f>IF(T35&gt;T33,1,0)</f>
        <v>1</v>
      </c>
      <c r="V35" s="55"/>
      <c r="W35" s="46"/>
      <c r="X35" s="28">
        <f>IF(W35&gt;W33,1,0)</f>
        <v>0</v>
      </c>
      <c r="Y35" s="28">
        <f>IF(Q35="",0,1)</f>
        <v>1</v>
      </c>
      <c r="Z35" s="28">
        <f>IF(R35+U35=2,3,IF(R35+U35=1,1,0))</f>
        <v>3</v>
      </c>
      <c r="AA35" s="28">
        <f>IF(Z35=3,3,IF(X35+Z35=2,2,IF(Z35=1,1,0)))</f>
        <v>3</v>
      </c>
      <c r="AB35" s="28">
        <f>Q35+T35</f>
        <v>12</v>
      </c>
      <c r="AC35" s="28">
        <f>R35+U35+X35</f>
        <v>2</v>
      </c>
      <c r="AD35" s="28"/>
      <c r="AE35" s="28"/>
      <c r="AF35" s="28"/>
      <c r="AG35" s="28"/>
      <c r="AH35" s="28"/>
      <c r="AI35" s="28"/>
      <c r="AJ35" s="28"/>
      <c r="AK35" s="28"/>
      <c r="AL35" s="28"/>
    </row>
    <row r="36" ht="15.0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28"/>
      <c r="AL36" s="28"/>
    </row>
    <row r="37" ht="15.0" customHeight="1">
      <c r="A37" s="42" t="str">
        <f>AE15</f>
        <v>Justin Graeme Christie</v>
      </c>
      <c r="B37" s="46"/>
      <c r="C37" s="44">
        <f>IF(B37&gt;B39,1,0)</f>
        <v>0</v>
      </c>
      <c r="D37" s="45"/>
      <c r="E37" s="46"/>
      <c r="F37" s="44">
        <f>IF(E37&gt;E39,1,0)</f>
        <v>0</v>
      </c>
      <c r="G37" s="45"/>
      <c r="H37" s="46"/>
      <c r="I37" s="28">
        <f>IF(H37&gt;H39,1,0)</f>
        <v>0</v>
      </c>
      <c r="J37" s="28">
        <f>IF(B37="",0,1)</f>
        <v>0</v>
      </c>
      <c r="K37" s="28">
        <f>IF(C37+F37=2,3,IF(C37+F37=1,1,0))</f>
        <v>0</v>
      </c>
      <c r="L37" s="28">
        <f>IF(K37=3,3,IF(I37+K37=2,2,IF(K37=1,1,0)))</f>
        <v>0</v>
      </c>
      <c r="M37" s="28">
        <f>B37+E37</f>
        <v>0</v>
      </c>
      <c r="N37" s="28">
        <f>C37+F37+I37</f>
        <v>0</v>
      </c>
      <c r="O37" s="28"/>
      <c r="P37" s="42" t="str">
        <f>AE21</f>
        <v>Jean Paul Vella</v>
      </c>
      <c r="Q37" s="43">
        <v>2.0</v>
      </c>
      <c r="R37" s="44">
        <f>IF(Q37&gt;Q39,1,0)</f>
        <v>0</v>
      </c>
      <c r="S37" s="45"/>
      <c r="T37" s="43">
        <v>1.0</v>
      </c>
      <c r="U37" s="44">
        <f>IF(T37&gt;T39,1,0)</f>
        <v>0</v>
      </c>
      <c r="V37" s="45"/>
      <c r="W37" s="46"/>
      <c r="X37" s="28">
        <f>IF(W37&gt;W39,1,0)</f>
        <v>0</v>
      </c>
      <c r="Y37" s="28">
        <f>IF(Q37="",0,1)</f>
        <v>1</v>
      </c>
      <c r="Z37" s="28">
        <f>IF(R37+U37=2,3,IF(R37+U37=1,1,0))</f>
        <v>0</v>
      </c>
      <c r="AA37" s="28">
        <f>IF(Z37=3,3,IF(X37+Z37=2,2,IF(Z37=1,1,0)))</f>
        <v>0</v>
      </c>
      <c r="AB37" s="28">
        <f>Q37+T37</f>
        <v>3</v>
      </c>
      <c r="AC37" s="28">
        <f>R37+U37+X37</f>
        <v>0</v>
      </c>
      <c r="AD37" s="28"/>
      <c r="AE37" s="28"/>
      <c r="AF37" s="28"/>
      <c r="AG37" s="28"/>
      <c r="AH37" s="28"/>
      <c r="AI37" s="28"/>
      <c r="AJ37" s="28"/>
      <c r="AK37" s="28"/>
      <c r="AL37" s="28"/>
    </row>
    <row r="38" ht="15.0" customHeight="1">
      <c r="A38" s="50" t="s">
        <v>82</v>
      </c>
      <c r="H38" s="51"/>
      <c r="I38" s="52"/>
      <c r="J38" s="28"/>
      <c r="K38" s="28"/>
      <c r="L38" s="28"/>
      <c r="M38" s="28"/>
      <c r="N38" s="28"/>
      <c r="O38" s="28"/>
      <c r="P38" s="50" t="s">
        <v>82</v>
      </c>
      <c r="W38" s="51"/>
      <c r="X38" s="52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</row>
    <row r="39" ht="15.0" customHeight="1">
      <c r="A39" s="53" t="str">
        <f>AE17</f>
        <v>Ivan Cassar</v>
      </c>
      <c r="B39" s="46"/>
      <c r="C39" s="54">
        <f>IF(B39&gt;B37,1,0)</f>
        <v>0</v>
      </c>
      <c r="D39" s="55"/>
      <c r="E39" s="46"/>
      <c r="F39" s="54">
        <f>IF(E39&gt;E37,1,0)</f>
        <v>0</v>
      </c>
      <c r="G39" s="55"/>
      <c r="H39" s="46"/>
      <c r="I39" s="28">
        <f>IF(H39&gt;H37,1,0)</f>
        <v>0</v>
      </c>
      <c r="J39" s="28">
        <f>IF(B39="",0,1)</f>
        <v>0</v>
      </c>
      <c r="K39" s="28">
        <f>IF(C39+F39=2,3,IF(C39+F39=1,1,0))</f>
        <v>0</v>
      </c>
      <c r="L39" s="28">
        <f>IF(K39=3,3,IF(I39+K39=2,2,IF(K39=1,1,0)))</f>
        <v>0</v>
      </c>
      <c r="M39" s="28">
        <f>B39+E39</f>
        <v>0</v>
      </c>
      <c r="N39" s="28">
        <f>C39+F39+I39</f>
        <v>0</v>
      </c>
      <c r="O39" s="28"/>
      <c r="P39" s="53" t="str">
        <f>AE19</f>
        <v>Jurgen Farrugia</v>
      </c>
      <c r="Q39" s="43">
        <v>6.0</v>
      </c>
      <c r="R39" s="54">
        <f>IF(Q39&gt;Q37,1,0)</f>
        <v>1</v>
      </c>
      <c r="S39" s="55"/>
      <c r="T39" s="43">
        <v>6.0</v>
      </c>
      <c r="U39" s="54">
        <f>IF(T39&gt;T37,1,0)</f>
        <v>1</v>
      </c>
      <c r="V39" s="55"/>
      <c r="W39" s="46"/>
      <c r="X39" s="28">
        <f>IF(W39&gt;W37,1,0)</f>
        <v>0</v>
      </c>
      <c r="Y39" s="28">
        <f>IF(Q39="",0,1)</f>
        <v>1</v>
      </c>
      <c r="Z39" s="28">
        <f>IF(R39+U39=2,3,IF(R39+U39=1,1,0))</f>
        <v>3</v>
      </c>
      <c r="AA39" s="28">
        <f>IF(Z39=3,3,IF(X39+Z39=2,2,IF(Z39=1,1,0)))</f>
        <v>3</v>
      </c>
      <c r="AB39" s="28">
        <f>Q39+T39</f>
        <v>12</v>
      </c>
      <c r="AC39" s="28">
        <f>R39+U39+X39</f>
        <v>2</v>
      </c>
      <c r="AD39" s="28"/>
      <c r="AE39" s="28"/>
      <c r="AF39" s="28"/>
      <c r="AG39" s="28"/>
      <c r="AH39" s="28"/>
      <c r="AI39" s="28"/>
      <c r="AJ39" s="28"/>
      <c r="AK39" s="28"/>
      <c r="AL39" s="28"/>
    </row>
    <row r="40" ht="15.0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ht="15.0" customHeight="1">
      <c r="A41" s="42" t="str">
        <f>AE21</f>
        <v>Jean Paul Vella</v>
      </c>
      <c r="B41" s="43">
        <v>0.0</v>
      </c>
      <c r="C41" s="44">
        <f>IF(B41&gt;B43,1,0)</f>
        <v>0</v>
      </c>
      <c r="D41" s="45"/>
      <c r="E41" s="43">
        <v>0.0</v>
      </c>
      <c r="F41" s="44">
        <f>IF(E41&gt;E43,1,0)</f>
        <v>0</v>
      </c>
      <c r="G41" s="45"/>
      <c r="H41" s="46"/>
      <c r="I41" s="28">
        <f>IF(H41&gt;H43,1,0)</f>
        <v>0</v>
      </c>
      <c r="J41" s="28">
        <f>IF(B41="",0,1)</f>
        <v>1</v>
      </c>
      <c r="K41" s="28">
        <f>IF(C41+F41=2,3,IF(C41+F41=1,1,0))</f>
        <v>0</v>
      </c>
      <c r="L41" s="28">
        <f>IF(K41=3,3,IF(I41+K41=2,2,IF(K41=1,1,0)))</f>
        <v>0</v>
      </c>
      <c r="M41" s="28">
        <f>B41+E41</f>
        <v>0</v>
      </c>
      <c r="N41" s="28">
        <f>C41+F41+I41</f>
        <v>0</v>
      </c>
      <c r="O41" s="28"/>
      <c r="P41" s="42" t="str">
        <f>AE17</f>
        <v>Ivan Cassar</v>
      </c>
      <c r="Q41" s="43">
        <v>6.0</v>
      </c>
      <c r="R41" s="44">
        <f>IF(Q41&gt;Q43,1,0)</f>
        <v>1</v>
      </c>
      <c r="S41" s="45"/>
      <c r="T41" s="43">
        <v>7.0</v>
      </c>
      <c r="U41" s="44">
        <f>IF(T41&gt;T43,1,0)</f>
        <v>1</v>
      </c>
      <c r="V41" s="45"/>
      <c r="W41" s="46"/>
      <c r="X41" s="28">
        <f>IF(W41&gt;W43,1,0)</f>
        <v>0</v>
      </c>
      <c r="Y41" s="28">
        <f>IF(Q41="",0,1)</f>
        <v>1</v>
      </c>
      <c r="Z41" s="28">
        <f>IF(R41+U41=2,3,IF(R41+U41=1,1,0))</f>
        <v>3</v>
      </c>
      <c r="AA41" s="28">
        <f>IF(Z41=3,3,IF(X41+Z41=2,2,IF(Z41=1,1,0)))</f>
        <v>3</v>
      </c>
      <c r="AB41" s="28">
        <f>Q41+T41</f>
        <v>13</v>
      </c>
      <c r="AC41" s="28">
        <f>R41+U41+X41</f>
        <v>2</v>
      </c>
      <c r="AD41" s="28"/>
      <c r="AE41" s="28"/>
      <c r="AF41" s="28"/>
      <c r="AG41" s="28"/>
      <c r="AH41" s="28"/>
      <c r="AI41" s="28"/>
      <c r="AJ41" s="28"/>
      <c r="AK41" s="28"/>
      <c r="AL41" s="28"/>
    </row>
    <row r="42" ht="15.0" customHeight="1">
      <c r="A42" s="50" t="s">
        <v>82</v>
      </c>
      <c r="H42" s="51"/>
      <c r="I42" s="52"/>
      <c r="J42" s="28"/>
      <c r="K42" s="28"/>
      <c r="L42" s="28"/>
      <c r="M42" s="28"/>
      <c r="N42" s="28"/>
      <c r="O42" s="28"/>
      <c r="P42" s="50" t="s">
        <v>82</v>
      </c>
      <c r="W42" s="51"/>
      <c r="X42" s="52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ht="15.0" customHeight="1">
      <c r="A43" s="53" t="str">
        <f>AE15</f>
        <v>Justin Graeme Christie</v>
      </c>
      <c r="B43" s="43">
        <v>6.0</v>
      </c>
      <c r="C43" s="54">
        <f>IF(B43&gt;B41,1,0)</f>
        <v>1</v>
      </c>
      <c r="D43" s="55"/>
      <c r="E43" s="43">
        <v>6.0</v>
      </c>
      <c r="F43" s="54">
        <f>IF(E43&gt;E41,1,0)</f>
        <v>1</v>
      </c>
      <c r="G43" s="55"/>
      <c r="H43" s="46"/>
      <c r="I43" s="28">
        <f>IF(H43&gt;H41,1,0)</f>
        <v>0</v>
      </c>
      <c r="J43" s="28">
        <f>IF(B43="",0,1)</f>
        <v>1</v>
      </c>
      <c r="K43" s="28">
        <f>IF(C43+F43=2,3,IF(C43+F43=1,1,0))</f>
        <v>3</v>
      </c>
      <c r="L43" s="28">
        <f>IF(K43=3,3,IF(I43+K43=2,2,IF(K43=1,1,0)))</f>
        <v>3</v>
      </c>
      <c r="M43" s="28">
        <f>B43+E43</f>
        <v>12</v>
      </c>
      <c r="N43" s="28">
        <f>C43+F43+I43</f>
        <v>2</v>
      </c>
      <c r="O43" s="28"/>
      <c r="P43" s="53" t="str">
        <f>AE21</f>
        <v>Jean Paul Vella</v>
      </c>
      <c r="Q43" s="43">
        <v>1.0</v>
      </c>
      <c r="R43" s="54">
        <f>IF(Q43&gt;Q41,1,0)</f>
        <v>0</v>
      </c>
      <c r="S43" s="55"/>
      <c r="T43" s="43">
        <v>5.0</v>
      </c>
      <c r="U43" s="54">
        <f>IF(T43&gt;T41,1,0)</f>
        <v>0</v>
      </c>
      <c r="V43" s="55"/>
      <c r="W43" s="46"/>
      <c r="X43" s="28">
        <f>IF(W43&gt;W41,1,0)</f>
        <v>0</v>
      </c>
      <c r="Y43" s="28">
        <f>IF(Q43="",0,1)</f>
        <v>1</v>
      </c>
      <c r="Z43" s="28">
        <f>IF(R43+U43=2,3,IF(R43+U43=1,1,0))</f>
        <v>0</v>
      </c>
      <c r="AA43" s="28">
        <f>IF(Z43=3,3,IF(X43+Z43=2,2,IF(Z43=1,1,0)))</f>
        <v>0</v>
      </c>
      <c r="AB43" s="28">
        <f>Q43+T43</f>
        <v>6</v>
      </c>
      <c r="AC43" s="28">
        <f>R43+U43+X43</f>
        <v>0</v>
      </c>
      <c r="AD43" s="28"/>
      <c r="AE43" s="28"/>
      <c r="AF43" s="28"/>
      <c r="AG43" s="28"/>
      <c r="AH43" s="28"/>
      <c r="AI43" s="28"/>
      <c r="AJ43" s="28"/>
      <c r="AK43" s="28"/>
      <c r="AL43" s="28"/>
    </row>
    <row r="44" ht="15.0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ht="15.0" customHeight="1">
      <c r="A45" s="42" t="str">
        <f>AE13</f>
        <v>Sandro Pecorella</v>
      </c>
      <c r="B45" s="43">
        <v>7.0</v>
      </c>
      <c r="C45" s="44">
        <f>IF(B45&gt;B47,1,0)</f>
        <v>1</v>
      </c>
      <c r="D45" s="45"/>
      <c r="E45" s="43">
        <v>3.0</v>
      </c>
      <c r="F45" s="44">
        <f>IF(E45&gt;E47,1,0)</f>
        <v>0</v>
      </c>
      <c r="G45" s="45"/>
      <c r="H45" s="43">
        <v>10.0</v>
      </c>
      <c r="I45" s="28">
        <f>IF(H45&gt;H47,1,0)</f>
        <v>1</v>
      </c>
      <c r="J45" s="28">
        <f>IF(B45="",0,1)</f>
        <v>1</v>
      </c>
      <c r="K45" s="28">
        <f>IF(C45+F45=2,3,IF(C45+F45=1,1,0))</f>
        <v>1</v>
      </c>
      <c r="L45" s="28">
        <f>IF(K45=3,3,IF(I45+K45=2,2,IF(K45=1,1,0)))</f>
        <v>2</v>
      </c>
      <c r="M45" s="28">
        <f>B45+E45</f>
        <v>10</v>
      </c>
      <c r="N45" s="28">
        <f>C45+F45+I45</f>
        <v>2</v>
      </c>
      <c r="O45" s="28"/>
      <c r="P45" s="68" t="str">
        <f>AE11</f>
        <v>Emman Xuereb</v>
      </c>
      <c r="Q45" s="69">
        <v>0.0</v>
      </c>
      <c r="R45" s="70">
        <f>IF(Q45&gt;Q47,1,0)</f>
        <v>0</v>
      </c>
      <c r="S45" s="71"/>
      <c r="T45" s="69">
        <v>0.0</v>
      </c>
      <c r="U45" s="70">
        <f>IF(T45&gt;T47,1,0)</f>
        <v>0</v>
      </c>
      <c r="V45" s="71"/>
      <c r="W45" s="72"/>
      <c r="X45" s="28">
        <f>IF(W45&gt;W47,1,0)</f>
        <v>0</v>
      </c>
      <c r="Y45" s="28">
        <f>IF(Q45="",0,1)</f>
        <v>1</v>
      </c>
      <c r="Z45" s="28">
        <f>IF(R45+U45=2,3,IF(R45+U45=1,1,0))</f>
        <v>0</v>
      </c>
      <c r="AA45" s="28">
        <f>IF(Z45=3,3,IF(X45+Z45=2,2,IF(Z45=1,1,0)))</f>
        <v>0</v>
      </c>
      <c r="AB45" s="28">
        <f>Q45+T45</f>
        <v>0</v>
      </c>
      <c r="AC45" s="28">
        <f>R45+U45+X45</f>
        <v>0</v>
      </c>
      <c r="AD45" s="28"/>
      <c r="AE45" s="28"/>
      <c r="AF45" s="28"/>
      <c r="AG45" s="28"/>
      <c r="AH45" s="28"/>
      <c r="AI45" s="28"/>
      <c r="AJ45" s="28"/>
      <c r="AK45" s="28"/>
      <c r="AL45" s="28"/>
    </row>
    <row r="46" ht="15.0" customHeight="1">
      <c r="A46" s="50" t="s">
        <v>82</v>
      </c>
      <c r="H46" s="51"/>
      <c r="I46" s="52"/>
      <c r="J46" s="28"/>
      <c r="K46" s="28"/>
      <c r="L46" s="28"/>
      <c r="M46" s="28"/>
      <c r="N46" s="28"/>
      <c r="O46" s="28"/>
      <c r="P46" s="74" t="s">
        <v>82</v>
      </c>
      <c r="W46" s="51"/>
      <c r="X46" s="52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ht="15.0" customHeight="1">
      <c r="A47" s="53" t="str">
        <f>AE21</f>
        <v>Jean Paul Vella</v>
      </c>
      <c r="B47" s="43">
        <v>5.0</v>
      </c>
      <c r="C47" s="54">
        <f>IF(B47&gt;B45,1,0)</f>
        <v>0</v>
      </c>
      <c r="D47" s="55"/>
      <c r="E47" s="43">
        <v>6.0</v>
      </c>
      <c r="F47" s="54">
        <f>IF(E47&gt;E45,1,0)</f>
        <v>1</v>
      </c>
      <c r="G47" s="55"/>
      <c r="H47" s="43">
        <v>6.0</v>
      </c>
      <c r="I47" s="28">
        <f>IF(H47&gt;H45,1,0)</f>
        <v>0</v>
      </c>
      <c r="J47" s="28">
        <f>IF(B47="",0,1)</f>
        <v>1</v>
      </c>
      <c r="K47" s="28">
        <f>IF(C47+F47=2,3,IF(C47+F47=1,1,0))</f>
        <v>1</v>
      </c>
      <c r="L47" s="28">
        <f>IF(K47=3,3,IF(I47+K47=2,2,IF(K47=1,1,0)))</f>
        <v>1</v>
      </c>
      <c r="M47" s="28">
        <f>B47+E47</f>
        <v>11</v>
      </c>
      <c r="N47" s="28">
        <f>C47+F47+I47</f>
        <v>1</v>
      </c>
      <c r="O47" s="28"/>
      <c r="P47" s="75" t="str">
        <f>AE21</f>
        <v>Jean Paul Vella</v>
      </c>
      <c r="Q47" s="69">
        <v>0.0</v>
      </c>
      <c r="R47" s="76">
        <f>IF(Q47&gt;Q45,1,0)</f>
        <v>0</v>
      </c>
      <c r="S47" s="77"/>
      <c r="T47" s="69">
        <v>0.0</v>
      </c>
      <c r="U47" s="76">
        <f>IF(T47&gt;T45,1,0)</f>
        <v>0</v>
      </c>
      <c r="V47" s="77"/>
      <c r="W47" s="72"/>
      <c r="X47" s="28">
        <f>IF(W47&gt;W45,1,0)</f>
        <v>0</v>
      </c>
      <c r="Y47" s="28">
        <f>IF(Q47="",0,1)</f>
        <v>1</v>
      </c>
      <c r="Z47" s="28">
        <f>IF(R47+U47=2,3,IF(R47+U47=1,1,0))</f>
        <v>0</v>
      </c>
      <c r="AA47" s="28">
        <f>IF(Z47=3,3,IF(X47+Z47=2,2,IF(Z47=1,1,0)))</f>
        <v>0</v>
      </c>
      <c r="AB47" s="28">
        <f>Q47+T47</f>
        <v>0</v>
      </c>
      <c r="AC47" s="28">
        <f>R47+U47+X47</f>
        <v>0</v>
      </c>
      <c r="AD47" s="28"/>
      <c r="AE47" s="28"/>
      <c r="AF47" s="28"/>
      <c r="AG47" s="28"/>
      <c r="AH47" s="28"/>
      <c r="AI47" s="28"/>
      <c r="AJ47" s="28"/>
      <c r="AK47" s="28"/>
      <c r="AL47" s="28"/>
    </row>
    <row r="48" ht="15.0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ht="15.0" customHeight="1">
      <c r="A49" s="42" t="str">
        <f>AE9</f>
        <v>Kristen Cachia</v>
      </c>
      <c r="B49" s="43">
        <v>6.0</v>
      </c>
      <c r="C49" s="44">
        <f>IF(B49&gt;B51,1,0)</f>
        <v>1</v>
      </c>
      <c r="D49" s="45"/>
      <c r="E49" s="43">
        <v>6.0</v>
      </c>
      <c r="F49" s="44">
        <f>IF(E49&gt;E51,1,0)</f>
        <v>1</v>
      </c>
      <c r="G49" s="45"/>
      <c r="H49" s="46"/>
      <c r="I49" s="28">
        <f>IF(H49&gt;H51,1,0)</f>
        <v>0</v>
      </c>
      <c r="J49" s="28">
        <f>IF(B49="",0,1)</f>
        <v>1</v>
      </c>
      <c r="K49" s="28">
        <f>IF(C49+F49=2,3,IF(C49+F49=1,1,0))</f>
        <v>3</v>
      </c>
      <c r="L49" s="28">
        <f>IF(K49=3,3,IF(I49+K49=2,2,IF(K49=1,1,0)))</f>
        <v>3</v>
      </c>
      <c r="M49" s="28">
        <f>B49+E49</f>
        <v>12</v>
      </c>
      <c r="N49" s="28">
        <f>C49+F49+I49</f>
        <v>2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ht="15.0" customHeight="1">
      <c r="A50" s="50" t="s">
        <v>82</v>
      </c>
      <c r="H50" s="51"/>
      <c r="I50" s="52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ht="15.0" customHeight="1">
      <c r="A51" s="53" t="str">
        <f>AE21</f>
        <v>Jean Paul Vella</v>
      </c>
      <c r="B51" s="43">
        <v>0.0</v>
      </c>
      <c r="C51" s="54">
        <f>IF(B51&gt;B49,1,0)</f>
        <v>0</v>
      </c>
      <c r="D51" s="55"/>
      <c r="E51" s="43">
        <v>3.0</v>
      </c>
      <c r="F51" s="54">
        <f>IF(E51&gt;E49,1,0)</f>
        <v>0</v>
      </c>
      <c r="G51" s="55"/>
      <c r="H51" s="46"/>
      <c r="I51" s="28">
        <f>IF(H51&gt;H49,1,0)</f>
        <v>0</v>
      </c>
      <c r="J51" s="28">
        <f>IF(B51="",0,1)</f>
        <v>1</v>
      </c>
      <c r="K51" s="28">
        <f>IF(C51+F51=2,3,IF(C51+F51=1,1,0))</f>
        <v>0</v>
      </c>
      <c r="L51" s="28">
        <f>IF(K51=3,3,IF(I51+K51=2,2,IF(K51=1,1,0)))</f>
        <v>0</v>
      </c>
      <c r="M51" s="28">
        <f>B51+E51</f>
        <v>3</v>
      </c>
      <c r="N51" s="28">
        <f>C51+F51+I51</f>
        <v>0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ht="15.0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>
      <c r="A54" s="81" t="s">
        <v>87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7"/>
      <c r="AJ54" s="28"/>
      <c r="AK54" s="28"/>
      <c r="AL54" s="28"/>
    </row>
    <row r="55" ht="15.0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ht="30.75" customHeight="1">
      <c r="A56" s="82" t="s">
        <v>62</v>
      </c>
      <c r="B56" s="83" t="s">
        <v>63</v>
      </c>
      <c r="C56" s="31"/>
      <c r="D56" s="31"/>
      <c r="E56" s="32"/>
      <c r="F56" s="66"/>
      <c r="G56" s="67"/>
      <c r="H56" s="82" t="s">
        <v>64</v>
      </c>
      <c r="I56" s="35"/>
      <c r="J56" s="35"/>
      <c r="K56" s="35"/>
      <c r="L56" s="35"/>
      <c r="M56" s="36"/>
      <c r="N56" s="36"/>
      <c r="O56" s="36"/>
      <c r="P56" s="82" t="s">
        <v>62</v>
      </c>
      <c r="Q56" s="83" t="s">
        <v>63</v>
      </c>
      <c r="R56" s="31"/>
      <c r="S56" s="31"/>
      <c r="T56" s="32"/>
      <c r="U56" s="66"/>
      <c r="V56" s="67"/>
      <c r="W56" s="82" t="s">
        <v>64</v>
      </c>
      <c r="X56" s="35"/>
      <c r="Y56" s="36"/>
      <c r="Z56" s="36"/>
      <c r="AA56" s="36"/>
      <c r="AB56" s="36"/>
      <c r="AC56" s="36"/>
      <c r="AD56" s="36"/>
      <c r="AE56" s="82" t="s">
        <v>65</v>
      </c>
      <c r="AF56" s="82" t="s">
        <v>66</v>
      </c>
      <c r="AG56" s="82" t="s">
        <v>67</v>
      </c>
      <c r="AH56" s="82" t="s">
        <v>68</v>
      </c>
      <c r="AI56" s="82" t="s">
        <v>69</v>
      </c>
      <c r="AJ56" s="84"/>
      <c r="AK56" s="84"/>
      <c r="AL56" s="28"/>
    </row>
    <row r="57" ht="15.75" hidden="1" customHeight="1">
      <c r="A57" s="28"/>
      <c r="B57" s="38" t="s">
        <v>70</v>
      </c>
      <c r="C57" s="38" t="s">
        <v>71</v>
      </c>
      <c r="D57" s="38"/>
      <c r="E57" s="38" t="s">
        <v>70</v>
      </c>
      <c r="F57" s="38" t="s">
        <v>72</v>
      </c>
      <c r="G57" s="38"/>
      <c r="H57" s="38" t="s">
        <v>70</v>
      </c>
      <c r="I57" s="38" t="s">
        <v>73</v>
      </c>
      <c r="J57" s="38" t="s">
        <v>74</v>
      </c>
      <c r="K57" s="38" t="s">
        <v>75</v>
      </c>
      <c r="L57" s="38" t="s">
        <v>76</v>
      </c>
      <c r="M57" s="38" t="s">
        <v>77</v>
      </c>
      <c r="N57" s="38" t="s">
        <v>78</v>
      </c>
      <c r="O57" s="28"/>
      <c r="P57" s="28"/>
      <c r="Q57" s="38" t="s">
        <v>70</v>
      </c>
      <c r="R57" s="38" t="s">
        <v>71</v>
      </c>
      <c r="S57" s="38"/>
      <c r="T57" s="38" t="s">
        <v>70</v>
      </c>
      <c r="U57" s="38" t="s">
        <v>72</v>
      </c>
      <c r="V57" s="38"/>
      <c r="W57" s="38" t="s">
        <v>70</v>
      </c>
      <c r="X57" s="38" t="s">
        <v>73</v>
      </c>
      <c r="Y57" s="38" t="s">
        <v>74</v>
      </c>
      <c r="Z57" s="38" t="s">
        <v>75</v>
      </c>
      <c r="AA57" s="38" t="s">
        <v>76</v>
      </c>
      <c r="AB57" s="38" t="s">
        <v>77</v>
      </c>
      <c r="AC57" s="38" t="s">
        <v>78</v>
      </c>
      <c r="AD57" s="28"/>
      <c r="AE57" s="37"/>
      <c r="AF57" s="37"/>
      <c r="AG57" s="37"/>
      <c r="AH57" s="37"/>
      <c r="AI57" s="37"/>
      <c r="AJ57" s="38" t="s">
        <v>79</v>
      </c>
      <c r="AK57" s="40" t="s">
        <v>80</v>
      </c>
      <c r="AL57" s="41" t="s">
        <v>81</v>
      </c>
    </row>
    <row r="58" ht="15.0" customHeight="1">
      <c r="A58" s="42" t="str">
        <f>AE58</f>
        <v>Jonathan Martinelli</v>
      </c>
      <c r="B58" s="46"/>
      <c r="C58" s="44">
        <f>IF(B58&gt;B60,1,0)</f>
        <v>0</v>
      </c>
      <c r="D58" s="45"/>
      <c r="E58" s="46"/>
      <c r="F58" s="44">
        <f>IF(E58&gt;E60,1,0)</f>
        <v>0</v>
      </c>
      <c r="G58" s="45"/>
      <c r="H58" s="46"/>
      <c r="I58" s="28">
        <f>IF(H58&gt;H60,1,0)</f>
        <v>0</v>
      </c>
      <c r="J58" s="28">
        <f>IF(B58="",0,1)</f>
        <v>0</v>
      </c>
      <c r="K58" s="28">
        <f>IF(C58+F58=2,3,IF(C58+F58=1,1,0))</f>
        <v>0</v>
      </c>
      <c r="L58" s="28">
        <f>IF(K58=3,3,IF(I58+K58=2,2,IF(K58=1,1,0)))</f>
        <v>0</v>
      </c>
      <c r="M58" s="28">
        <f>B58+E58</f>
        <v>0</v>
      </c>
      <c r="N58" s="28">
        <f>C58+F58+I58</f>
        <v>0</v>
      </c>
      <c r="O58" s="28"/>
      <c r="P58" s="42" t="str">
        <f>AE58</f>
        <v>Jonathan Martinelli</v>
      </c>
      <c r="Q58" s="46"/>
      <c r="R58" s="44">
        <f>IF(Q58&gt;Q60,1,0)</f>
        <v>0</v>
      </c>
      <c r="S58" s="45"/>
      <c r="T58" s="46"/>
      <c r="U58" s="44">
        <f>IF(T58&gt;T60,1,0)</f>
        <v>0</v>
      </c>
      <c r="V58" s="45"/>
      <c r="W58" s="46"/>
      <c r="X58" s="28">
        <f>IF(W58&gt;W60,1,0)</f>
        <v>0</v>
      </c>
      <c r="Y58" s="28">
        <f>IF(Q58="",0,1)</f>
        <v>0</v>
      </c>
      <c r="Z58" s="28">
        <f>IF(R58+U58=2,3,IF(R58+U58=1,1,0))</f>
        <v>0</v>
      </c>
      <c r="AA58" s="28">
        <f>IF(Z58=3,3,IF(X58+Z58=2,2,IF(Z58=1,1,0)))</f>
        <v>0</v>
      </c>
      <c r="AB58" s="28">
        <f>Q58+T58</f>
        <v>0</v>
      </c>
      <c r="AC58" s="28">
        <f>R58+U58+X58</f>
        <v>0</v>
      </c>
      <c r="AD58" s="28"/>
      <c r="AE58" s="85" t="str">
        <f>'Players - Men'!E16</f>
        <v>Jonathan Martinelli</v>
      </c>
      <c r="AF58" s="48">
        <f>J58+Y58+J62+Y62+J66+J98</f>
        <v>3</v>
      </c>
      <c r="AG58" s="48">
        <f t="shared" ref="AG58:AI58" si="8">L58+AA58+L62+AA62+L66+L98</f>
        <v>6</v>
      </c>
      <c r="AH58" s="48">
        <f t="shared" si="8"/>
        <v>24</v>
      </c>
      <c r="AI58" s="49">
        <f t="shared" si="8"/>
        <v>4</v>
      </c>
      <c r="AJ58" s="28">
        <f>MAX(AG58:AG68)</f>
        <v>9</v>
      </c>
      <c r="AK58" s="28">
        <f>SUM(AF58:AF68)</f>
        <v>26</v>
      </c>
      <c r="AL58" s="28" t="str">
        <f>IF(AG58=$AJ$58,AE58,IF(AG60=$AJ$58,AE60,IF(AG62=$AJ$58,AE62,IF(AG64=$AJ$58,AE64,IF(AG66=$AJ$58,AE66,IF(AG68=$AJ$58,AE68,""))))))</f>
        <v>Peter Khiev</v>
      </c>
    </row>
    <row r="59" ht="15.0" customHeight="1">
      <c r="A59" s="50" t="s">
        <v>82</v>
      </c>
      <c r="H59" s="51"/>
      <c r="I59" s="52"/>
      <c r="J59" s="28"/>
      <c r="K59" s="28"/>
      <c r="L59" s="28"/>
      <c r="M59" s="28"/>
      <c r="N59" s="28"/>
      <c r="O59" s="28"/>
      <c r="P59" s="50" t="s">
        <v>82</v>
      </c>
      <c r="W59" s="51"/>
      <c r="X59" s="52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37"/>
      <c r="AL59" s="28"/>
    </row>
    <row r="60" ht="15.0" customHeight="1">
      <c r="A60" s="53" t="str">
        <f>AE60</f>
        <v>Peter Khiev</v>
      </c>
      <c r="B60" s="46"/>
      <c r="C60" s="54">
        <f>IF(B60&gt;B58,1,0)</f>
        <v>0</v>
      </c>
      <c r="D60" s="55"/>
      <c r="E60" s="46"/>
      <c r="F60" s="54">
        <f>IF(E60&gt;E58,1,0)</f>
        <v>0</v>
      </c>
      <c r="G60" s="55"/>
      <c r="H60" s="46"/>
      <c r="I60" s="28">
        <f>IF(H60&gt;H58,1,0)</f>
        <v>0</v>
      </c>
      <c r="J60" s="28">
        <f>IF(B60="",0,1)</f>
        <v>0</v>
      </c>
      <c r="K60" s="28">
        <f>IF(C60+F60=2,3,IF(C60+F60=1,1,0))</f>
        <v>0</v>
      </c>
      <c r="L60" s="28">
        <f>IF(K60=3,3,IF(I60+K60=2,2,IF(K60=1,1,0)))</f>
        <v>0</v>
      </c>
      <c r="M60" s="28">
        <f>B60+E60</f>
        <v>0</v>
      </c>
      <c r="N60" s="28">
        <f>C60+F60+I60</f>
        <v>0</v>
      </c>
      <c r="O60" s="28"/>
      <c r="P60" s="53" t="str">
        <f>AE62</f>
        <v>John Mifsud</v>
      </c>
      <c r="Q60" s="46"/>
      <c r="R60" s="54">
        <f>IF(Q60&gt;Q58,1,0)</f>
        <v>0</v>
      </c>
      <c r="S60" s="55"/>
      <c r="T60" s="46"/>
      <c r="U60" s="54">
        <f>IF(T60&gt;T58,1,0)</f>
        <v>0</v>
      </c>
      <c r="V60" s="55"/>
      <c r="W60" s="46"/>
      <c r="X60" s="28">
        <f>IF(W60&gt;W58,1,0)</f>
        <v>0</v>
      </c>
      <c r="Y60" s="28">
        <f>IF(Q60="",0,1)</f>
        <v>0</v>
      </c>
      <c r="Z60" s="28">
        <f>IF(R60+U60=2,3,IF(R60+U60=1,1,0))</f>
        <v>0</v>
      </c>
      <c r="AA60" s="28">
        <f>IF(Z60=3,3,IF(X60+Z60=2,2,IF(Z60=1,1,0)))</f>
        <v>0</v>
      </c>
      <c r="AB60" s="28">
        <f>Q60+T60</f>
        <v>0</v>
      </c>
      <c r="AC60" s="28">
        <f>R60+U60+X60</f>
        <v>0</v>
      </c>
      <c r="AD60" s="28"/>
      <c r="AE60" s="85" t="str">
        <f>'Players - Men'!E17</f>
        <v>Peter Khiev</v>
      </c>
      <c r="AF60" s="48">
        <f>J60+Y74+J74+Y70+J70+Y94</f>
        <v>4</v>
      </c>
      <c r="AG60" s="48">
        <f t="shared" ref="AG60:AI60" si="9">L60+AA74+L74+AA70+L70+AA94</f>
        <v>9</v>
      </c>
      <c r="AH60" s="48">
        <f t="shared" si="9"/>
        <v>37</v>
      </c>
      <c r="AI60" s="49">
        <f t="shared" si="9"/>
        <v>6</v>
      </c>
      <c r="AJ60" s="37"/>
      <c r="AK60" s="37"/>
      <c r="AL60" s="28"/>
    </row>
    <row r="61" ht="15.0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37"/>
      <c r="AG61" s="37"/>
      <c r="AH61" s="37"/>
      <c r="AI61" s="37"/>
      <c r="AJ61" s="37"/>
      <c r="AK61" s="37"/>
      <c r="AL61" s="28"/>
    </row>
    <row r="62" ht="15.0" customHeight="1">
      <c r="A62" s="68" t="str">
        <f>AE58</f>
        <v>Jonathan Martinelli</v>
      </c>
      <c r="B62" s="69">
        <v>0.0</v>
      </c>
      <c r="C62" s="70">
        <f>IF(B62&gt;B64,1,0)</f>
        <v>0</v>
      </c>
      <c r="D62" s="71"/>
      <c r="E62" s="69">
        <v>0.0</v>
      </c>
      <c r="F62" s="70">
        <f>IF(E62&gt;E64,1,0)</f>
        <v>0</v>
      </c>
      <c r="G62" s="71"/>
      <c r="H62" s="72"/>
      <c r="I62" s="28">
        <f>IF(H62&gt;H64,1,0)</f>
        <v>0</v>
      </c>
      <c r="J62" s="28">
        <f>IF(B62="",0,1)</f>
        <v>1</v>
      </c>
      <c r="K62" s="28">
        <f>IF(C62+F62=2,3,IF(C62+F62=1,1,0))</f>
        <v>0</v>
      </c>
      <c r="L62" s="28">
        <f>IF(K62=3,3,IF(I62+K62=2,2,IF(K62=1,1,0)))</f>
        <v>0</v>
      </c>
      <c r="M62" s="28">
        <f>B62+E62</f>
        <v>0</v>
      </c>
      <c r="N62" s="28">
        <f>C62+F62+I62</f>
        <v>0</v>
      </c>
      <c r="O62" s="28"/>
      <c r="P62" s="42" t="str">
        <f>AE58</f>
        <v>Jonathan Martinelli</v>
      </c>
      <c r="Q62" s="43">
        <v>6.0</v>
      </c>
      <c r="R62" s="44">
        <f>IF(Q62&gt;Q64,1,0)</f>
        <v>1</v>
      </c>
      <c r="S62" s="45"/>
      <c r="T62" s="43">
        <v>6.0</v>
      </c>
      <c r="U62" s="44">
        <f>IF(T62&gt;T64,1,0)</f>
        <v>1</v>
      </c>
      <c r="V62" s="45"/>
      <c r="W62" s="46"/>
      <c r="X62" s="28">
        <f>IF(W62&gt;W64,1,0)</f>
        <v>0</v>
      </c>
      <c r="Y62" s="28">
        <f>IF(Q62="",0,1)</f>
        <v>1</v>
      </c>
      <c r="Z62" s="28">
        <f>IF(R62+U62=2,3,IF(R62+U62=1,1,0))</f>
        <v>3</v>
      </c>
      <c r="AA62" s="28">
        <f>IF(Z62=3,3,IF(X62+Z62=2,2,IF(Z62=1,1,0)))</f>
        <v>3</v>
      </c>
      <c r="AB62" s="28">
        <f>Q62+T62</f>
        <v>12</v>
      </c>
      <c r="AC62" s="28">
        <f>R62+U62+X62</f>
        <v>2</v>
      </c>
      <c r="AD62" s="28"/>
      <c r="AE62" s="85" t="str">
        <f>'Players - Men'!E18</f>
        <v>John Mifsud</v>
      </c>
      <c r="AF62" s="48">
        <f>Y78+Y60+Y82+J82+J72+J94</f>
        <v>3</v>
      </c>
      <c r="AG62" s="48">
        <f t="shared" ref="AG62:AI62" si="10">AA78+AA60+AA82+L82+L72+L94</f>
        <v>0</v>
      </c>
      <c r="AH62" s="48">
        <f t="shared" si="10"/>
        <v>10</v>
      </c>
      <c r="AI62" s="49">
        <f t="shared" si="10"/>
        <v>0</v>
      </c>
      <c r="AJ62" s="37"/>
      <c r="AK62" s="37"/>
      <c r="AL62" s="28"/>
    </row>
    <row r="63" ht="15.0" customHeight="1">
      <c r="A63" s="74" t="s">
        <v>82</v>
      </c>
      <c r="H63" s="51"/>
      <c r="I63" s="52"/>
      <c r="J63" s="28"/>
      <c r="K63" s="28"/>
      <c r="L63" s="28"/>
      <c r="M63" s="28"/>
      <c r="N63" s="28"/>
      <c r="O63" s="28"/>
      <c r="P63" s="50" t="s">
        <v>82</v>
      </c>
      <c r="W63" s="51"/>
      <c r="X63" s="52"/>
      <c r="Y63" s="28"/>
      <c r="Z63" s="28"/>
      <c r="AA63" s="28"/>
      <c r="AB63" s="28"/>
      <c r="AC63" s="28"/>
      <c r="AD63" s="28"/>
      <c r="AE63" s="28"/>
      <c r="AF63" s="37"/>
      <c r="AG63" s="37"/>
      <c r="AH63" s="37"/>
      <c r="AI63" s="37"/>
      <c r="AJ63" s="37"/>
      <c r="AK63" s="37"/>
      <c r="AL63" s="28"/>
    </row>
    <row r="64" ht="15.0" customHeight="1">
      <c r="A64" s="75" t="str">
        <f>AE64</f>
        <v>Luke Genuis</v>
      </c>
      <c r="B64" s="69">
        <v>0.0</v>
      </c>
      <c r="C64" s="76">
        <f>IF(B64&gt;B62,1,0)</f>
        <v>0</v>
      </c>
      <c r="D64" s="77"/>
      <c r="E64" s="69">
        <v>0.0</v>
      </c>
      <c r="F64" s="76">
        <f>IF(E64&gt;E62,1,0)</f>
        <v>0</v>
      </c>
      <c r="G64" s="77"/>
      <c r="H64" s="72"/>
      <c r="I64" s="28">
        <f>IF(H64&gt;H62,1,0)</f>
        <v>0</v>
      </c>
      <c r="J64" s="28">
        <f>IF(B64="",0,1)</f>
        <v>1</v>
      </c>
      <c r="K64" s="28">
        <f>IF(C64+F64=2,3,IF(C64+F64=1,1,0))</f>
        <v>0</v>
      </c>
      <c r="L64" s="28">
        <f>IF(K64=3,3,IF(I64+K64=2,2,IF(K64=1,1,0)))</f>
        <v>0</v>
      </c>
      <c r="M64" s="28">
        <f>B64+E64</f>
        <v>0</v>
      </c>
      <c r="N64" s="28">
        <f>C64+F64+I64</f>
        <v>0</v>
      </c>
      <c r="O64" s="28"/>
      <c r="P64" s="53" t="str">
        <f>AE66</f>
        <v>Tobias Kristensen</v>
      </c>
      <c r="Q64" s="43">
        <v>0.0</v>
      </c>
      <c r="R64" s="54">
        <f>IF(Q64&gt;Q62,1,0)</f>
        <v>0</v>
      </c>
      <c r="S64" s="55"/>
      <c r="T64" s="43">
        <v>2.0</v>
      </c>
      <c r="U64" s="54">
        <f>IF(T64&gt;T62,1,0)</f>
        <v>0</v>
      </c>
      <c r="V64" s="55"/>
      <c r="W64" s="46"/>
      <c r="X64" s="28">
        <f>IF(W64&gt;W62,1,0)</f>
        <v>0</v>
      </c>
      <c r="Y64" s="28">
        <f>IF(Q64="",0,1)</f>
        <v>1</v>
      </c>
      <c r="Z64" s="28">
        <f>IF(R64+U64=2,3,IF(R64+U64=1,1,0))</f>
        <v>0</v>
      </c>
      <c r="AA64" s="28">
        <f>IF(Z64=3,3,IF(X64+Z64=2,2,IF(Z64=1,1,0)))</f>
        <v>0</v>
      </c>
      <c r="AB64" s="28">
        <f>Q64+T64</f>
        <v>2</v>
      </c>
      <c r="AC64" s="28">
        <f>R64+U64+X64</f>
        <v>0</v>
      </c>
      <c r="AD64" s="28"/>
      <c r="AE64" s="85" t="str">
        <f>'Players - Men'!E19</f>
        <v>Luke Genuis</v>
      </c>
      <c r="AF64" s="78">
        <f>Y80+J86+J64+Y72+J78+J92</f>
        <v>6</v>
      </c>
      <c r="AG64" s="78">
        <f t="shared" ref="AG64:AI64" si="11">AA80+L86+L64+AA72+L78+L92</f>
        <v>0</v>
      </c>
      <c r="AH64" s="78">
        <f t="shared" si="11"/>
        <v>0</v>
      </c>
      <c r="AI64" s="79">
        <f t="shared" si="11"/>
        <v>0</v>
      </c>
      <c r="AJ64" s="37"/>
      <c r="AK64" s="37"/>
      <c r="AL64" s="28"/>
    </row>
    <row r="65" ht="15.0" customHeight="1">
      <c r="A65" s="28"/>
      <c r="B65" s="37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37"/>
      <c r="AG65" s="37"/>
      <c r="AH65" s="37"/>
      <c r="AI65" s="37"/>
      <c r="AJ65" s="37"/>
      <c r="AK65" s="37"/>
      <c r="AL65" s="28"/>
    </row>
    <row r="66" ht="15.0" customHeight="1">
      <c r="A66" s="42" t="str">
        <f>AE58</f>
        <v>Jonathan Martinelli</v>
      </c>
      <c r="B66" s="46"/>
      <c r="C66" s="44">
        <f>IF(B66&gt;B68,1,0)</f>
        <v>0</v>
      </c>
      <c r="D66" s="45"/>
      <c r="E66" s="46"/>
      <c r="F66" s="44">
        <f>IF(E66&gt;E68,1,0)</f>
        <v>0</v>
      </c>
      <c r="G66" s="45"/>
      <c r="H66" s="46"/>
      <c r="I66" s="28">
        <f>IF(H66&gt;H68,1,0)</f>
        <v>0</v>
      </c>
      <c r="J66" s="28">
        <f>IF(B66="",0,1)</f>
        <v>0</v>
      </c>
      <c r="K66" s="28">
        <f>IF(C66+F66=2,3,IF(C66+F66=1,1,0))</f>
        <v>0</v>
      </c>
      <c r="L66" s="28">
        <f>IF(K66=3,3,IF(I66+K66=2,2,IF(K66=1,1,0)))</f>
        <v>0</v>
      </c>
      <c r="M66" s="28">
        <f>B66+E66</f>
        <v>0</v>
      </c>
      <c r="N66" s="28">
        <f>C66+F66+I66</f>
        <v>0</v>
      </c>
      <c r="O66" s="28"/>
      <c r="P66" s="42" t="str">
        <f>AE66</f>
        <v>Tobias Kristensen</v>
      </c>
      <c r="Q66" s="43">
        <v>6.0</v>
      </c>
      <c r="R66" s="44">
        <f>IF(Q66&gt;Q68,1,0)</f>
        <v>1</v>
      </c>
      <c r="S66" s="45"/>
      <c r="T66" s="43">
        <v>4.0</v>
      </c>
      <c r="U66" s="44">
        <f>IF(T66&gt;T68,1,0)</f>
        <v>0</v>
      </c>
      <c r="V66" s="45"/>
      <c r="W66" s="43">
        <v>9.0</v>
      </c>
      <c r="X66" s="28">
        <f>IF(W66&gt;W68,1,0)</f>
        <v>0</v>
      </c>
      <c r="Y66" s="28">
        <f>IF(Q66="",0,1)</f>
        <v>1</v>
      </c>
      <c r="Z66" s="28">
        <f>IF(R66+U66=2,3,IF(R66+U66=1,1,0))</f>
        <v>1</v>
      </c>
      <c r="AA66" s="28">
        <f>IF(Z66=3,3,IF(X66+Z66=2,2,IF(Z66=1,1,0)))</f>
        <v>1</v>
      </c>
      <c r="AB66" s="28">
        <f>Q66+T66</f>
        <v>10</v>
      </c>
      <c r="AC66" s="28">
        <f>R66+U66+X66</f>
        <v>1</v>
      </c>
      <c r="AD66" s="28"/>
      <c r="AE66" s="85" t="str">
        <f>'Players - Men'!E20</f>
        <v>Tobias Kristensen</v>
      </c>
      <c r="AF66" s="48">
        <f>Y66+J88+J76+Y64+J84+Y90</f>
        <v>6</v>
      </c>
      <c r="AG66" s="48">
        <f t="shared" ref="AG66:AI66" si="12">AA66+L88+L76+AA64+L84+AA90</f>
        <v>7</v>
      </c>
      <c r="AH66" s="48">
        <f t="shared" si="12"/>
        <v>44</v>
      </c>
      <c r="AI66" s="49">
        <f t="shared" si="12"/>
        <v>5</v>
      </c>
      <c r="AJ66" s="37"/>
      <c r="AK66" s="37"/>
      <c r="AL66" s="28"/>
    </row>
    <row r="67" ht="15.0" customHeight="1">
      <c r="A67" s="50" t="s">
        <v>82</v>
      </c>
      <c r="H67" s="51"/>
      <c r="I67" s="52"/>
      <c r="J67" s="28"/>
      <c r="K67" s="28"/>
      <c r="L67" s="28"/>
      <c r="M67" s="28"/>
      <c r="N67" s="28"/>
      <c r="O67" s="28"/>
      <c r="P67" s="50" t="s">
        <v>82</v>
      </c>
      <c r="W67" s="51"/>
      <c r="X67" s="52"/>
      <c r="Y67" s="28"/>
      <c r="Z67" s="28"/>
      <c r="AA67" s="28"/>
      <c r="AB67" s="28"/>
      <c r="AC67" s="28"/>
      <c r="AD67" s="28"/>
      <c r="AE67" s="28"/>
      <c r="AF67" s="37"/>
      <c r="AG67" s="37"/>
      <c r="AH67" s="37"/>
      <c r="AI67" s="37"/>
      <c r="AJ67" s="37"/>
      <c r="AK67" s="37"/>
      <c r="AL67" s="28"/>
    </row>
    <row r="68" ht="15.0" customHeight="1">
      <c r="A68" s="53" t="str">
        <f>AE68</f>
        <v>Etienne Formosa Carabez</v>
      </c>
      <c r="B68" s="46"/>
      <c r="C68" s="54">
        <f>IF(B68&gt;B66,1,0)</f>
        <v>0</v>
      </c>
      <c r="D68" s="55"/>
      <c r="E68" s="46"/>
      <c r="F68" s="54">
        <f>IF(E68&gt;E66,1,0)</f>
        <v>0</v>
      </c>
      <c r="G68" s="55"/>
      <c r="H68" s="46"/>
      <c r="I68" s="28">
        <f>IF(H68&gt;H66,1,0)</f>
        <v>0</v>
      </c>
      <c r="J68" s="28">
        <f>IF(B68="",0,1)</f>
        <v>0</v>
      </c>
      <c r="K68" s="28">
        <f>IF(C68+F68=2,3,IF(C68+F68=1,1,0))</f>
        <v>0</v>
      </c>
      <c r="L68" s="28">
        <f>IF(K68=3,3,IF(I68+K68=2,2,IF(K68=1,1,0)))</f>
        <v>0</v>
      </c>
      <c r="M68" s="28">
        <f>B68+E68</f>
        <v>0</v>
      </c>
      <c r="N68" s="28">
        <f>C68+F68+I68</f>
        <v>0</v>
      </c>
      <c r="O68" s="28"/>
      <c r="P68" s="53" t="str">
        <f>AE68</f>
        <v>Etienne Formosa Carabez</v>
      </c>
      <c r="Q68" s="43">
        <v>3.0</v>
      </c>
      <c r="R68" s="54">
        <f>IF(Q68&gt;Q66,1,0)</f>
        <v>0</v>
      </c>
      <c r="S68" s="55"/>
      <c r="T68" s="43">
        <v>6.0</v>
      </c>
      <c r="U68" s="54">
        <f>IF(T68&gt;T66,1,0)</f>
        <v>1</v>
      </c>
      <c r="V68" s="55"/>
      <c r="W68" s="43">
        <v>11.0</v>
      </c>
      <c r="X68" s="28">
        <f>IF(W68&gt;W66,1,0)</f>
        <v>1</v>
      </c>
      <c r="Y68" s="28">
        <f>IF(Q68="",0,1)</f>
        <v>1</v>
      </c>
      <c r="Z68" s="28">
        <f>IF(R68+U68=2,3,IF(R68+U68=1,1,0))</f>
        <v>1</v>
      </c>
      <c r="AA68" s="28">
        <f>IF(Z68=3,3,IF(X68+Z68=2,2,IF(Z68=1,1,0)))</f>
        <v>2</v>
      </c>
      <c r="AB68" s="28">
        <f>Q68+T68</f>
        <v>9</v>
      </c>
      <c r="AC68" s="28">
        <f>R68+U68+X68</f>
        <v>2</v>
      </c>
      <c r="AD68" s="28"/>
      <c r="AE68" s="85" t="str">
        <f>'Players - Men'!E21</f>
        <v>Etienne Formosa Carabez</v>
      </c>
      <c r="AF68" s="48">
        <f>Y68+Y76+Y84+J68+J80+Y88</f>
        <v>4</v>
      </c>
      <c r="AG68" s="48">
        <f>AA68+AA84+L80+AA76+L68+AA88</f>
        <v>4</v>
      </c>
      <c r="AH68" s="48">
        <f t="shared" ref="AH68:AI68" si="13">AB68+AB76+AB84+M68+M80+AB88</f>
        <v>21</v>
      </c>
      <c r="AI68" s="49">
        <f t="shared" si="13"/>
        <v>4</v>
      </c>
      <c r="AJ68" s="28"/>
      <c r="AK68" s="37"/>
      <c r="AL68" s="28"/>
    </row>
    <row r="69" ht="15.0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 ht="15.0" customHeight="1">
      <c r="A70" s="42" t="str">
        <f>AE60</f>
        <v>Peter Khiev</v>
      </c>
      <c r="B70" s="46"/>
      <c r="C70" s="44">
        <f>IF(B70&gt;B72,1,0)</f>
        <v>0</v>
      </c>
      <c r="D70" s="45"/>
      <c r="E70" s="46"/>
      <c r="F70" s="44">
        <f>IF(E70&gt;E72,1,0)</f>
        <v>0</v>
      </c>
      <c r="G70" s="45"/>
      <c r="H70" s="46"/>
      <c r="I70" s="28">
        <f>IF(H70&gt;H72,1,0)</f>
        <v>0</v>
      </c>
      <c r="J70" s="28">
        <f>IF(B70="",0,1)</f>
        <v>0</v>
      </c>
      <c r="K70" s="28">
        <f>IF(C70+F70=2,3,IF(C70+F70=1,1,0))</f>
        <v>0</v>
      </c>
      <c r="L70" s="28">
        <f>IF(K70=3,3,IF(I70+K70=2,2,IF(K70=1,1,0)))</f>
        <v>0</v>
      </c>
      <c r="M70" s="28">
        <f>B70+E70</f>
        <v>0</v>
      </c>
      <c r="N70" s="28">
        <f>C70+F70+I70</f>
        <v>0</v>
      </c>
      <c r="O70" s="28"/>
      <c r="P70" s="68" t="str">
        <f>AE60</f>
        <v>Peter Khiev</v>
      </c>
      <c r="Q70" s="69">
        <v>0.0</v>
      </c>
      <c r="R70" s="70">
        <f>IF(Q70&gt;Q72,1,0)</f>
        <v>0</v>
      </c>
      <c r="S70" s="71"/>
      <c r="T70" s="69">
        <v>0.0</v>
      </c>
      <c r="U70" s="70">
        <f>IF(T70&gt;T72,1,0)</f>
        <v>0</v>
      </c>
      <c r="V70" s="71"/>
      <c r="W70" s="72"/>
      <c r="X70" s="28">
        <f>IF(W70&gt;W72,1,0)</f>
        <v>0</v>
      </c>
      <c r="Y70" s="28">
        <f>IF(Q70="",0,1)</f>
        <v>1</v>
      </c>
      <c r="Z70" s="28">
        <f>IF(R70+U70=2,3,IF(R70+U70=1,1,0))</f>
        <v>0</v>
      </c>
      <c r="AA70" s="28">
        <f>IF(Z70=3,3,IF(X70+Z70=2,2,IF(Z70=1,1,0)))</f>
        <v>0</v>
      </c>
      <c r="AB70" s="28">
        <f>Q70+T70</f>
        <v>0</v>
      </c>
      <c r="AC70" s="28">
        <f>R70+U70+X70</f>
        <v>0</v>
      </c>
      <c r="AD70" s="28"/>
      <c r="AE70" s="85" t="str">
        <f>'Players - Men'!E22</f>
        <v>Steve Gambin</v>
      </c>
      <c r="AF70" s="48">
        <f>J90+J96+J100+Y86+Y92+Y96</f>
        <v>6</v>
      </c>
      <c r="AG70" s="48">
        <f t="shared" ref="AG70:AI70" si="14">L90+L96+L100+AA86+AA92+AA96</f>
        <v>4</v>
      </c>
      <c r="AH70" s="48">
        <f t="shared" si="14"/>
        <v>32</v>
      </c>
      <c r="AI70" s="49">
        <f t="shared" si="14"/>
        <v>3</v>
      </c>
      <c r="AJ70" s="28"/>
      <c r="AK70" s="28"/>
      <c r="AL70" s="28"/>
    </row>
    <row r="71" ht="15.0" customHeight="1">
      <c r="A71" s="50" t="s">
        <v>82</v>
      </c>
      <c r="H71" s="51"/>
      <c r="I71" s="52"/>
      <c r="J71" s="28"/>
      <c r="K71" s="28"/>
      <c r="L71" s="28"/>
      <c r="M71" s="28"/>
      <c r="N71" s="28"/>
      <c r="O71" s="28"/>
      <c r="P71" s="74" t="s">
        <v>82</v>
      </c>
      <c r="W71" s="51"/>
      <c r="X71" s="52"/>
      <c r="Y71" s="28"/>
      <c r="Z71" s="28"/>
      <c r="AA71" s="28"/>
      <c r="AB71" s="28"/>
      <c r="AC71" s="28"/>
      <c r="AD71" s="28"/>
      <c r="AJ71" s="28"/>
      <c r="AK71" s="28"/>
      <c r="AL71" s="28"/>
    </row>
    <row r="72" ht="15.0" customHeight="1">
      <c r="A72" s="53" t="str">
        <f>AE62</f>
        <v>John Mifsud</v>
      </c>
      <c r="B72" s="46"/>
      <c r="C72" s="54">
        <f>IF(B72&gt;B70,1,0)</f>
        <v>0</v>
      </c>
      <c r="D72" s="55"/>
      <c r="E72" s="46"/>
      <c r="F72" s="54">
        <f>IF(E72&gt;E70,1,0)</f>
        <v>0</v>
      </c>
      <c r="G72" s="55"/>
      <c r="H72" s="46"/>
      <c r="I72" s="28">
        <f>IF(H72&gt;H70,1,0)</f>
        <v>0</v>
      </c>
      <c r="J72" s="28">
        <f>IF(B72="",0,1)</f>
        <v>0</v>
      </c>
      <c r="K72" s="28">
        <f>IF(C72+F72=2,3,IF(C72+F72=1,1,0))</f>
        <v>0</v>
      </c>
      <c r="L72" s="28">
        <f>IF(K72=3,3,IF(I72+K72=2,2,IF(K72=1,1,0)))</f>
        <v>0</v>
      </c>
      <c r="M72" s="28">
        <f>B72+E72</f>
        <v>0</v>
      </c>
      <c r="N72" s="28">
        <f>C72+F72+I72</f>
        <v>0</v>
      </c>
      <c r="O72" s="28"/>
      <c r="P72" s="75" t="str">
        <f>AE64</f>
        <v>Luke Genuis</v>
      </c>
      <c r="Q72" s="69">
        <v>0.0</v>
      </c>
      <c r="R72" s="76">
        <f>IF(Q72&gt;Q70,1,0)</f>
        <v>0</v>
      </c>
      <c r="S72" s="77"/>
      <c r="T72" s="69">
        <v>0.0</v>
      </c>
      <c r="U72" s="76">
        <f>IF(T72&gt;T70,1,0)</f>
        <v>0</v>
      </c>
      <c r="V72" s="77"/>
      <c r="W72" s="72"/>
      <c r="X72" s="28">
        <f>IF(W72&gt;W70,1,0)</f>
        <v>0</v>
      </c>
      <c r="Y72" s="28">
        <f>IF(Q72="",0,1)</f>
        <v>1</v>
      </c>
      <c r="Z72" s="28">
        <f>IF(R72+U72=2,3,IF(R72+U72=1,1,0))</f>
        <v>0</v>
      </c>
      <c r="AA72" s="28">
        <f>IF(Z72=3,3,IF(X72+Z72=2,2,IF(Z72=1,1,0)))</f>
        <v>0</v>
      </c>
      <c r="AB72" s="28">
        <f>Q72+T72</f>
        <v>0</v>
      </c>
      <c r="AC72" s="28">
        <f>R72+U72+X72</f>
        <v>0</v>
      </c>
      <c r="AD72" s="28"/>
      <c r="AE72" s="28"/>
      <c r="AF72" s="28"/>
      <c r="AG72" s="28"/>
      <c r="AH72" s="28"/>
      <c r="AI72" s="28"/>
      <c r="AJ72" s="28"/>
      <c r="AK72" s="28"/>
      <c r="AL72" s="28"/>
    </row>
    <row r="73" ht="15.0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86" t="s">
        <v>88</v>
      </c>
      <c r="AF73" s="31"/>
      <c r="AG73" s="31"/>
      <c r="AH73" s="31"/>
      <c r="AI73" s="32"/>
      <c r="AJ73" s="28"/>
      <c r="AK73" s="28"/>
      <c r="AL73" s="28"/>
    </row>
    <row r="74" ht="15.0" customHeight="1">
      <c r="A74" s="42" t="str">
        <f>AE60</f>
        <v>Peter Khiev</v>
      </c>
      <c r="B74" s="43">
        <v>7.0</v>
      </c>
      <c r="C74" s="44">
        <f>IF(B74&gt;B76,1,0)</f>
        <v>1</v>
      </c>
      <c r="D74" s="45"/>
      <c r="E74" s="43">
        <v>6.0</v>
      </c>
      <c r="F74" s="44">
        <f>IF(E74&gt;E76,1,0)</f>
        <v>1</v>
      </c>
      <c r="G74" s="45"/>
      <c r="H74" s="46"/>
      <c r="I74" s="28">
        <f>IF(H74&gt;H76,1,0)</f>
        <v>0</v>
      </c>
      <c r="J74" s="28">
        <f>IF(B74="",0,1)</f>
        <v>1</v>
      </c>
      <c r="K74" s="28">
        <f>IF(C74+F74=2,3,IF(C74+F74=1,1,0))</f>
        <v>3</v>
      </c>
      <c r="L74" s="28">
        <f>IF(K74=3,3,IF(I74+K74=2,2,IF(K74=1,1,0)))</f>
        <v>3</v>
      </c>
      <c r="M74" s="28">
        <f>B74+E74</f>
        <v>13</v>
      </c>
      <c r="N74" s="28">
        <f>C74+F74+I74</f>
        <v>2</v>
      </c>
      <c r="O74" s="28"/>
      <c r="P74" s="42" t="str">
        <f>AE60</f>
        <v>Peter Khiev</v>
      </c>
      <c r="Q74" s="43">
        <v>6.0</v>
      </c>
      <c r="R74" s="44">
        <f>IF(Q74&gt;Q76,1,0)</f>
        <v>1</v>
      </c>
      <c r="S74" s="45"/>
      <c r="T74" s="43">
        <v>6.0</v>
      </c>
      <c r="U74" s="44">
        <f>IF(T74&gt;T76,1,0)</f>
        <v>1</v>
      </c>
      <c r="V74" s="45"/>
      <c r="W74" s="46"/>
      <c r="X74" s="28">
        <f>IF(W74&gt;W76,1,0)</f>
        <v>0</v>
      </c>
      <c r="Y74" s="28">
        <f>IF(Q74="",0,1)</f>
        <v>1</v>
      </c>
      <c r="Z74" s="28">
        <f>IF(R74+U74=2,3,IF(R74+U74=1,1,0))</f>
        <v>3</v>
      </c>
      <c r="AA74" s="28">
        <f>IF(Z74=3,3,IF(X74+Z74=2,2,IF(Z74=1,1,0)))</f>
        <v>3</v>
      </c>
      <c r="AB74" s="28">
        <f>Q74+T74</f>
        <v>12</v>
      </c>
      <c r="AC74" s="28">
        <f>R74+U74+X74</f>
        <v>2</v>
      </c>
      <c r="AD74" s="28"/>
      <c r="AE74" s="59"/>
      <c r="AF74" s="31"/>
      <c r="AG74" s="31"/>
      <c r="AH74" s="31"/>
      <c r="AI74" s="32"/>
      <c r="AJ74" s="28"/>
      <c r="AK74" s="28"/>
      <c r="AL74" s="28"/>
    </row>
    <row r="75" ht="15.0" customHeight="1">
      <c r="A75" s="50" t="s">
        <v>82</v>
      </c>
      <c r="H75" s="51"/>
      <c r="I75" s="52"/>
      <c r="J75" s="28"/>
      <c r="K75" s="28"/>
      <c r="L75" s="28"/>
      <c r="M75" s="28"/>
      <c r="N75" s="28"/>
      <c r="O75" s="28"/>
      <c r="P75" s="50" t="s">
        <v>82</v>
      </c>
      <c r="W75" s="51"/>
      <c r="X75" s="52"/>
      <c r="Y75" s="28"/>
      <c r="Z75" s="28"/>
      <c r="AA75" s="28"/>
      <c r="AB75" s="28"/>
      <c r="AC75" s="28"/>
      <c r="AD75" s="28"/>
      <c r="AJ75" s="28"/>
      <c r="AK75" s="28"/>
      <c r="AL75" s="28"/>
    </row>
    <row r="76" ht="15.0" customHeight="1">
      <c r="A76" s="53" t="str">
        <f>AE66</f>
        <v>Tobias Kristensen</v>
      </c>
      <c r="B76" s="43">
        <v>5.0</v>
      </c>
      <c r="C76" s="54">
        <f>IF(B76&gt;B74,1,0)</f>
        <v>0</v>
      </c>
      <c r="D76" s="55"/>
      <c r="E76" s="43">
        <v>3.0</v>
      </c>
      <c r="F76" s="54">
        <f>IF(E76&gt;E74,1,0)</f>
        <v>0</v>
      </c>
      <c r="G76" s="55"/>
      <c r="H76" s="46"/>
      <c r="I76" s="28">
        <f>IF(H76&gt;H74,1,0)</f>
        <v>0</v>
      </c>
      <c r="J76" s="28">
        <f>IF(B76="",0,1)</f>
        <v>1</v>
      </c>
      <c r="K76" s="28">
        <f>IF(C76+F76=2,3,IF(C76+F76=1,1,0))</f>
        <v>0</v>
      </c>
      <c r="L76" s="28">
        <f>IF(K76=3,3,IF(I76+K76=2,2,IF(K76=1,1,0)))</f>
        <v>0</v>
      </c>
      <c r="M76" s="28">
        <f>B76+E76</f>
        <v>8</v>
      </c>
      <c r="N76" s="28">
        <f>C76+F76+I76</f>
        <v>0</v>
      </c>
      <c r="O76" s="28"/>
      <c r="P76" s="53" t="str">
        <f>AE68</f>
        <v>Etienne Formosa Carabez</v>
      </c>
      <c r="Q76" s="43">
        <v>1.0</v>
      </c>
      <c r="R76" s="54">
        <f>IF(Q76&gt;Q74,1,0)</f>
        <v>0</v>
      </c>
      <c r="S76" s="55"/>
      <c r="T76" s="43">
        <v>1.0</v>
      </c>
      <c r="U76" s="54">
        <f>IF(T76&gt;T74,1,0)</f>
        <v>0</v>
      </c>
      <c r="V76" s="55"/>
      <c r="W76" s="46"/>
      <c r="X76" s="28">
        <f>IF(W76&gt;W74,1,0)</f>
        <v>0</v>
      </c>
      <c r="Y76" s="28">
        <f>IF(Q76="",0,1)</f>
        <v>1</v>
      </c>
      <c r="Z76" s="28">
        <f>IF(R76+U76=2,3,IF(R76+U76=1,1,0))</f>
        <v>0</v>
      </c>
      <c r="AA76" s="28">
        <f>IF(Z76=3,3,IF(X76+Z76=2,2,IF(Z76=1,1,0)))</f>
        <v>0</v>
      </c>
      <c r="AB76" s="28">
        <f>Q76+T76</f>
        <v>2</v>
      </c>
      <c r="AC76" s="28">
        <f>R76+U76+X76</f>
        <v>0</v>
      </c>
      <c r="AD76" s="28"/>
      <c r="AJ76" s="28"/>
      <c r="AK76" s="28"/>
      <c r="AL76" s="28"/>
    </row>
    <row r="77" ht="15.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37"/>
      <c r="AI77" s="28"/>
      <c r="AJ77" s="28"/>
      <c r="AK77" s="28"/>
      <c r="AL77" s="28"/>
    </row>
    <row r="78" ht="15.0" customHeight="1">
      <c r="A78" s="68" t="str">
        <f>AE64</f>
        <v>Luke Genuis</v>
      </c>
      <c r="B78" s="69">
        <v>0.0</v>
      </c>
      <c r="C78" s="70">
        <f>IF(B78&gt;B80,1,0)</f>
        <v>0</v>
      </c>
      <c r="D78" s="71"/>
      <c r="E78" s="69">
        <v>0.0</v>
      </c>
      <c r="F78" s="70">
        <f>IF(E78&gt;E80,1,0)</f>
        <v>0</v>
      </c>
      <c r="G78" s="71"/>
      <c r="H78" s="72"/>
      <c r="I78" s="28">
        <f>IF(H78&gt;H80,1,0)</f>
        <v>0</v>
      </c>
      <c r="J78" s="28">
        <f>IF(B78="",0,1)</f>
        <v>1</v>
      </c>
      <c r="K78" s="28">
        <f>IF(C78+F78=2,3,IF(C78+F78=1,1,0))</f>
        <v>0</v>
      </c>
      <c r="L78" s="28">
        <f>IF(K78=3,3,IF(I78+K78=2,2,IF(K78=1,1,0)))</f>
        <v>0</v>
      </c>
      <c r="M78" s="28">
        <f>B78+E78</f>
        <v>0</v>
      </c>
      <c r="N78" s="28">
        <f>C78+F78+I78</f>
        <v>0</v>
      </c>
      <c r="O78" s="28"/>
      <c r="P78" s="68" t="str">
        <f>AE62</f>
        <v>John Mifsud</v>
      </c>
      <c r="Q78" s="69">
        <v>0.0</v>
      </c>
      <c r="R78" s="70">
        <f>IF(Q78&gt;Q80,1,0)</f>
        <v>0</v>
      </c>
      <c r="S78" s="71"/>
      <c r="T78" s="69">
        <v>0.0</v>
      </c>
      <c r="U78" s="70">
        <f>IF(T78&gt;T80,1,0)</f>
        <v>0</v>
      </c>
      <c r="V78" s="71"/>
      <c r="W78" s="72"/>
      <c r="X78" s="28">
        <f>IF(W78&gt;W80,1,0)</f>
        <v>0</v>
      </c>
      <c r="Y78" s="28">
        <f>IF(Q78="",0,1)</f>
        <v>1</v>
      </c>
      <c r="Z78" s="28">
        <f>IF(R78+U78=2,3,IF(R78+U78=1,1,0))</f>
        <v>0</v>
      </c>
      <c r="AA78" s="28">
        <f>IF(Z78=3,3,IF(X78+Z78=2,2,IF(Z78=1,1,0)))</f>
        <v>0</v>
      </c>
      <c r="AB78" s="28">
        <f>Q78+T78</f>
        <v>0</v>
      </c>
      <c r="AC78" s="28">
        <f>R78+U78+X78</f>
        <v>0</v>
      </c>
      <c r="AD78" s="28"/>
      <c r="AE78" s="28"/>
      <c r="AF78" s="28"/>
      <c r="AG78" s="28"/>
      <c r="AH78" s="28"/>
      <c r="AI78" s="28"/>
      <c r="AJ78" s="28"/>
      <c r="AK78" s="28"/>
      <c r="AL78" s="28"/>
    </row>
    <row r="79" ht="15.0" customHeight="1">
      <c r="A79" s="74" t="s">
        <v>82</v>
      </c>
      <c r="H79" s="51"/>
      <c r="I79" s="52"/>
      <c r="J79" s="28"/>
      <c r="K79" s="28"/>
      <c r="L79" s="28"/>
      <c r="M79" s="28"/>
      <c r="N79" s="28"/>
      <c r="O79" s="28"/>
      <c r="P79" s="74" t="s">
        <v>82</v>
      </c>
      <c r="W79" s="51"/>
      <c r="X79" s="52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60"/>
      <c r="AL79" s="28"/>
    </row>
    <row r="80" ht="15.0" customHeight="1">
      <c r="A80" s="75" t="str">
        <f>AE68</f>
        <v>Etienne Formosa Carabez</v>
      </c>
      <c r="B80" s="69">
        <v>0.0</v>
      </c>
      <c r="C80" s="76">
        <f>IF(B80&gt;B78,1,0)</f>
        <v>0</v>
      </c>
      <c r="D80" s="77"/>
      <c r="E80" s="69">
        <v>0.0</v>
      </c>
      <c r="F80" s="76">
        <f>IF(E80&gt;E78,1,0)</f>
        <v>0</v>
      </c>
      <c r="G80" s="77"/>
      <c r="H80" s="72"/>
      <c r="I80" s="28">
        <f>IF(H80&gt;H78,1,0)</f>
        <v>0</v>
      </c>
      <c r="J80" s="28">
        <f>IF(B80="",0,1)</f>
        <v>1</v>
      </c>
      <c r="K80" s="28">
        <f>IF(C80+F80=2,3,IF(C80+F80=1,1,0))</f>
        <v>0</v>
      </c>
      <c r="L80" s="28">
        <f>IF(K80=3,3,IF(I80+K80=2,2,IF(K80=1,1,0)))</f>
        <v>0</v>
      </c>
      <c r="M80" s="28">
        <f>B80+E80</f>
        <v>0</v>
      </c>
      <c r="N80" s="28">
        <f>C80+F80+I80</f>
        <v>0</v>
      </c>
      <c r="O80" s="28"/>
      <c r="P80" s="75" t="str">
        <f>AE64</f>
        <v>Luke Genuis</v>
      </c>
      <c r="Q80" s="69">
        <v>0.0</v>
      </c>
      <c r="R80" s="76">
        <f>IF(Q80&gt;Q78,1,0)</f>
        <v>0</v>
      </c>
      <c r="S80" s="77"/>
      <c r="T80" s="69">
        <v>0.0</v>
      </c>
      <c r="U80" s="76">
        <f>IF(T80&gt;T78,1,0)</f>
        <v>0</v>
      </c>
      <c r="V80" s="77"/>
      <c r="W80" s="72"/>
      <c r="X80" s="28">
        <f>IF(W80&gt;W78,1,0)</f>
        <v>0</v>
      </c>
      <c r="Y80" s="28">
        <f>IF(Q80="",0,1)</f>
        <v>1</v>
      </c>
      <c r="Z80" s="28">
        <f>IF(R80+U80=2,3,IF(R80+U80=1,1,0))</f>
        <v>0</v>
      </c>
      <c r="AA80" s="28">
        <f>IF(Z80=3,3,IF(X80+Z80=2,2,IF(Z80=1,1,0)))</f>
        <v>0</v>
      </c>
      <c r="AB80" s="28">
        <f>Q80+T80</f>
        <v>0</v>
      </c>
      <c r="AC80" s="28">
        <f>R80+U80+X80</f>
        <v>0</v>
      </c>
      <c r="AD80" s="28"/>
      <c r="AE80" s="28"/>
      <c r="AF80" s="28"/>
      <c r="AG80" s="28"/>
      <c r="AH80" s="28"/>
      <c r="AI80" s="28"/>
      <c r="AJ80" s="28"/>
      <c r="AK80" s="28"/>
      <c r="AL80" s="28"/>
    </row>
    <row r="81" ht="15.0" customHeight="1">
      <c r="A81" s="28"/>
      <c r="B81" s="28"/>
      <c r="C81" s="28"/>
      <c r="D81" s="28"/>
      <c r="E81" s="37"/>
      <c r="F81" s="28"/>
      <c r="G81" s="28"/>
      <c r="H81" s="37"/>
      <c r="I81" s="28"/>
      <c r="J81" s="37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37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60"/>
      <c r="AL81" s="28"/>
    </row>
    <row r="82" ht="15.0" customHeight="1">
      <c r="A82" s="42" t="str">
        <f>AE62</f>
        <v>John Mifsud</v>
      </c>
      <c r="B82" s="43">
        <v>3.0</v>
      </c>
      <c r="C82" s="44">
        <f>IF(B82&gt;B84,1,0)</f>
        <v>0</v>
      </c>
      <c r="D82" s="45"/>
      <c r="E82" s="43">
        <v>1.0</v>
      </c>
      <c r="F82" s="44">
        <f>IF(E82&gt;E84,1,0)</f>
        <v>0</v>
      </c>
      <c r="G82" s="45"/>
      <c r="H82" s="46"/>
      <c r="I82" s="28">
        <f>IF(H82&gt;H84,1,0)</f>
        <v>0</v>
      </c>
      <c r="J82" s="28">
        <f>IF(B82="",0,1)</f>
        <v>1</v>
      </c>
      <c r="K82" s="28">
        <f>IF(C82+F82=2,3,IF(C82+F82=1,1,0))</f>
        <v>0</v>
      </c>
      <c r="L82" s="28">
        <f>IF(K82=3,3,IF(I82+K82=2,2,IF(K82=1,1,0)))</f>
        <v>0</v>
      </c>
      <c r="M82" s="28">
        <f>B82+E82</f>
        <v>4</v>
      </c>
      <c r="N82" s="28">
        <f>C82+F82+I82</f>
        <v>0</v>
      </c>
      <c r="O82" s="28"/>
      <c r="P82" s="42" t="str">
        <f>AE62</f>
        <v>John Mifsud</v>
      </c>
      <c r="Q82" s="46"/>
      <c r="R82" s="44">
        <f>IF(Q82&gt;Q84,1,0)</f>
        <v>0</v>
      </c>
      <c r="S82" s="45"/>
      <c r="T82" s="46"/>
      <c r="U82" s="44">
        <f>IF(T82&gt;T84,1,0)</f>
        <v>0</v>
      </c>
      <c r="V82" s="45"/>
      <c r="W82" s="46"/>
      <c r="X82" s="28">
        <f>IF(W82&gt;W84,1,0)</f>
        <v>0</v>
      </c>
      <c r="Y82" s="28">
        <f>IF(Q82="",0,1)</f>
        <v>0</v>
      </c>
      <c r="Z82" s="28">
        <f>IF(R82+U82=2,3,IF(R82+U82=1,1,0))</f>
        <v>0</v>
      </c>
      <c r="AA82" s="28">
        <f>IF(Z82=3,3,IF(X82+Z82=2,2,IF(Z82=1,1,0)))</f>
        <v>0</v>
      </c>
      <c r="AB82" s="28">
        <f>Q82+T82</f>
        <v>0</v>
      </c>
      <c r="AC82" s="28">
        <f>R82+U82+X82</f>
        <v>0</v>
      </c>
      <c r="AD82" s="28"/>
      <c r="AE82" s="28"/>
      <c r="AF82" s="28"/>
      <c r="AG82" s="28"/>
      <c r="AH82" s="28"/>
      <c r="AI82" s="28"/>
      <c r="AJ82" s="28"/>
      <c r="AK82" s="28"/>
      <c r="AL82" s="28"/>
    </row>
    <row r="83" ht="15.0" customHeight="1">
      <c r="A83" s="50" t="s">
        <v>82</v>
      </c>
      <c r="H83" s="51"/>
      <c r="I83" s="52"/>
      <c r="J83" s="28"/>
      <c r="K83" s="28"/>
      <c r="L83" s="28"/>
      <c r="M83" s="28"/>
      <c r="N83" s="28"/>
      <c r="O83" s="28"/>
      <c r="P83" s="50" t="s">
        <v>82</v>
      </c>
      <c r="W83" s="51"/>
      <c r="X83" s="52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ht="15.0" customHeight="1">
      <c r="A84" s="53" t="str">
        <f>AE66</f>
        <v>Tobias Kristensen</v>
      </c>
      <c r="B84" s="43">
        <v>6.0</v>
      </c>
      <c r="C84" s="54">
        <f>IF(B84&gt;B82,1,0)</f>
        <v>1</v>
      </c>
      <c r="D84" s="55"/>
      <c r="E84" s="43">
        <v>6.0</v>
      </c>
      <c r="F84" s="54">
        <f>IF(E84&gt;E82,1,0)</f>
        <v>1</v>
      </c>
      <c r="G84" s="55"/>
      <c r="H84" s="46"/>
      <c r="I84" s="28">
        <f>IF(H84&gt;H82,1,0)</f>
        <v>0</v>
      </c>
      <c r="J84" s="28">
        <f>IF(B84="",0,1)</f>
        <v>1</v>
      </c>
      <c r="K84" s="28">
        <f>IF(C84+F84=2,3,IF(C84+F84=1,1,0))</f>
        <v>3</v>
      </c>
      <c r="L84" s="28">
        <f>IF(K84=3,3,IF(I84+K84=2,2,IF(K84=1,1,0)))</f>
        <v>3</v>
      </c>
      <c r="M84" s="28">
        <f>B84+E84</f>
        <v>12</v>
      </c>
      <c r="N84" s="28">
        <f>C84+F84+I84</f>
        <v>2</v>
      </c>
      <c r="O84" s="28"/>
      <c r="P84" s="53" t="str">
        <f>AE68</f>
        <v>Etienne Formosa Carabez</v>
      </c>
      <c r="Q84" s="46"/>
      <c r="R84" s="54">
        <f>IF(Q84&gt;Q82,1,0)</f>
        <v>0</v>
      </c>
      <c r="S84" s="55"/>
      <c r="T84" s="46"/>
      <c r="U84" s="54">
        <f>IF(T84&gt;T82,1,0)</f>
        <v>0</v>
      </c>
      <c r="V84" s="55"/>
      <c r="W84" s="46"/>
      <c r="X84" s="28">
        <f>IF(W84&gt;W82,1,0)</f>
        <v>0</v>
      </c>
      <c r="Y84" s="28">
        <f>IF(Q84="",0,1)</f>
        <v>0</v>
      </c>
      <c r="Z84" s="28">
        <f>IF(R84+U84=2,3,IF(R84+U84=1,1,0))</f>
        <v>0</v>
      </c>
      <c r="AA84" s="28">
        <f>IF(Z84=3,3,IF(X84+Z84=2,2,IF(Z84=1,1,0)))</f>
        <v>0</v>
      </c>
      <c r="AB84" s="28">
        <f>Q84+T84</f>
        <v>0</v>
      </c>
      <c r="AC84" s="28">
        <f>R84+U84+X84</f>
        <v>0</v>
      </c>
      <c r="AD84" s="28"/>
      <c r="AE84" s="28"/>
      <c r="AF84" s="28"/>
      <c r="AG84" s="28"/>
      <c r="AH84" s="28"/>
      <c r="AI84" s="28"/>
      <c r="AJ84" s="28"/>
      <c r="AK84" s="28"/>
      <c r="AL84" s="28"/>
    </row>
    <row r="85" ht="15.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37"/>
      <c r="AI85" s="28"/>
      <c r="AJ85" s="28"/>
      <c r="AK85" s="28"/>
      <c r="AL85" s="28"/>
    </row>
    <row r="86" ht="15.0" customHeight="1">
      <c r="A86" s="68" t="str">
        <f>AE64</f>
        <v>Luke Genuis</v>
      </c>
      <c r="B86" s="69">
        <v>0.0</v>
      </c>
      <c r="C86" s="70">
        <f>IF(B86&gt;B88,1,0)</f>
        <v>0</v>
      </c>
      <c r="D86" s="71"/>
      <c r="E86" s="69">
        <v>0.0</v>
      </c>
      <c r="F86" s="70">
        <f>IF(E86&gt;E88,1,0)</f>
        <v>0</v>
      </c>
      <c r="G86" s="71"/>
      <c r="H86" s="72"/>
      <c r="I86" s="28">
        <f>IF(H86&gt;H88,1,0)</f>
        <v>0</v>
      </c>
      <c r="J86" s="28">
        <f>IF(B86="",0,1)</f>
        <v>1</v>
      </c>
      <c r="K86" s="28">
        <f>IF(C86+F86=2,3,IF(C86+F86=1,1,0))</f>
        <v>0</v>
      </c>
      <c r="L86" s="28">
        <f>IF(K86=3,3,IF(I86+K86=2,2,IF(K86=1,1,0)))</f>
        <v>0</v>
      </c>
      <c r="M86" s="28">
        <f>B86+E86</f>
        <v>0</v>
      </c>
      <c r="N86" s="28">
        <f>C86+F86+I86</f>
        <v>0</v>
      </c>
      <c r="O86" s="28"/>
      <c r="P86" s="42" t="str">
        <f>AE70</f>
        <v>Steve Gambin</v>
      </c>
      <c r="Q86" s="43">
        <v>4.0</v>
      </c>
      <c r="R86" s="44">
        <f>IF(Q86&gt;Q88,1,0)</f>
        <v>0</v>
      </c>
      <c r="S86" s="45"/>
      <c r="T86" s="43">
        <v>6.0</v>
      </c>
      <c r="U86" s="44">
        <f>IF(T86&gt;T88,1,0)</f>
        <v>1</v>
      </c>
      <c r="V86" s="45"/>
      <c r="W86" s="43">
        <v>7.0</v>
      </c>
      <c r="X86" s="28">
        <f>IF(W86&gt;W88,1,0)</f>
        <v>0</v>
      </c>
      <c r="Y86" s="28">
        <f>IF(Q86="",0,1)</f>
        <v>1</v>
      </c>
      <c r="Z86" s="28">
        <f>IF(R86+U86=2,3,IF(R86+U86=1,1,0))</f>
        <v>1</v>
      </c>
      <c r="AA86" s="28">
        <f>IF(Z86=3,3,IF(X86+Z86=2,2,IF(Z86=1,1,0)))</f>
        <v>1</v>
      </c>
      <c r="AB86" s="28">
        <f>Q86+T86</f>
        <v>10</v>
      </c>
      <c r="AC86" s="28">
        <f>R86+U86+X86</f>
        <v>1</v>
      </c>
      <c r="AD86" s="28"/>
      <c r="AE86" s="28"/>
      <c r="AF86" s="28"/>
      <c r="AG86" s="28"/>
      <c r="AH86" s="28"/>
      <c r="AI86" s="28"/>
      <c r="AJ86" s="28"/>
      <c r="AK86" s="28"/>
      <c r="AL86" s="28"/>
    </row>
    <row r="87" ht="15.0" customHeight="1">
      <c r="A87" s="74" t="s">
        <v>82</v>
      </c>
      <c r="H87" s="51"/>
      <c r="I87" s="52"/>
      <c r="J87" s="28"/>
      <c r="K87" s="28"/>
      <c r="L87" s="28"/>
      <c r="M87" s="28"/>
      <c r="N87" s="28"/>
      <c r="O87" s="28"/>
      <c r="P87" s="50" t="s">
        <v>82</v>
      </c>
      <c r="W87" s="51"/>
      <c r="X87" s="52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61"/>
      <c r="AK87" s="28"/>
      <c r="AL87" s="28"/>
    </row>
    <row r="88" ht="15.0" customHeight="1">
      <c r="A88" s="75" t="str">
        <f>AE66</f>
        <v>Tobias Kristensen</v>
      </c>
      <c r="B88" s="69">
        <v>0.0</v>
      </c>
      <c r="C88" s="76">
        <f>IF(B88&gt;B86,1,0)</f>
        <v>0</v>
      </c>
      <c r="D88" s="77"/>
      <c r="E88" s="69">
        <v>0.0</v>
      </c>
      <c r="F88" s="76">
        <f>IF(E88&gt;E86,1,0)</f>
        <v>0</v>
      </c>
      <c r="G88" s="77"/>
      <c r="H88" s="72"/>
      <c r="I88" s="28">
        <f>IF(H88&gt;H86,1,0)</f>
        <v>0</v>
      </c>
      <c r="J88" s="28">
        <f>IF(B88="",0,1)</f>
        <v>1</v>
      </c>
      <c r="K88" s="28">
        <f>IF(C88+F88=2,3,IF(C88+F88=1,1,0))</f>
        <v>0</v>
      </c>
      <c r="L88" s="28">
        <f>IF(K88=3,3,IF(I88+K88=2,2,IF(K88=1,1,0)))</f>
        <v>0</v>
      </c>
      <c r="M88" s="28">
        <f>B88+E88</f>
        <v>0</v>
      </c>
      <c r="N88" s="28">
        <f>C88+F88+I88</f>
        <v>0</v>
      </c>
      <c r="O88" s="28"/>
      <c r="P88" s="53" t="str">
        <f>AE68</f>
        <v>Etienne Formosa Carabez</v>
      </c>
      <c r="Q88" s="43">
        <v>6.0</v>
      </c>
      <c r="R88" s="54">
        <f>IF(Q88&gt;Q86,1,0)</f>
        <v>1</v>
      </c>
      <c r="S88" s="55"/>
      <c r="T88" s="43">
        <v>4.0</v>
      </c>
      <c r="U88" s="54">
        <f>IF(T88&gt;T86,1,0)</f>
        <v>0</v>
      </c>
      <c r="V88" s="55"/>
      <c r="W88" s="43">
        <v>10.0</v>
      </c>
      <c r="X88" s="28">
        <f>IF(W88&gt;W86,1,0)</f>
        <v>1</v>
      </c>
      <c r="Y88" s="28">
        <f>IF(Q88="",0,1)</f>
        <v>1</v>
      </c>
      <c r="Z88" s="28">
        <f>IF(R88+U88=2,3,IF(R88+U88=1,1,0))</f>
        <v>1</v>
      </c>
      <c r="AA88" s="28">
        <f>IF(Z88=3,3,IF(X88+Z88=2,2,IF(Z88=1,1,0)))</f>
        <v>2</v>
      </c>
      <c r="AB88" s="28">
        <f>Q88+T88</f>
        <v>10</v>
      </c>
      <c r="AC88" s="28">
        <f>R88+U88+X88</f>
        <v>2</v>
      </c>
      <c r="AD88" s="28"/>
      <c r="AE88" s="28"/>
      <c r="AF88" s="28"/>
      <c r="AG88" s="28"/>
      <c r="AH88" s="28"/>
      <c r="AI88" s="28"/>
      <c r="AJ88" s="28"/>
      <c r="AK88" s="28"/>
      <c r="AL88" s="28"/>
    </row>
    <row r="89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ht="13.5" customHeight="1">
      <c r="A90" s="68" t="str">
        <f>AE70</f>
        <v>Steve Gambin</v>
      </c>
      <c r="B90" s="69">
        <v>0.0</v>
      </c>
      <c r="C90" s="70">
        <f>IF(B90&gt;B92,1,0)</f>
        <v>0</v>
      </c>
      <c r="D90" s="71"/>
      <c r="E90" s="69">
        <v>0.0</v>
      </c>
      <c r="F90" s="70">
        <f>IF(E90&gt;E92,1,0)</f>
        <v>0</v>
      </c>
      <c r="G90" s="71"/>
      <c r="H90" s="72"/>
      <c r="I90" s="28">
        <f>IF(H90&gt;H92,1,0)</f>
        <v>0</v>
      </c>
      <c r="J90" s="28">
        <f>IF(B90="",0,1)</f>
        <v>1</v>
      </c>
      <c r="K90" s="28">
        <f>IF(C90+F90=2,3,IF(C90+F90=1,1,0))</f>
        <v>0</v>
      </c>
      <c r="L90" s="28">
        <f>IF(K90=3,3,IF(I90+K90=2,2,IF(K90=1,1,0)))</f>
        <v>0</v>
      </c>
      <c r="M90" s="28">
        <f>B90+E90</f>
        <v>0</v>
      </c>
      <c r="N90" s="28">
        <f>C90+F90+I90</f>
        <v>0</v>
      </c>
      <c r="O90" s="28"/>
      <c r="P90" s="42" t="str">
        <f>AE66</f>
        <v>Tobias Kristensen</v>
      </c>
      <c r="Q90" s="43">
        <v>6.0</v>
      </c>
      <c r="R90" s="44">
        <f>IF(Q90&gt;Q92,1,0)</f>
        <v>1</v>
      </c>
      <c r="S90" s="45"/>
      <c r="T90" s="43">
        <v>6.0</v>
      </c>
      <c r="U90" s="44">
        <f>IF(T90&gt;T92,1,0)</f>
        <v>1</v>
      </c>
      <c r="V90" s="45"/>
      <c r="W90" s="46"/>
      <c r="X90" s="28">
        <f>IF(W90&gt;W92,1,0)</f>
        <v>0</v>
      </c>
      <c r="Y90" s="28">
        <f>IF(Q90="",0,1)</f>
        <v>1</v>
      </c>
      <c r="Z90" s="28">
        <f>IF(R90+U90=2,3,IF(R90+U90=1,1,0))</f>
        <v>3</v>
      </c>
      <c r="AA90" s="28">
        <f>IF(Z90=3,3,IF(X90+Z90=2,2,IF(Z90=1,1,0)))</f>
        <v>3</v>
      </c>
      <c r="AB90" s="28">
        <f>Q90+T90</f>
        <v>12</v>
      </c>
      <c r="AC90" s="28">
        <f>R90+U90+X90</f>
        <v>2</v>
      </c>
      <c r="AD90" s="28"/>
      <c r="AE90" s="28"/>
      <c r="AF90" s="28"/>
      <c r="AG90" s="28"/>
      <c r="AH90" s="28"/>
      <c r="AI90" s="28"/>
      <c r="AJ90" s="28"/>
      <c r="AK90" s="28"/>
      <c r="AL90" s="28"/>
    </row>
    <row r="91" ht="15.75" customHeight="1">
      <c r="A91" s="74" t="s">
        <v>82</v>
      </c>
      <c r="H91" s="51"/>
      <c r="I91" s="52"/>
      <c r="J91" s="28"/>
      <c r="K91" s="28"/>
      <c r="L91" s="28"/>
      <c r="M91" s="28"/>
      <c r="N91" s="28"/>
      <c r="O91" s="28"/>
      <c r="P91" s="50" t="s">
        <v>82</v>
      </c>
      <c r="W91" s="51"/>
      <c r="X91" s="52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ht="13.5" customHeight="1">
      <c r="A92" s="75" t="str">
        <f>AE64</f>
        <v>Luke Genuis</v>
      </c>
      <c r="B92" s="69">
        <v>0.0</v>
      </c>
      <c r="C92" s="76">
        <f>IF(B92&gt;B90,1,0)</f>
        <v>0</v>
      </c>
      <c r="D92" s="77"/>
      <c r="E92" s="69">
        <v>0.0</v>
      </c>
      <c r="F92" s="76">
        <f>IF(E92&gt;E90,1,0)</f>
        <v>0</v>
      </c>
      <c r="G92" s="77"/>
      <c r="H92" s="72"/>
      <c r="I92" s="28">
        <f>IF(H92&gt;H90,1,0)</f>
        <v>0</v>
      </c>
      <c r="J92" s="28">
        <f>IF(B92="",0,1)</f>
        <v>1</v>
      </c>
      <c r="K92" s="28">
        <f>IF(C92+F92=2,3,IF(C92+F92=1,1,0))</f>
        <v>0</v>
      </c>
      <c r="L92" s="28">
        <f>IF(K92=3,3,IF(I92+K92=2,2,IF(K92=1,1,0)))</f>
        <v>0</v>
      </c>
      <c r="M92" s="28">
        <f>B92+E92</f>
        <v>0</v>
      </c>
      <c r="N92" s="28">
        <f>C92+F92+I92</f>
        <v>0</v>
      </c>
      <c r="O92" s="28"/>
      <c r="P92" s="53" t="str">
        <f>AE70</f>
        <v>Steve Gambin</v>
      </c>
      <c r="Q92" s="43">
        <v>3.0</v>
      </c>
      <c r="R92" s="54">
        <f>IF(Q92&gt;Q90,1,0)</f>
        <v>0</v>
      </c>
      <c r="S92" s="55"/>
      <c r="T92" s="43">
        <v>2.0</v>
      </c>
      <c r="U92" s="54">
        <f>IF(T92&gt;T90,1,0)</f>
        <v>0</v>
      </c>
      <c r="V92" s="55"/>
      <c r="W92" s="46"/>
      <c r="X92" s="28">
        <f>IF(W92&gt;W90,1,0)</f>
        <v>0</v>
      </c>
      <c r="Y92" s="28">
        <f>IF(Q92="",0,1)</f>
        <v>1</v>
      </c>
      <c r="Z92" s="28">
        <f>IF(R92+U92=2,3,IF(R92+U92=1,1,0))</f>
        <v>0</v>
      </c>
      <c r="AA92" s="28">
        <f>IF(Z92=3,3,IF(X92+Z92=2,2,IF(Z92=1,1,0)))</f>
        <v>0</v>
      </c>
      <c r="AB92" s="28">
        <f>Q92+T92</f>
        <v>5</v>
      </c>
      <c r="AC92" s="28">
        <f>R92+U92+X92</f>
        <v>0</v>
      </c>
      <c r="AD92" s="28"/>
      <c r="AE92" s="28"/>
      <c r="AF92" s="28"/>
      <c r="AG92" s="28"/>
      <c r="AH92" s="28"/>
      <c r="AI92" s="28"/>
      <c r="AJ92" s="28"/>
      <c r="AK92" s="28"/>
      <c r="AL92" s="28"/>
    </row>
    <row r="93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ht="13.5" customHeight="1">
      <c r="A94" s="42" t="str">
        <f>AE62</f>
        <v>John Mifsud</v>
      </c>
      <c r="B94" s="43">
        <v>4.0</v>
      </c>
      <c r="C94" s="44">
        <f>IF(B94&gt;B96,1,0)</f>
        <v>0</v>
      </c>
      <c r="D94" s="45"/>
      <c r="E94" s="43">
        <v>2.0</v>
      </c>
      <c r="F94" s="44">
        <f>IF(E94&gt;E96,1,0)</f>
        <v>0</v>
      </c>
      <c r="G94" s="45"/>
      <c r="H94" s="46"/>
      <c r="I94" s="28">
        <f>IF(H94&gt;H96,1,0)</f>
        <v>0</v>
      </c>
      <c r="J94" s="28">
        <f>IF(B94="",0,1)</f>
        <v>1</v>
      </c>
      <c r="K94" s="28">
        <f>IF(C94+F94=2,3,IF(C94+F94=1,1,0))</f>
        <v>0</v>
      </c>
      <c r="L94" s="28">
        <f>IF(K94=3,3,IF(I94+K94=2,2,IF(K94=1,1,0)))</f>
        <v>0</v>
      </c>
      <c r="M94" s="28">
        <f>B94+E94</f>
        <v>6</v>
      </c>
      <c r="N94" s="28">
        <f>C94+F94+I94</f>
        <v>0</v>
      </c>
      <c r="O94" s="28"/>
      <c r="P94" s="42" t="str">
        <f>AE60</f>
        <v>Peter Khiev</v>
      </c>
      <c r="Q94" s="43">
        <v>6.0</v>
      </c>
      <c r="R94" s="44">
        <f>IF(Q94&gt;Q96,1,0)</f>
        <v>1</v>
      </c>
      <c r="S94" s="45"/>
      <c r="T94" s="43">
        <v>6.0</v>
      </c>
      <c r="U94" s="44">
        <f>IF(T94&gt;T96,1,0)</f>
        <v>1</v>
      </c>
      <c r="V94" s="45"/>
      <c r="W94" s="46"/>
      <c r="X94" s="28">
        <f>IF(W94&gt;W96,1,0)</f>
        <v>0</v>
      </c>
      <c r="Y94" s="28">
        <f>IF(Q94="",0,1)</f>
        <v>1</v>
      </c>
      <c r="Z94" s="28">
        <f>IF(R94+U94=2,3,IF(R94+U94=1,1,0))</f>
        <v>3</v>
      </c>
      <c r="AA94" s="28">
        <f>IF(Z94=3,3,IF(X94+Z94=2,2,IF(Z94=1,1,0)))</f>
        <v>3</v>
      </c>
      <c r="AB94" s="28">
        <f>Q94+T94</f>
        <v>12</v>
      </c>
      <c r="AC94" s="28">
        <f>R94+U94+X94</f>
        <v>2</v>
      </c>
      <c r="AD94" s="28"/>
      <c r="AE94" s="28"/>
      <c r="AF94" s="28"/>
      <c r="AG94" s="28"/>
      <c r="AH94" s="28"/>
      <c r="AI94" s="28"/>
      <c r="AJ94" s="28"/>
      <c r="AK94" s="28"/>
      <c r="AL94" s="28"/>
    </row>
    <row r="95" ht="13.5" customHeight="1">
      <c r="A95" s="50" t="s">
        <v>82</v>
      </c>
      <c r="H95" s="51"/>
      <c r="I95" s="52"/>
      <c r="J95" s="28"/>
      <c r="K95" s="28"/>
      <c r="L95" s="28"/>
      <c r="M95" s="28"/>
      <c r="N95" s="28"/>
      <c r="O95" s="28"/>
      <c r="P95" s="50" t="s">
        <v>82</v>
      </c>
      <c r="W95" s="51"/>
      <c r="X95" s="52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ht="13.5" customHeight="1">
      <c r="A96" s="53" t="str">
        <f>AE70</f>
        <v>Steve Gambin</v>
      </c>
      <c r="B96" s="43">
        <v>6.0</v>
      </c>
      <c r="C96" s="54">
        <f>IF(B96&gt;B94,1,0)</f>
        <v>1</v>
      </c>
      <c r="D96" s="55"/>
      <c r="E96" s="43">
        <v>6.0</v>
      </c>
      <c r="F96" s="54">
        <f>IF(E96&gt;E94,1,0)</f>
        <v>1</v>
      </c>
      <c r="G96" s="55"/>
      <c r="H96" s="46"/>
      <c r="I96" s="28">
        <f>IF(H96&gt;H94,1,0)</f>
        <v>0</v>
      </c>
      <c r="J96" s="28">
        <f>IF(B96="",0,1)</f>
        <v>1</v>
      </c>
      <c r="K96" s="28">
        <f>IF(C96+F96=2,3,IF(C96+F96=1,1,0))</f>
        <v>3</v>
      </c>
      <c r="L96" s="28">
        <f>IF(K96=3,3,IF(I96+K96=2,2,IF(K96=1,1,0)))</f>
        <v>3</v>
      </c>
      <c r="M96" s="28">
        <f>B96+E96</f>
        <v>12</v>
      </c>
      <c r="N96" s="28">
        <f>C96+F96+I96</f>
        <v>2</v>
      </c>
      <c r="O96" s="28"/>
      <c r="P96" s="53" t="str">
        <f>AE70</f>
        <v>Steve Gambin</v>
      </c>
      <c r="Q96" s="43">
        <v>2.0</v>
      </c>
      <c r="R96" s="54">
        <f>IF(Q96&gt;Q94,1,0)</f>
        <v>0</v>
      </c>
      <c r="S96" s="55"/>
      <c r="T96" s="43">
        <v>1.0</v>
      </c>
      <c r="U96" s="54">
        <f>IF(T96&gt;T94,1,0)</f>
        <v>0</v>
      </c>
      <c r="V96" s="55"/>
      <c r="W96" s="46"/>
      <c r="X96" s="28">
        <f>IF(W96&gt;W94,1,0)</f>
        <v>0</v>
      </c>
      <c r="Y96" s="28">
        <f>IF(Q96="",0,1)</f>
        <v>1</v>
      </c>
      <c r="Z96" s="28">
        <f>IF(R96+U96=2,3,IF(R96+U96=1,1,0))</f>
        <v>0</v>
      </c>
      <c r="AA96" s="28">
        <f>IF(Z96=3,3,IF(X96+Z96=2,2,IF(Z96=1,1,0)))</f>
        <v>0</v>
      </c>
      <c r="AB96" s="28">
        <f>Q96+T96</f>
        <v>3</v>
      </c>
      <c r="AC96" s="28">
        <f>R96+U96+X96</f>
        <v>0</v>
      </c>
      <c r="AD96" s="28"/>
      <c r="AE96" s="28"/>
      <c r="AF96" s="28"/>
      <c r="AG96" s="28"/>
      <c r="AH96" s="28"/>
      <c r="AI96" s="28"/>
      <c r="AJ96" s="28"/>
      <c r="AK96" s="28"/>
      <c r="AL96" s="28"/>
    </row>
    <row r="9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 ht="13.5" customHeight="1">
      <c r="A98" s="42" t="str">
        <f>AE58</f>
        <v>Jonathan Martinelli</v>
      </c>
      <c r="B98" s="43">
        <v>6.0</v>
      </c>
      <c r="C98" s="44">
        <f>IF(B98&gt;B100,1,0)</f>
        <v>1</v>
      </c>
      <c r="D98" s="45"/>
      <c r="E98" s="43">
        <v>6.0</v>
      </c>
      <c r="F98" s="44">
        <f>IF(E98&gt;E100,1,0)</f>
        <v>1</v>
      </c>
      <c r="G98" s="45"/>
      <c r="H98" s="46"/>
      <c r="I98" s="28">
        <f>IF(H98&gt;H100,1,0)</f>
        <v>0</v>
      </c>
      <c r="J98" s="28">
        <f>IF(B98="",0,1)</f>
        <v>1</v>
      </c>
      <c r="K98" s="28">
        <f>IF(C98+F98=2,3,IF(C98+F98=1,1,0))</f>
        <v>3</v>
      </c>
      <c r="L98" s="28">
        <f>IF(K98=3,3,IF(I98+K98=2,2,IF(K98=1,1,0)))</f>
        <v>3</v>
      </c>
      <c r="M98" s="28">
        <f>B98+E98</f>
        <v>12</v>
      </c>
      <c r="N98" s="28">
        <f>C98+F98+I98</f>
        <v>2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 ht="13.5" customHeight="1">
      <c r="A99" s="50" t="s">
        <v>82</v>
      </c>
      <c r="H99" s="51"/>
      <c r="I99" s="52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 ht="13.5" customHeight="1">
      <c r="A100" s="53" t="str">
        <f>AE70</f>
        <v>Steve Gambin</v>
      </c>
      <c r="B100" s="43">
        <v>1.0</v>
      </c>
      <c r="C100" s="54">
        <f>IF(B100&gt;B98,1,0)</f>
        <v>0</v>
      </c>
      <c r="D100" s="55"/>
      <c r="E100" s="43">
        <v>1.0</v>
      </c>
      <c r="F100" s="54">
        <f>IF(E100&gt;E98,1,0)</f>
        <v>0</v>
      </c>
      <c r="G100" s="55"/>
      <c r="H100" s="46"/>
      <c r="I100" s="28">
        <f>IF(H100&gt;H98,1,0)</f>
        <v>0</v>
      </c>
      <c r="J100" s="28">
        <f>IF(B100="",0,1)</f>
        <v>1</v>
      </c>
      <c r="K100" s="28">
        <f>IF(C100+F100=2,3,IF(C100+F100=1,1,0))</f>
        <v>0</v>
      </c>
      <c r="L100" s="28">
        <f>IF(K100=3,3,IF(I100+K100=2,2,IF(K100=1,1,0)))</f>
        <v>0</v>
      </c>
      <c r="M100" s="28">
        <f>B100+E100</f>
        <v>2</v>
      </c>
      <c r="N100" s="28">
        <f>C100+F100+I100</f>
        <v>0</v>
      </c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87" t="s">
        <v>89</v>
      </c>
      <c r="Q103" s="31"/>
      <c r="R103" s="31"/>
      <c r="S103" s="31"/>
      <c r="T103" s="31"/>
      <c r="U103" s="31"/>
      <c r="V103" s="31"/>
      <c r="W103" s="8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89" t="s">
        <v>62</v>
      </c>
      <c r="Q105" s="87" t="s">
        <v>63</v>
      </c>
      <c r="R105" s="31"/>
      <c r="S105" s="31"/>
      <c r="T105" s="32"/>
      <c r="U105" s="90"/>
      <c r="V105" s="91"/>
      <c r="W105" s="89" t="s">
        <v>64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 ht="13.5" hidden="1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38" t="s">
        <v>70</v>
      </c>
      <c r="R106" s="38" t="s">
        <v>71</v>
      </c>
      <c r="S106" s="38"/>
      <c r="T106" s="38" t="s">
        <v>70</v>
      </c>
      <c r="U106" s="38" t="s">
        <v>72</v>
      </c>
      <c r="V106" s="38"/>
      <c r="W106" s="38" t="s">
        <v>70</v>
      </c>
      <c r="X106" s="38" t="s">
        <v>73</v>
      </c>
      <c r="Y106" s="38" t="s">
        <v>74</v>
      </c>
      <c r="Z106" s="38" t="s">
        <v>75</v>
      </c>
      <c r="AA106" s="38" t="s">
        <v>76</v>
      </c>
      <c r="AB106" s="38" t="s">
        <v>77</v>
      </c>
      <c r="AC106" s="38" t="s">
        <v>78</v>
      </c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42" t="str">
        <f>AE25</f>
        <v/>
      </c>
      <c r="Q107" s="46"/>
      <c r="R107" s="44">
        <f>IF(Q107&gt;Q109,1,0)</f>
        <v>0</v>
      </c>
      <c r="S107" s="45"/>
      <c r="T107" s="46"/>
      <c r="U107" s="44">
        <f>IF(T107&gt;T109,1,0)</f>
        <v>0</v>
      </c>
      <c r="V107" s="45"/>
      <c r="W107" s="46"/>
      <c r="X107" s="28">
        <f>IF(W107&gt;W109,1,0)</f>
        <v>0</v>
      </c>
      <c r="Y107" s="28">
        <f>IF(Q107="",0,1)</f>
        <v>0</v>
      </c>
      <c r="Z107" s="28">
        <f>IF(R107+U107=2,3,IF(R107+U107=1,1,0))</f>
        <v>0</v>
      </c>
      <c r="AA107" s="28">
        <f>IF(Z107=3,3,IF(X107+Z107=2,2,IF(Z107=1,1,0)))</f>
        <v>0</v>
      </c>
      <c r="AB107" s="28">
        <f>Q107+T107</f>
        <v>0</v>
      </c>
      <c r="AC107" s="28">
        <f>R107+U107+X107</f>
        <v>0</v>
      </c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50" t="s">
        <v>82</v>
      </c>
      <c r="W108" s="51"/>
      <c r="X108" s="52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53" t="str">
        <f>AE74</f>
        <v/>
      </c>
      <c r="Q109" s="46"/>
      <c r="R109" s="54">
        <f>IF(Q109&gt;Q107,1,0)</f>
        <v>0</v>
      </c>
      <c r="S109" s="55"/>
      <c r="T109" s="46"/>
      <c r="U109" s="54">
        <f>IF(T109&gt;T107,1,0)</f>
        <v>0</v>
      </c>
      <c r="V109" s="55"/>
      <c r="W109" s="46"/>
      <c r="X109" s="28">
        <f>IF(W109&gt;W107,1,0)</f>
        <v>0</v>
      </c>
      <c r="Y109" s="28">
        <f>IF(Q109="",0,1)</f>
        <v>0</v>
      </c>
      <c r="Z109" s="28">
        <f>IF(R109+U109=2,3,IF(R109+U109=1,1,0))</f>
        <v>0</v>
      </c>
      <c r="AA109" s="28">
        <f>IF(Z109=3,3,IF(X109+Z109=2,2,IF(Z109=1,1,0)))</f>
        <v>0</v>
      </c>
      <c r="AB109" s="28">
        <f>Q109+T109</f>
        <v>0</v>
      </c>
      <c r="AC109" s="28">
        <f>R109+U109+X109</f>
        <v>0</v>
      </c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87" t="s">
        <v>90</v>
      </c>
      <c r="Q111" s="31"/>
      <c r="R111" s="31"/>
      <c r="S111" s="31"/>
      <c r="T111" s="31"/>
      <c r="U111" s="31"/>
      <c r="V111" s="31"/>
      <c r="W111" s="32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92" t="str">
        <f>IF(AA107&gt;AA109,P107,P109)</f>
        <v/>
      </c>
      <c r="Q112" s="93"/>
      <c r="R112" s="93"/>
      <c r="S112" s="93"/>
      <c r="T112" s="93"/>
      <c r="U112" s="93"/>
      <c r="V112" s="93"/>
      <c r="W112" s="94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87" t="s">
        <v>91</v>
      </c>
      <c r="Q115" s="31"/>
      <c r="R115" s="31"/>
      <c r="S115" s="31"/>
      <c r="T115" s="31"/>
      <c r="U115" s="31"/>
      <c r="V115" s="31"/>
      <c r="W115" s="32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92" t="str">
        <f>IF(AA107&lt;AA109,P107,P109)</f>
        <v/>
      </c>
      <c r="Q116" s="93"/>
      <c r="R116" s="93"/>
      <c r="S116" s="93"/>
      <c r="T116" s="93"/>
      <c r="U116" s="93"/>
      <c r="V116" s="93"/>
      <c r="W116" s="94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AD129" s="28"/>
      <c r="AE129" s="28"/>
      <c r="AF129" s="28"/>
      <c r="AG129" s="28"/>
      <c r="AH129" s="28"/>
      <c r="AI129" s="28"/>
      <c r="AJ129" s="28"/>
      <c r="AK129" s="28"/>
      <c r="AL129" s="28"/>
    </row>
    <row r="130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AD131" s="28"/>
      <c r="AE131" s="28"/>
      <c r="AF131" s="28"/>
      <c r="AG131" s="28"/>
      <c r="AH131" s="28"/>
      <c r="AI131" s="28"/>
      <c r="AJ131" s="28"/>
      <c r="AK131" s="28"/>
      <c r="AL131" s="28"/>
    </row>
    <row r="132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AD132" s="28"/>
      <c r="AE132" s="28"/>
      <c r="AF132" s="28"/>
      <c r="AG132" s="28"/>
      <c r="AH132" s="28"/>
      <c r="AI132" s="28"/>
      <c r="AJ132" s="28"/>
      <c r="AK132" s="28"/>
      <c r="AL132" s="28"/>
    </row>
    <row r="133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AD133" s="28"/>
      <c r="AE133" s="28"/>
      <c r="AF133" s="28"/>
      <c r="AG133" s="28"/>
      <c r="AH133" s="28"/>
      <c r="AI133" s="28"/>
      <c r="AJ133" s="28"/>
      <c r="AK133" s="28"/>
      <c r="AL133" s="28"/>
    </row>
    <row r="134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</row>
    <row r="140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</row>
    <row r="205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</row>
    <row r="20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</row>
    <row r="207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</row>
    <row r="208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</row>
    <row r="209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</row>
    <row r="215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</row>
    <row r="262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</row>
    <row r="263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</row>
    <row r="264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</row>
    <row r="269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</row>
    <row r="274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</row>
    <row r="275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</row>
    <row r="27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</row>
    <row r="277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</row>
    <row r="279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</row>
    <row r="280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</row>
    <row r="281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</row>
    <row r="282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</row>
    <row r="29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</row>
    <row r="299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</row>
    <row r="300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</row>
    <row r="301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</sheetData>
  <mergeCells count="60">
    <mergeCell ref="A79:H79"/>
    <mergeCell ref="P79:W79"/>
    <mergeCell ref="A83:H83"/>
    <mergeCell ref="P83:W83"/>
    <mergeCell ref="A87:H87"/>
    <mergeCell ref="P87:W87"/>
    <mergeCell ref="P91:W91"/>
    <mergeCell ref="A91:H91"/>
    <mergeCell ref="A95:H95"/>
    <mergeCell ref="P95:W95"/>
    <mergeCell ref="A99:H99"/>
    <mergeCell ref="P103:W103"/>
    <mergeCell ref="Q105:T105"/>
    <mergeCell ref="P108:W108"/>
    <mergeCell ref="A1:AI3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22:H22"/>
    <mergeCell ref="P22:W22"/>
    <mergeCell ref="AE24:AI24"/>
    <mergeCell ref="AE25:AI25"/>
    <mergeCell ref="A26:H26"/>
    <mergeCell ref="P26:W26"/>
    <mergeCell ref="A30:H30"/>
    <mergeCell ref="P30:W30"/>
    <mergeCell ref="A34:H34"/>
    <mergeCell ref="P34:W34"/>
    <mergeCell ref="P38:W38"/>
    <mergeCell ref="A38:H38"/>
    <mergeCell ref="A42:H42"/>
    <mergeCell ref="P42:W42"/>
    <mergeCell ref="A46:H46"/>
    <mergeCell ref="P46:W46"/>
    <mergeCell ref="A50:H50"/>
    <mergeCell ref="A54:AI54"/>
    <mergeCell ref="B56:E56"/>
    <mergeCell ref="Q56:T56"/>
    <mergeCell ref="A59:H59"/>
    <mergeCell ref="P59:W59"/>
    <mergeCell ref="A63:H63"/>
    <mergeCell ref="P63:W63"/>
    <mergeCell ref="P67:W67"/>
    <mergeCell ref="A67:H67"/>
    <mergeCell ref="A71:H71"/>
    <mergeCell ref="P71:W71"/>
    <mergeCell ref="AE73:AI73"/>
    <mergeCell ref="AE74:AI74"/>
    <mergeCell ref="A75:H75"/>
    <mergeCell ref="P75:W75"/>
    <mergeCell ref="P111:W111"/>
    <mergeCell ref="P112:W112"/>
    <mergeCell ref="P115:W115"/>
    <mergeCell ref="P116:W116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5.63"/>
    <col customWidth="1" hidden="1" min="11" max="11" width="5.13"/>
    <col customWidth="1" hidden="1" min="12" max="12" width="5.63"/>
    <col customWidth="1" hidden="1" min="13" max="13" width="5.25"/>
    <col customWidth="1" hidden="1" min="14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5.0"/>
    <col customWidth="1" hidden="1" min="26" max="26" width="5.5"/>
    <col customWidth="1" hidden="1" min="27" max="27" width="5.0"/>
    <col customWidth="1" hidden="1" min="28" max="28" width="5.13"/>
    <col customWidth="1" hidden="1" min="29" max="29" width="4.5"/>
    <col customWidth="1" min="30" max="30" width="8.75"/>
    <col customWidth="1" min="31" max="31" width="39.88"/>
    <col customWidth="1" min="32" max="32" width="9.63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95" t="s">
        <v>25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  <c r="AM5" s="28"/>
      <c r="AN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30.75" customHeight="1">
      <c r="A7" s="96" t="s">
        <v>62</v>
      </c>
      <c r="B7" s="97" t="s">
        <v>63</v>
      </c>
      <c r="C7" s="31"/>
      <c r="D7" s="31"/>
      <c r="E7" s="32"/>
      <c r="F7" s="66"/>
      <c r="G7" s="67"/>
      <c r="H7" s="96" t="s">
        <v>64</v>
      </c>
      <c r="I7" s="35"/>
      <c r="J7" s="35"/>
      <c r="K7" s="35"/>
      <c r="L7" s="35"/>
      <c r="M7" s="36"/>
      <c r="N7" s="36"/>
      <c r="O7" s="35"/>
      <c r="P7" s="96" t="s">
        <v>62</v>
      </c>
      <c r="Q7" s="97" t="s">
        <v>63</v>
      </c>
      <c r="R7" s="31"/>
      <c r="S7" s="31"/>
      <c r="T7" s="32"/>
      <c r="U7" s="66"/>
      <c r="V7" s="67"/>
      <c r="W7" s="96" t="s">
        <v>64</v>
      </c>
      <c r="X7" s="35"/>
      <c r="Y7" s="36"/>
      <c r="Z7" s="36"/>
      <c r="AA7" s="36"/>
      <c r="AB7" s="36"/>
      <c r="AC7" s="36"/>
      <c r="AD7" s="35"/>
      <c r="AE7" s="96" t="s">
        <v>65</v>
      </c>
      <c r="AF7" s="96" t="s">
        <v>66</v>
      </c>
      <c r="AG7" s="96" t="s">
        <v>67</v>
      </c>
      <c r="AH7" s="96" t="s">
        <v>68</v>
      </c>
      <c r="AI7" s="96" t="s">
        <v>69</v>
      </c>
      <c r="AJ7" s="37"/>
      <c r="AK7" s="37"/>
      <c r="AL7" s="37"/>
      <c r="AM7" s="28"/>
      <c r="AN7" s="28"/>
    </row>
    <row r="8" ht="41.25" hidden="1" customHeight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38" t="s">
        <v>79</v>
      </c>
      <c r="AK8" s="38" t="s">
        <v>92</v>
      </c>
      <c r="AL8" s="40" t="s">
        <v>80</v>
      </c>
      <c r="AM8" s="41" t="s">
        <v>81</v>
      </c>
      <c r="AN8" s="41" t="s">
        <v>93</v>
      </c>
    </row>
    <row r="9" ht="15.0" customHeight="1">
      <c r="A9" s="42" t="str">
        <f>AE9</f>
        <v>Manuel Mifsud</v>
      </c>
      <c r="B9" s="46"/>
      <c r="C9" s="44">
        <f>IF(B9&gt;B11,1,0)</f>
        <v>0</v>
      </c>
      <c r="D9" s="45"/>
      <c r="E9" s="46"/>
      <c r="F9" s="44">
        <f>IF(E9&gt;E11,1,0)</f>
        <v>0</v>
      </c>
      <c r="G9" s="45"/>
      <c r="H9" s="46"/>
      <c r="I9" s="28">
        <f>IF(H9&gt;H11,1,0)</f>
        <v>0</v>
      </c>
      <c r="J9" s="28">
        <f>IF(B9="",0,1)</f>
        <v>0</v>
      </c>
      <c r="K9" s="28">
        <f>IF(C9+F9=2,3,IF(C9+F9=1,1,0))</f>
        <v>0</v>
      </c>
      <c r="L9" s="28">
        <f>IF(K9=3,3,IF(I9+K9=2,2,IF(K9=1,1,0)))</f>
        <v>0</v>
      </c>
      <c r="M9" s="28">
        <f>B9+E9</f>
        <v>0</v>
      </c>
      <c r="N9" s="28">
        <f>C9+F9+I9</f>
        <v>0</v>
      </c>
      <c r="O9" s="28"/>
      <c r="P9" s="42" t="str">
        <f>AE9</f>
        <v>Manuel Mifsud</v>
      </c>
      <c r="Q9" s="43">
        <v>6.0</v>
      </c>
      <c r="R9" s="44">
        <f>IF(Q9&gt;Q11,1,0)</f>
        <v>1</v>
      </c>
      <c r="S9" s="45"/>
      <c r="T9" s="43">
        <v>7.0</v>
      </c>
      <c r="U9" s="44">
        <f>IF(T9&gt;T11,1,0)</f>
        <v>1</v>
      </c>
      <c r="V9" s="45"/>
      <c r="W9" s="46"/>
      <c r="X9" s="28">
        <f>IF(W9&gt;W11,1,0)</f>
        <v>0</v>
      </c>
      <c r="Y9" s="28">
        <f>IF(Q9="",0,1)</f>
        <v>1</v>
      </c>
      <c r="Z9" s="28">
        <f>IF(R9+U9=2,3,IF(R9+U9=1,1,0))</f>
        <v>3</v>
      </c>
      <c r="AA9" s="28">
        <f>IF(Z9=3,3,IF(X9+Z9=2,2,IF(Z9=1,1,0)))</f>
        <v>3</v>
      </c>
      <c r="AB9" s="28">
        <f>Q9+T9</f>
        <v>13</v>
      </c>
      <c r="AC9" s="28">
        <f>R9+U9+X9</f>
        <v>2</v>
      </c>
      <c r="AD9" s="28"/>
      <c r="AE9" s="98" t="str">
        <f>'Players - Men'!B25</f>
        <v>Manuel Mifsud</v>
      </c>
      <c r="AF9" s="48">
        <f>J9+Y9+J13+Y13+J17</f>
        <v>4</v>
      </c>
      <c r="AG9" s="48">
        <f t="shared" ref="AG9:AI9" si="1">L9+AA9+L13+AA13+L17</f>
        <v>9</v>
      </c>
      <c r="AH9" s="48">
        <f t="shared" si="1"/>
        <v>43</v>
      </c>
      <c r="AI9" s="49">
        <f t="shared" si="1"/>
        <v>7</v>
      </c>
      <c r="AJ9" s="28">
        <f>MAX(AG9:AG19)</f>
        <v>9</v>
      </c>
      <c r="AK9" s="28">
        <f>LARGE(AG9:AG19, 2)</f>
        <v>9</v>
      </c>
      <c r="AL9" s="28">
        <f>SUM(AF9:AF19)</f>
        <v>22</v>
      </c>
      <c r="AM9" s="28" t="str">
        <f>IF(AG9=$AJ$9,AE9,IF(AG11=$AJ$9,AE11,IF(AG13=$AJ$9,AE13,IF(AG15=$AJ$9,AE15,IF(AG17=$AJ$9,AE17,"")))))</f>
        <v>Manuel Mifsud</v>
      </c>
      <c r="AN9" s="28" t="str">
        <f>IF(AG9=$AK$9,AE9,IF(AG11=$AK$9,AE11,IF(AG13=$AK$9,AE13,IF(AG15=$AK$9,AE15,IF(AG17=$AK$9,AE17,"")))))</f>
        <v>Manuel Mifsud</v>
      </c>
    </row>
    <row r="10" ht="15.0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37"/>
      <c r="AM10" s="28"/>
      <c r="AN10" s="28"/>
    </row>
    <row r="11" ht="15.0" customHeight="1">
      <c r="A11" s="53" t="str">
        <f>AE11</f>
        <v>Matthew Caruana</v>
      </c>
      <c r="B11" s="46"/>
      <c r="C11" s="54">
        <f>IF(B11&gt;B9,1,0)</f>
        <v>0</v>
      </c>
      <c r="D11" s="55"/>
      <c r="E11" s="46"/>
      <c r="F11" s="54">
        <f>IF(E11&gt;E9,1,0)</f>
        <v>0</v>
      </c>
      <c r="G11" s="55"/>
      <c r="H11" s="46"/>
      <c r="I11" s="28">
        <f>IF(H11&gt;H9,1,0)</f>
        <v>0</v>
      </c>
      <c r="J11" s="28">
        <f>IF(B11="",0,1)</f>
        <v>0</v>
      </c>
      <c r="K11" s="28">
        <f>IF(C11+F11=2,3,IF(C11+F11=1,1,0))</f>
        <v>0</v>
      </c>
      <c r="L11" s="28">
        <f>IF(K11=3,3,IF(I11+K11=2,2,IF(K11=1,1,0)))</f>
        <v>0</v>
      </c>
      <c r="M11" s="28">
        <f>B11+E11</f>
        <v>0</v>
      </c>
      <c r="N11" s="28">
        <f>C11+F11+I11</f>
        <v>0</v>
      </c>
      <c r="O11" s="28"/>
      <c r="P11" s="53" t="str">
        <f>AE13</f>
        <v>Juan Sammut</v>
      </c>
      <c r="Q11" s="43">
        <v>0.0</v>
      </c>
      <c r="R11" s="54">
        <f>IF(Q11&gt;Q9,1,0)</f>
        <v>0</v>
      </c>
      <c r="S11" s="55"/>
      <c r="T11" s="43">
        <v>5.0</v>
      </c>
      <c r="U11" s="54">
        <f>IF(T11&gt;T9,1,0)</f>
        <v>0</v>
      </c>
      <c r="V11" s="55"/>
      <c r="W11" s="46"/>
      <c r="X11" s="28">
        <f>IF(W11&gt;W9,1,0)</f>
        <v>0</v>
      </c>
      <c r="Y11" s="28">
        <f>IF(Q11="",0,1)</f>
        <v>1</v>
      </c>
      <c r="Z11" s="28">
        <f>IF(R11+U11=2,3,IF(R11+U11=1,1,0))</f>
        <v>0</v>
      </c>
      <c r="AA11" s="28">
        <f>IF(Z11=3,3,IF(X11+Z11=2,2,IF(Z11=1,1,0)))</f>
        <v>0</v>
      </c>
      <c r="AB11" s="28">
        <f>Q11+T11</f>
        <v>5</v>
      </c>
      <c r="AC11" s="28">
        <f>R11+U11+X11</f>
        <v>0</v>
      </c>
      <c r="AD11" s="28"/>
      <c r="AE11" s="98" t="str">
        <f>'Players - Men'!B26</f>
        <v>Matthew Caruana</v>
      </c>
      <c r="AF11" s="48">
        <f>J11+Y25+J25+Y21+J21</f>
        <v>3</v>
      </c>
      <c r="AG11" s="48">
        <f t="shared" ref="AG11:AI11" si="2">L11+AA25+L25+AA21+L21</f>
        <v>9</v>
      </c>
      <c r="AH11" s="48">
        <f t="shared" si="2"/>
        <v>36</v>
      </c>
      <c r="AI11" s="49">
        <f t="shared" si="2"/>
        <v>6</v>
      </c>
      <c r="AJ11" s="37"/>
      <c r="AK11" s="37"/>
      <c r="AL11" s="37"/>
      <c r="AM11" s="28"/>
      <c r="AN11" s="28"/>
    </row>
    <row r="12" ht="15.0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37"/>
      <c r="AM12" s="28"/>
      <c r="AN12" s="28"/>
    </row>
    <row r="13" ht="15.0" customHeight="1">
      <c r="A13" s="42" t="str">
        <f>AE9</f>
        <v>Manuel Mifsud</v>
      </c>
      <c r="B13" s="43">
        <v>6.0</v>
      </c>
      <c r="C13" s="44">
        <f>IF(B13&gt;B15,1,0)</f>
        <v>1</v>
      </c>
      <c r="D13" s="45"/>
      <c r="E13" s="43">
        <v>2.0</v>
      </c>
      <c r="F13" s="44">
        <f>IF(E13&gt;E15,1,0)</f>
        <v>0</v>
      </c>
      <c r="G13" s="45"/>
      <c r="H13" s="43">
        <v>13.0</v>
      </c>
      <c r="I13" s="28">
        <f>IF(H13&gt;H15,1,0)</f>
        <v>0</v>
      </c>
      <c r="J13" s="28">
        <f>IF(B13="",0,1)</f>
        <v>1</v>
      </c>
      <c r="K13" s="28">
        <f>IF(C13+F13=2,3,IF(C13+F13=1,1,0))</f>
        <v>1</v>
      </c>
      <c r="L13" s="28">
        <f>IF(K13=3,3,IF(I13+K13=2,2,IF(K13=1,1,0)))</f>
        <v>1</v>
      </c>
      <c r="M13" s="28">
        <f>B13+E13</f>
        <v>8</v>
      </c>
      <c r="N13" s="28">
        <f>C13+F13+I13</f>
        <v>1</v>
      </c>
      <c r="O13" s="28"/>
      <c r="P13" s="42" t="str">
        <f>AE9</f>
        <v>Manuel Mifsud</v>
      </c>
      <c r="Q13" s="43">
        <v>6.0</v>
      </c>
      <c r="R13" s="44">
        <f>IF(Q13&gt;Q15,1,0)</f>
        <v>1</v>
      </c>
      <c r="S13" s="45"/>
      <c r="T13" s="43">
        <v>7.0</v>
      </c>
      <c r="U13" s="44">
        <f>IF(T13&gt;T15,1,0)</f>
        <v>1</v>
      </c>
      <c r="V13" s="45"/>
      <c r="W13" s="46"/>
      <c r="X13" s="28">
        <f>IF(W13&gt;W15,1,0)</f>
        <v>0</v>
      </c>
      <c r="Y13" s="28">
        <f>IF(Q13="",0,1)</f>
        <v>1</v>
      </c>
      <c r="Z13" s="28">
        <f>IF(R13+U13=2,3,IF(R13+U13=1,1,0))</f>
        <v>3</v>
      </c>
      <c r="AA13" s="28">
        <f>IF(Z13=3,3,IF(X13+Z13=2,2,IF(Z13=1,1,0)))</f>
        <v>3</v>
      </c>
      <c r="AB13" s="28">
        <f>Q13+T13</f>
        <v>13</v>
      </c>
      <c r="AC13" s="28">
        <f>R13+U13+X13</f>
        <v>2</v>
      </c>
      <c r="AD13" s="28"/>
      <c r="AE13" s="98" t="str">
        <f>'Players - Men'!B27</f>
        <v>Juan Sammut</v>
      </c>
      <c r="AF13" s="48">
        <f>Y29+Y11+Y33+J33+J23</f>
        <v>3</v>
      </c>
      <c r="AG13" s="48">
        <f t="shared" ref="AG13:AI13" si="3">AA29+AA11+AA33+L33+L23</f>
        <v>0</v>
      </c>
      <c r="AH13" s="48">
        <f t="shared" si="3"/>
        <v>19</v>
      </c>
      <c r="AI13" s="49">
        <f t="shared" si="3"/>
        <v>0</v>
      </c>
      <c r="AJ13" s="37"/>
      <c r="AK13" s="37"/>
      <c r="AL13" s="37"/>
      <c r="AM13" s="28"/>
      <c r="AN13" s="28"/>
    </row>
    <row r="14" ht="15.0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37"/>
      <c r="AM14" s="28"/>
      <c r="AN14" s="28"/>
    </row>
    <row r="15" ht="15.0" customHeight="1">
      <c r="A15" s="53" t="str">
        <f>AE15</f>
        <v>Artiom Kricenko</v>
      </c>
      <c r="B15" s="43">
        <v>1.0</v>
      </c>
      <c r="C15" s="54">
        <f>IF(B15&gt;B13,1,0)</f>
        <v>0</v>
      </c>
      <c r="D15" s="55"/>
      <c r="E15" s="43">
        <v>6.0</v>
      </c>
      <c r="F15" s="54">
        <f>IF(E15&gt;E13,1,0)</f>
        <v>1</v>
      </c>
      <c r="G15" s="55"/>
      <c r="H15" s="43">
        <v>15.0</v>
      </c>
      <c r="I15" s="28">
        <f>IF(H15&gt;H13,1,0)</f>
        <v>1</v>
      </c>
      <c r="J15" s="28">
        <f>IF(B15="",0,1)</f>
        <v>1</v>
      </c>
      <c r="K15" s="28">
        <f>IF(C15+F15=2,3,IF(C15+F15=1,1,0))</f>
        <v>1</v>
      </c>
      <c r="L15" s="28">
        <f>IF(K15=3,3,IF(I15+K15=2,2,IF(K15=1,1,0)))</f>
        <v>2</v>
      </c>
      <c r="M15" s="28">
        <f>B15+E15</f>
        <v>7</v>
      </c>
      <c r="N15" s="28">
        <f>C15+F15+I15</f>
        <v>2</v>
      </c>
      <c r="O15" s="28"/>
      <c r="P15" s="53" t="str">
        <f>AE17</f>
        <v>Jason Lee Evans</v>
      </c>
      <c r="Q15" s="43">
        <v>4.0</v>
      </c>
      <c r="R15" s="54">
        <f>IF(Q15&gt;Q13,1,0)</f>
        <v>0</v>
      </c>
      <c r="S15" s="55"/>
      <c r="T15" s="43">
        <v>5.0</v>
      </c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1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9</v>
      </c>
      <c r="AC15" s="28">
        <f>R15+U15+X15</f>
        <v>0</v>
      </c>
      <c r="AD15" s="28"/>
      <c r="AE15" s="98" t="str">
        <f>'Players - Men'!B28</f>
        <v>Artiom Kricenko</v>
      </c>
      <c r="AF15" s="48">
        <f>Y31+J37+J15+Y23+J29</f>
        <v>4</v>
      </c>
      <c r="AG15" s="48">
        <f t="shared" ref="AG15:AI15" si="4">AA31+L37+L15+AA23+L29</f>
        <v>7</v>
      </c>
      <c r="AH15" s="48">
        <f t="shared" si="4"/>
        <v>33</v>
      </c>
      <c r="AI15" s="49">
        <f t="shared" si="4"/>
        <v>6</v>
      </c>
      <c r="AJ15" s="37"/>
      <c r="AK15" s="37"/>
      <c r="AL15" s="37"/>
      <c r="AM15" s="28"/>
      <c r="AN15" s="28"/>
    </row>
    <row r="16" ht="15.0" customHeight="1">
      <c r="A16" s="28"/>
      <c r="B16" s="3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37"/>
      <c r="AM16" s="28"/>
      <c r="AN16" s="28"/>
    </row>
    <row r="17" ht="15.0" customHeight="1">
      <c r="A17" s="42" t="str">
        <f>AE9</f>
        <v>Manuel Mifsud</v>
      </c>
      <c r="B17" s="43">
        <v>3.0</v>
      </c>
      <c r="C17" s="44">
        <f>IF(B17&gt;B19,1,0)</f>
        <v>0</v>
      </c>
      <c r="D17" s="45"/>
      <c r="E17" s="43">
        <v>6.0</v>
      </c>
      <c r="F17" s="44">
        <f>IF(E17&gt;E19,1,0)</f>
        <v>1</v>
      </c>
      <c r="G17" s="45"/>
      <c r="H17" s="43">
        <v>10.0</v>
      </c>
      <c r="I17" s="28">
        <f>IF(H17&gt;H19,1,0)</f>
        <v>1</v>
      </c>
      <c r="J17" s="28">
        <f>IF(B17="",0,1)</f>
        <v>1</v>
      </c>
      <c r="K17" s="28">
        <f>IF(C17+F17=2,3,IF(C17+F17=1,1,0))</f>
        <v>1</v>
      </c>
      <c r="L17" s="28">
        <f>IF(K17=3,3,IF(I17+K17=2,2,IF(K17=1,1,0)))</f>
        <v>2</v>
      </c>
      <c r="M17" s="28">
        <f>B17+E17</f>
        <v>9</v>
      </c>
      <c r="N17" s="28">
        <f>C17+F17+I17</f>
        <v>2</v>
      </c>
      <c r="O17" s="28"/>
      <c r="P17" s="42" t="str">
        <f>AE17</f>
        <v>Jason Lee Evans</v>
      </c>
      <c r="Q17" s="43">
        <v>6.0</v>
      </c>
      <c r="R17" s="44">
        <f>IF(Q17&gt;Q19,1,0)</f>
        <v>1</v>
      </c>
      <c r="S17" s="45"/>
      <c r="T17" s="43">
        <v>7.0</v>
      </c>
      <c r="U17" s="44">
        <f>IF(T17&gt;T19,1,0)</f>
        <v>1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3</v>
      </c>
      <c r="AA17" s="28">
        <f>IF(Z17=3,3,IF(X17+Z17=2,2,IF(Z17=1,1,0)))</f>
        <v>3</v>
      </c>
      <c r="AB17" s="28">
        <f>Q17+T17</f>
        <v>13</v>
      </c>
      <c r="AC17" s="28">
        <f>R17+U17+X17</f>
        <v>2</v>
      </c>
      <c r="AD17" s="28"/>
      <c r="AE17" s="98" t="str">
        <f>'Players - Men'!B29</f>
        <v>Jason Lee Evans</v>
      </c>
      <c r="AF17" s="48">
        <f>Y17+J39+J27+Y15+J35</f>
        <v>4</v>
      </c>
      <c r="AG17" s="48">
        <f t="shared" ref="AG17:AI17" si="5">AA17+L39+L27+AA15+L35</f>
        <v>7</v>
      </c>
      <c r="AH17" s="48">
        <f t="shared" si="5"/>
        <v>42</v>
      </c>
      <c r="AI17" s="49">
        <f t="shared" si="5"/>
        <v>5</v>
      </c>
      <c r="AJ17" s="37"/>
      <c r="AK17" s="37"/>
      <c r="AL17" s="37"/>
      <c r="AM17" s="28"/>
      <c r="AN17" s="28"/>
    </row>
    <row r="18" ht="15.0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37"/>
      <c r="AM18" s="28"/>
      <c r="AN18" s="28"/>
    </row>
    <row r="19" ht="15.0" customHeight="1">
      <c r="A19" s="53" t="str">
        <f>AE19</f>
        <v>Chris Vella</v>
      </c>
      <c r="B19" s="43">
        <v>6.0</v>
      </c>
      <c r="C19" s="54">
        <f>IF(B19&gt;B17,1,0)</f>
        <v>1</v>
      </c>
      <c r="D19" s="55"/>
      <c r="E19" s="43">
        <v>4.0</v>
      </c>
      <c r="F19" s="54">
        <f>IF(E19&gt;E17,1,0)</f>
        <v>0</v>
      </c>
      <c r="G19" s="55"/>
      <c r="H19" s="43">
        <v>4.0</v>
      </c>
      <c r="I19" s="28">
        <f>IF(H19&gt;H17,1,0)</f>
        <v>0</v>
      </c>
      <c r="J19" s="28">
        <f>IF(B19="",0,1)</f>
        <v>1</v>
      </c>
      <c r="K19" s="28">
        <f>IF(C19+F19=2,3,IF(C19+F19=1,1,0))</f>
        <v>1</v>
      </c>
      <c r="L19" s="28">
        <f>IF(K19=3,3,IF(I19+K19=2,2,IF(K19=1,1,0)))</f>
        <v>1</v>
      </c>
      <c r="M19" s="28">
        <f>B19+E19</f>
        <v>10</v>
      </c>
      <c r="N19" s="28">
        <f>C19+F19+I19</f>
        <v>1</v>
      </c>
      <c r="O19" s="28"/>
      <c r="P19" s="53" t="str">
        <f>AE19</f>
        <v>Chris Vella</v>
      </c>
      <c r="Q19" s="43">
        <v>3.0</v>
      </c>
      <c r="R19" s="54">
        <f>IF(Q19&gt;Q17,1,0)</f>
        <v>0</v>
      </c>
      <c r="S19" s="55"/>
      <c r="T19" s="43">
        <v>5.0</v>
      </c>
      <c r="U19" s="54">
        <f>IF(T19&gt;T17,1,0)</f>
        <v>0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0</v>
      </c>
      <c r="AA19" s="28">
        <f>IF(Z19=3,3,IF(X19+Z19=2,2,IF(Z19=1,1,0)))</f>
        <v>0</v>
      </c>
      <c r="AB19" s="28">
        <f>Q19+T19</f>
        <v>8</v>
      </c>
      <c r="AC19" s="28">
        <f>R19+U19+X19</f>
        <v>0</v>
      </c>
      <c r="AD19" s="28"/>
      <c r="AE19" s="98" t="str">
        <f>'Players - Men'!B30</f>
        <v>Chris Vella</v>
      </c>
      <c r="AF19" s="48">
        <f>Y19+Y27+Y35+J19+J31</f>
        <v>4</v>
      </c>
      <c r="AG19" s="48">
        <f t="shared" ref="AG19:AI19" si="6">AA19+AA27+AA35+L19+L31</f>
        <v>1</v>
      </c>
      <c r="AH19" s="48">
        <f t="shared" si="6"/>
        <v>35</v>
      </c>
      <c r="AI19" s="49">
        <f t="shared" si="6"/>
        <v>1</v>
      </c>
      <c r="AJ19" s="28"/>
      <c r="AK19" s="37"/>
      <c r="AL19" s="37"/>
      <c r="AM19" s="28"/>
      <c r="AN19" s="28"/>
    </row>
    <row r="20" ht="15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37"/>
      <c r="AL20" s="28"/>
      <c r="AM20" s="28"/>
      <c r="AN20" s="28"/>
    </row>
    <row r="21" ht="15.0" customHeight="1">
      <c r="A21" s="42" t="str">
        <f>AE11</f>
        <v>Matthew Caruana</v>
      </c>
      <c r="B21" s="43">
        <v>6.0</v>
      </c>
      <c r="C21" s="44">
        <f>IF(B21&gt;B23,1,0)</f>
        <v>1</v>
      </c>
      <c r="D21" s="45"/>
      <c r="E21" s="43">
        <v>6.0</v>
      </c>
      <c r="F21" s="44">
        <f>IF(E21&gt;E23,1,0)</f>
        <v>1</v>
      </c>
      <c r="G21" s="45"/>
      <c r="H21" s="46"/>
      <c r="I21" s="28">
        <f>IF(H21&gt;H23,1,0)</f>
        <v>0</v>
      </c>
      <c r="J21" s="28">
        <f>IF(B21="",0,1)</f>
        <v>1</v>
      </c>
      <c r="K21" s="28">
        <f>IF(C21+F21=2,3,IF(C21+F21=1,1,0))</f>
        <v>3</v>
      </c>
      <c r="L21" s="28">
        <f>IF(K21=3,3,IF(I21+K21=2,2,IF(K21=1,1,0)))</f>
        <v>3</v>
      </c>
      <c r="M21" s="28">
        <f>B21+E21</f>
        <v>12</v>
      </c>
      <c r="N21" s="28">
        <f>C21+F21+I21</f>
        <v>2</v>
      </c>
      <c r="O21" s="28"/>
      <c r="P21" s="42" t="str">
        <f>AE11</f>
        <v>Matthew Caruana</v>
      </c>
      <c r="Q21" s="43">
        <v>6.0</v>
      </c>
      <c r="R21" s="44">
        <f>IF(Q21&gt;Q23,1,0)</f>
        <v>1</v>
      </c>
      <c r="S21" s="45"/>
      <c r="T21" s="43">
        <v>6.0</v>
      </c>
      <c r="U21" s="44">
        <f>IF(T21&gt;T23,1,0)</f>
        <v>1</v>
      </c>
      <c r="V21" s="45"/>
      <c r="W21" s="46"/>
      <c r="X21" s="28">
        <f>IF(W21&gt;W23,1,0)</f>
        <v>0</v>
      </c>
      <c r="Y21" s="28">
        <f>IF(Q21="",0,1)</f>
        <v>1</v>
      </c>
      <c r="Z21" s="28">
        <f>IF(R21+U21=2,3,IF(R21+U21=1,1,0))</f>
        <v>3</v>
      </c>
      <c r="AA21" s="28">
        <f>IF(Z21=3,3,IF(X21+Z21=2,2,IF(Z21=1,1,0)))</f>
        <v>3</v>
      </c>
      <c r="AB21" s="28">
        <f>Q21+T21</f>
        <v>12</v>
      </c>
      <c r="AC21" s="28">
        <f>R21+U21+X21</f>
        <v>2</v>
      </c>
      <c r="AD21" s="28"/>
      <c r="AE21" s="99" t="s">
        <v>83</v>
      </c>
      <c r="AF21" s="31"/>
      <c r="AG21" s="31"/>
      <c r="AH21" s="31"/>
      <c r="AI21" s="32"/>
      <c r="AJ21" s="28"/>
      <c r="AK21" s="28"/>
      <c r="AL21" s="28"/>
      <c r="AM21" s="28"/>
      <c r="AN21" s="28"/>
    </row>
    <row r="22" ht="15.0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E22" s="59"/>
      <c r="AF22" s="31"/>
      <c r="AG22" s="31"/>
      <c r="AH22" s="31"/>
      <c r="AI22" s="32"/>
      <c r="AJ22" s="28"/>
      <c r="AK22" s="37"/>
      <c r="AL22" s="28"/>
      <c r="AM22" s="28"/>
      <c r="AN22" s="28"/>
    </row>
    <row r="23" ht="15.0" customHeight="1">
      <c r="A23" s="53" t="str">
        <f>AE13</f>
        <v>Juan Sammut</v>
      </c>
      <c r="B23" s="43">
        <v>3.0</v>
      </c>
      <c r="C23" s="54">
        <f>IF(B23&gt;B21,1,0)</f>
        <v>0</v>
      </c>
      <c r="D23" s="55"/>
      <c r="E23" s="43">
        <v>3.0</v>
      </c>
      <c r="F23" s="54">
        <f>IF(E23&gt;E21,1,0)</f>
        <v>0</v>
      </c>
      <c r="G23" s="55"/>
      <c r="H23" s="46"/>
      <c r="I23" s="28">
        <f>IF(H23&gt;H21,1,0)</f>
        <v>0</v>
      </c>
      <c r="J23" s="28">
        <f>IF(B23="",0,1)</f>
        <v>1</v>
      </c>
      <c r="K23" s="28">
        <f>IF(C23+F23=2,3,IF(C23+F23=1,1,0))</f>
        <v>0</v>
      </c>
      <c r="L23" s="28">
        <f>IF(K23=3,3,IF(I23+K23=2,2,IF(K23=1,1,0)))</f>
        <v>0</v>
      </c>
      <c r="M23" s="28">
        <f>B23+E23</f>
        <v>6</v>
      </c>
      <c r="N23" s="28">
        <f>C23+F23+I23</f>
        <v>0</v>
      </c>
      <c r="O23" s="28"/>
      <c r="P23" s="53" t="str">
        <f>AE15</f>
        <v>Artiom Kricenko</v>
      </c>
      <c r="Q23" s="43">
        <v>1.0</v>
      </c>
      <c r="R23" s="54">
        <f>IF(Q23&gt;Q21,1,0)</f>
        <v>0</v>
      </c>
      <c r="S23" s="55"/>
      <c r="T23" s="43">
        <v>4.0</v>
      </c>
      <c r="U23" s="54">
        <f>IF(T23&gt;T21,1,0)</f>
        <v>0</v>
      </c>
      <c r="V23" s="55"/>
      <c r="W23" s="46"/>
      <c r="X23" s="28">
        <f>IF(W23&gt;W21,1,0)</f>
        <v>0</v>
      </c>
      <c r="Y23" s="28">
        <f>IF(Q23="",0,1)</f>
        <v>1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5</v>
      </c>
      <c r="AC23" s="28">
        <f>R23+U23+X23</f>
        <v>0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ht="15.0" customHeight="1">
      <c r="A25" s="42" t="str">
        <f>AE11</f>
        <v>Matthew Caruana</v>
      </c>
      <c r="B25" s="46"/>
      <c r="C25" s="44">
        <f>IF(B25&gt;B27,1,0)</f>
        <v>0</v>
      </c>
      <c r="D25" s="45"/>
      <c r="E25" s="46"/>
      <c r="F25" s="44">
        <f>IF(E25&gt;E27,1,0)</f>
        <v>0</v>
      </c>
      <c r="G25" s="45"/>
      <c r="H25" s="46"/>
      <c r="I25" s="28">
        <f>IF(H25&gt;H27,1,0)</f>
        <v>0</v>
      </c>
      <c r="J25" s="28">
        <f>IF(B25="",0,1)</f>
        <v>0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0</v>
      </c>
      <c r="N25" s="28">
        <f>C25+F25+I25</f>
        <v>0</v>
      </c>
      <c r="O25" s="28"/>
      <c r="P25" s="42" t="str">
        <f>AE11</f>
        <v>Matthew Caruana</v>
      </c>
      <c r="Q25" s="43">
        <v>6.0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28">
        <f>IF(W25&gt;W27,1,0)</f>
        <v>0</v>
      </c>
      <c r="Y25" s="28">
        <f>IF(Q25="",0,1)</f>
        <v>1</v>
      </c>
      <c r="Z25" s="28">
        <f>IF(R25+U25=2,3,IF(R25+U25=1,1,0))</f>
        <v>3</v>
      </c>
      <c r="AA25" s="28">
        <f>IF(Z25=3,3,IF(X25+Z25=2,2,IF(Z25=1,1,0)))</f>
        <v>3</v>
      </c>
      <c r="AB25" s="28">
        <f>Q25+T25</f>
        <v>12</v>
      </c>
      <c r="AC25" s="28">
        <f>R25+U25+X25</f>
        <v>2</v>
      </c>
      <c r="AD25" s="28"/>
      <c r="AE25" s="28"/>
      <c r="AF25" s="28"/>
      <c r="AG25" s="28"/>
      <c r="AH25" s="37"/>
      <c r="AI25" s="28"/>
      <c r="AJ25" s="28"/>
      <c r="AK25" s="28"/>
      <c r="AL25" s="28"/>
      <c r="AM25" s="28"/>
      <c r="AN25" s="28"/>
    </row>
    <row r="26" ht="15.0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ht="15.0" customHeight="1">
      <c r="A27" s="53" t="str">
        <f>AE17</f>
        <v>Jason Lee Evans</v>
      </c>
      <c r="B27" s="46"/>
      <c r="C27" s="54">
        <f>IF(B27&gt;B25,1,0)</f>
        <v>0</v>
      </c>
      <c r="D27" s="55"/>
      <c r="E27" s="46"/>
      <c r="F27" s="54">
        <f>IF(E27&gt;E25,1,0)</f>
        <v>0</v>
      </c>
      <c r="G27" s="55"/>
      <c r="H27" s="46"/>
      <c r="I27" s="28">
        <f>IF(H27&gt;H25,1,0)</f>
        <v>0</v>
      </c>
      <c r="J27" s="28">
        <f>IF(B27="",0,1)</f>
        <v>0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0</v>
      </c>
      <c r="N27" s="28">
        <f>C27+F27+I27</f>
        <v>0</v>
      </c>
      <c r="O27" s="28"/>
      <c r="P27" s="53" t="str">
        <f>AE19</f>
        <v>Chris Vella</v>
      </c>
      <c r="Q27" s="43">
        <v>2.0</v>
      </c>
      <c r="R27" s="54">
        <f>IF(Q27&gt;Q25,1,0)</f>
        <v>0</v>
      </c>
      <c r="S27" s="55"/>
      <c r="T27" s="43">
        <v>4.0</v>
      </c>
      <c r="U27" s="54">
        <f>IF(T27&gt;T25,1,0)</f>
        <v>0</v>
      </c>
      <c r="V27" s="55"/>
      <c r="W27" s="46"/>
      <c r="X27" s="28">
        <f>IF(W27&gt;W25,1,0)</f>
        <v>0</v>
      </c>
      <c r="Y27" s="28">
        <f>IF(Q27="",0,1)</f>
        <v>1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6</v>
      </c>
      <c r="AC27" s="28">
        <f>R27+U27+X27</f>
        <v>0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ht="15.0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  <c r="AM28" s="28"/>
      <c r="AN28" s="28"/>
    </row>
    <row r="29" ht="15.0" customHeight="1">
      <c r="A29" s="42" t="str">
        <f>AE15</f>
        <v>Artiom Kricenko</v>
      </c>
      <c r="B29" s="43">
        <v>7.0</v>
      </c>
      <c r="C29" s="44">
        <f>IF(B29&gt;B31,1,0)</f>
        <v>1</v>
      </c>
      <c r="D29" s="45"/>
      <c r="E29" s="43">
        <v>7.0</v>
      </c>
      <c r="F29" s="44">
        <f>IF(E29&gt;E31,1,0)</f>
        <v>1</v>
      </c>
      <c r="G29" s="45"/>
      <c r="H29" s="46"/>
      <c r="I29" s="28">
        <f>IF(H29&gt;H31,1,0)</f>
        <v>0</v>
      </c>
      <c r="J29" s="28">
        <f>IF(B29="",0,1)</f>
        <v>1</v>
      </c>
      <c r="K29" s="28">
        <f>IF(C29+F29=2,3,IF(C29+F29=1,1,0))</f>
        <v>3</v>
      </c>
      <c r="L29" s="28">
        <f>IF(K29=3,3,IF(I29+K29=2,2,IF(K29=1,1,0)))</f>
        <v>3</v>
      </c>
      <c r="M29" s="28">
        <f>B29+E29</f>
        <v>14</v>
      </c>
      <c r="N29" s="28">
        <f>C29+F29+I29</f>
        <v>2</v>
      </c>
      <c r="O29" s="28"/>
      <c r="P29" s="42" t="str">
        <f>AE13</f>
        <v>Juan Sammut</v>
      </c>
      <c r="Q29" s="46"/>
      <c r="R29" s="44">
        <f>IF(Q29&gt;Q31,1,0)</f>
        <v>0</v>
      </c>
      <c r="S29" s="45"/>
      <c r="T29" s="46"/>
      <c r="U29" s="44">
        <f>IF(T29&gt;T31,1,0)</f>
        <v>0</v>
      </c>
      <c r="V29" s="45"/>
      <c r="W29" s="46"/>
      <c r="X29" s="28">
        <f>IF(W29&gt;W31,1,0)</f>
        <v>0</v>
      </c>
      <c r="Y29" s="28">
        <f>IF(Q29="",0,1)</f>
        <v>0</v>
      </c>
      <c r="Z29" s="28">
        <f>IF(R29+U29=2,3,IF(R29+U29=1,1,0))</f>
        <v>0</v>
      </c>
      <c r="AA29" s="28">
        <f>IF(Z29=3,3,IF(X29+Z29=2,2,IF(Z29=1,1,0)))</f>
        <v>0</v>
      </c>
      <c r="AB29" s="28">
        <f>Q29+T29</f>
        <v>0</v>
      </c>
      <c r="AC29" s="28">
        <f>R29+U29+X29</f>
        <v>0</v>
      </c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5.0" customHeight="1">
      <c r="A30" s="50" t="s">
        <v>82</v>
      </c>
      <c r="H30" s="51"/>
      <c r="I30" s="52"/>
      <c r="J30" s="28"/>
      <c r="K30" s="28"/>
      <c r="L30" s="28"/>
      <c r="M30" s="28"/>
      <c r="N30" s="28"/>
      <c r="O30" s="28"/>
      <c r="P30" s="50" t="s">
        <v>82</v>
      </c>
      <c r="W30" s="51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60"/>
      <c r="AM30" s="28"/>
      <c r="AN30" s="28"/>
    </row>
    <row r="31" ht="15.0" customHeight="1">
      <c r="A31" s="53" t="str">
        <f>AE19</f>
        <v>Chris Vella</v>
      </c>
      <c r="B31" s="43">
        <v>6.0</v>
      </c>
      <c r="C31" s="54">
        <f>IF(B31&gt;B29,1,0)</f>
        <v>0</v>
      </c>
      <c r="D31" s="55"/>
      <c r="E31" s="43">
        <v>5.0</v>
      </c>
      <c r="F31" s="54">
        <f>IF(E31&gt;E29,1,0)</f>
        <v>0</v>
      </c>
      <c r="G31" s="55"/>
      <c r="H31" s="46"/>
      <c r="I31" s="28">
        <f>IF(H31&gt;H29,1,0)</f>
        <v>0</v>
      </c>
      <c r="J31" s="28">
        <f>IF(B31="",0,1)</f>
        <v>1</v>
      </c>
      <c r="K31" s="28">
        <f>IF(C31+F31=2,3,IF(C31+F31=1,1,0))</f>
        <v>0</v>
      </c>
      <c r="L31" s="28">
        <f>IF(K31=3,3,IF(I31+K31=2,2,IF(K31=1,1,0)))</f>
        <v>0</v>
      </c>
      <c r="M31" s="28">
        <f>B31+E31</f>
        <v>11</v>
      </c>
      <c r="N31" s="28">
        <f>C31+F31+I31</f>
        <v>0</v>
      </c>
      <c r="O31" s="28"/>
      <c r="P31" s="53" t="str">
        <f>AE15</f>
        <v>Artiom Kricenko</v>
      </c>
      <c r="Q31" s="46"/>
      <c r="R31" s="54">
        <f>IF(Q31&gt;Q29,1,0)</f>
        <v>0</v>
      </c>
      <c r="S31" s="55"/>
      <c r="T31" s="46"/>
      <c r="U31" s="54">
        <f>IF(T31&gt;T29,1,0)</f>
        <v>0</v>
      </c>
      <c r="V31" s="55"/>
      <c r="W31" s="46"/>
      <c r="X31" s="28">
        <f>IF(W31&gt;W29,1,0)</f>
        <v>0</v>
      </c>
      <c r="Y31" s="28">
        <f>IF(Q31="",0,1)</f>
        <v>0</v>
      </c>
      <c r="Z31" s="28">
        <f>IF(R31+U31=2,3,IF(R31+U31=1,1,0))</f>
        <v>0</v>
      </c>
      <c r="AA31" s="28">
        <f>IF(Z31=3,3,IF(X31+Z31=2,2,IF(Z31=1,1,0)))</f>
        <v>0</v>
      </c>
      <c r="AB31" s="28">
        <f>Q31+T31</f>
        <v>0</v>
      </c>
      <c r="AC31" s="28">
        <f>R31+U31+X31</f>
        <v>0</v>
      </c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7"/>
    </row>
    <row r="32" ht="15.0" customHeight="1">
      <c r="A32" s="28"/>
      <c r="B32" s="28"/>
      <c r="C32" s="28"/>
      <c r="D32" s="28"/>
      <c r="E32" s="37"/>
      <c r="F32" s="28"/>
      <c r="G32" s="28"/>
      <c r="H32" s="37"/>
      <c r="I32" s="28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60"/>
      <c r="AM32" s="28"/>
      <c r="AN32" s="28"/>
    </row>
    <row r="33" ht="15.0" customHeight="1">
      <c r="A33" s="42" t="str">
        <f>AE13</f>
        <v>Juan Sammut</v>
      </c>
      <c r="B33" s="43">
        <v>4.0</v>
      </c>
      <c r="C33" s="44">
        <f>IF(B33&gt;B35,1,0)</f>
        <v>0</v>
      </c>
      <c r="D33" s="45"/>
      <c r="E33" s="43">
        <v>4.0</v>
      </c>
      <c r="F33" s="44">
        <f>IF(E33&gt;E35,1,0)</f>
        <v>0</v>
      </c>
      <c r="G33" s="45"/>
      <c r="H33" s="46"/>
      <c r="I33" s="28">
        <f>IF(H33&gt;H35,1,0)</f>
        <v>0</v>
      </c>
      <c r="J33" s="28">
        <f>IF(B33="",0,1)</f>
        <v>1</v>
      </c>
      <c r="K33" s="28">
        <f>IF(C33+F33=2,3,IF(C33+F33=1,1,0))</f>
        <v>0</v>
      </c>
      <c r="L33" s="28">
        <f>IF(K33=3,3,IF(I33+K33=2,2,IF(K33=1,1,0)))</f>
        <v>0</v>
      </c>
      <c r="M33" s="28">
        <f>B33+E33</f>
        <v>8</v>
      </c>
      <c r="N33" s="28">
        <f>C33+F33+I33</f>
        <v>0</v>
      </c>
      <c r="O33" s="28"/>
      <c r="P33" s="42" t="str">
        <f>AE13</f>
        <v>Juan Sammut</v>
      </c>
      <c r="Q33" s="46"/>
      <c r="R33" s="44">
        <f>IF(Q33&gt;Q35,1,0)</f>
        <v>0</v>
      </c>
      <c r="S33" s="45"/>
      <c r="T33" s="46"/>
      <c r="U33" s="44">
        <f>IF(T33&gt;T35,1,0)</f>
        <v>0</v>
      </c>
      <c r="V33" s="45"/>
      <c r="W33" s="46"/>
      <c r="X33" s="28">
        <f>IF(W33&gt;W35,1,0)</f>
        <v>0</v>
      </c>
      <c r="Y33" s="28">
        <f>IF(Q33="",0,1)</f>
        <v>0</v>
      </c>
      <c r="Z33" s="28">
        <f>IF(R33+U33=2,3,IF(R33+U33=1,1,0))</f>
        <v>0</v>
      </c>
      <c r="AA33" s="28">
        <f>IF(Z33=3,3,IF(X33+Z33=2,2,IF(Z33=1,1,0)))</f>
        <v>0</v>
      </c>
      <c r="AB33" s="28">
        <f>Q33+T33</f>
        <v>0</v>
      </c>
      <c r="AC33" s="28">
        <f>R33+U33+X33</f>
        <v>0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5.0" customHeight="1">
      <c r="A34" s="50" t="s">
        <v>82</v>
      </c>
      <c r="H34" s="51"/>
      <c r="I34" s="52"/>
      <c r="J34" s="28"/>
      <c r="K34" s="28"/>
      <c r="L34" s="28"/>
      <c r="M34" s="28"/>
      <c r="N34" s="28"/>
      <c r="O34" s="28"/>
      <c r="P34" s="50" t="s">
        <v>82</v>
      </c>
      <c r="W34" s="51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5.0" customHeight="1">
      <c r="A35" s="53" t="str">
        <f>AE17</f>
        <v>Jason Lee Evans</v>
      </c>
      <c r="B35" s="43">
        <v>6.0</v>
      </c>
      <c r="C35" s="54">
        <f>IF(B35&gt;B33,1,0)</f>
        <v>1</v>
      </c>
      <c r="D35" s="55"/>
      <c r="E35" s="43">
        <v>6.0</v>
      </c>
      <c r="F35" s="54">
        <f>IF(E35&gt;E33,1,0)</f>
        <v>1</v>
      </c>
      <c r="G35" s="55"/>
      <c r="H35" s="46"/>
      <c r="I35" s="28">
        <f>IF(H35&gt;H33,1,0)</f>
        <v>0</v>
      </c>
      <c r="J35" s="28">
        <f>IF(B35="",0,1)</f>
        <v>1</v>
      </c>
      <c r="K35" s="28">
        <f>IF(C35+F35=2,3,IF(C35+F35=1,1,0))</f>
        <v>3</v>
      </c>
      <c r="L35" s="28">
        <f>IF(K35=3,3,IF(I35+K35=2,2,IF(K35=1,1,0)))</f>
        <v>3</v>
      </c>
      <c r="M35" s="28">
        <f>B35+E35</f>
        <v>12</v>
      </c>
      <c r="N35" s="28">
        <f>C35+F35+I35</f>
        <v>2</v>
      </c>
      <c r="O35" s="28"/>
      <c r="P35" s="53" t="str">
        <f>AE19</f>
        <v>Chris Vella</v>
      </c>
      <c r="Q35" s="46"/>
      <c r="R35" s="54">
        <f>IF(Q35&gt;Q33,1,0)</f>
        <v>0</v>
      </c>
      <c r="S35" s="55"/>
      <c r="T35" s="46"/>
      <c r="U35" s="54">
        <f>IF(T35&gt;T33,1,0)</f>
        <v>0</v>
      </c>
      <c r="V35" s="55"/>
      <c r="W35" s="46"/>
      <c r="X35" s="28">
        <f>IF(W35&gt;W33,1,0)</f>
        <v>0</v>
      </c>
      <c r="Y35" s="28">
        <f>IF(Q35="",0,1)</f>
        <v>0</v>
      </c>
      <c r="Z35" s="28">
        <f>IF(R35+U35=2,3,IF(R35+U35=1,1,0))</f>
        <v>0</v>
      </c>
      <c r="AA35" s="28">
        <f>IF(Z35=3,3,IF(X35+Z35=2,2,IF(Z35=1,1,0)))</f>
        <v>0</v>
      </c>
      <c r="AB35" s="28">
        <f>Q35+T35</f>
        <v>0</v>
      </c>
      <c r="AC35" s="28">
        <f>R35+U35+X35</f>
        <v>0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ht="15.0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37"/>
      <c r="AL36" s="28"/>
      <c r="AM36" s="28"/>
      <c r="AN36" s="28"/>
    </row>
    <row r="37" ht="15.0" customHeight="1">
      <c r="A37" s="42" t="str">
        <f>AE15</f>
        <v>Artiom Kricenko</v>
      </c>
      <c r="B37" s="43">
        <v>6.0</v>
      </c>
      <c r="C37" s="44">
        <f>IF(B37&gt;B39,1,0)</f>
        <v>1</v>
      </c>
      <c r="D37" s="45"/>
      <c r="E37" s="43">
        <v>1.0</v>
      </c>
      <c r="F37" s="44">
        <f>IF(E37&gt;E39,1,0)</f>
        <v>0</v>
      </c>
      <c r="G37" s="45"/>
      <c r="H37" s="43">
        <v>11.0</v>
      </c>
      <c r="I37" s="28">
        <f>IF(H37&gt;H39,1,0)</f>
        <v>1</v>
      </c>
      <c r="J37" s="28">
        <f>IF(B37="",0,1)</f>
        <v>1</v>
      </c>
      <c r="K37" s="28">
        <f>IF(C37+F37=2,3,IF(C37+F37=1,1,0))</f>
        <v>1</v>
      </c>
      <c r="L37" s="28">
        <f>IF(K37=3,3,IF(I37+K37=2,2,IF(K37=1,1,0)))</f>
        <v>2</v>
      </c>
      <c r="M37" s="28">
        <f>B37+E37</f>
        <v>7</v>
      </c>
      <c r="N37" s="28">
        <f>C37+F37+I37</f>
        <v>2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7"/>
      <c r="AL37" s="28"/>
      <c r="AM37" s="28"/>
      <c r="AN37" s="28"/>
    </row>
    <row r="38" ht="15.0" customHeight="1">
      <c r="A38" s="50" t="s">
        <v>82</v>
      </c>
      <c r="H38" s="51"/>
      <c r="I38" s="52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  <c r="AM38" s="28"/>
      <c r="AN38" s="28"/>
    </row>
    <row r="39" ht="15.0" customHeight="1">
      <c r="A39" s="53" t="str">
        <f>AE17</f>
        <v>Jason Lee Evans</v>
      </c>
      <c r="B39" s="43">
        <v>2.0</v>
      </c>
      <c r="C39" s="54">
        <f>IF(B39&gt;B37,1,0)</f>
        <v>0</v>
      </c>
      <c r="D39" s="55"/>
      <c r="E39" s="43">
        <v>6.0</v>
      </c>
      <c r="F39" s="54">
        <f>IF(E39&gt;E37,1,0)</f>
        <v>1</v>
      </c>
      <c r="G39" s="55"/>
      <c r="H39" s="43">
        <v>9.0</v>
      </c>
      <c r="I39" s="28">
        <f>IF(H39&gt;H37,1,0)</f>
        <v>0</v>
      </c>
      <c r="J39" s="28">
        <f>IF(B39="",0,1)</f>
        <v>1</v>
      </c>
      <c r="K39" s="28">
        <f>IF(C39+F39=2,3,IF(C39+F39=1,1,0))</f>
        <v>1</v>
      </c>
      <c r="L39" s="28">
        <f>IF(K39=3,3,IF(I39+K39=2,2,IF(K39=1,1,0)))</f>
        <v>1</v>
      </c>
      <c r="M39" s="28">
        <f>B39+E39</f>
        <v>8</v>
      </c>
      <c r="N39" s="28">
        <f>C39+F39+I39</f>
        <v>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ht="20.25" customHeight="1">
      <c r="A42" s="100" t="s">
        <v>94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61"/>
      <c r="AK42" s="28"/>
      <c r="AL42" s="28"/>
      <c r="AM42" s="28"/>
      <c r="AN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30.75" customHeight="1">
      <c r="A44" s="101" t="s">
        <v>62</v>
      </c>
      <c r="B44" s="102" t="s">
        <v>63</v>
      </c>
      <c r="C44" s="31"/>
      <c r="D44" s="31"/>
      <c r="E44" s="32"/>
      <c r="F44" s="66"/>
      <c r="G44" s="67"/>
      <c r="H44" s="101" t="s">
        <v>64</v>
      </c>
      <c r="I44" s="35"/>
      <c r="J44" s="35"/>
      <c r="K44" s="35"/>
      <c r="L44" s="35"/>
      <c r="M44" s="36"/>
      <c r="N44" s="36"/>
      <c r="O44" s="35"/>
      <c r="P44" s="101" t="s">
        <v>62</v>
      </c>
      <c r="Q44" s="102" t="s">
        <v>63</v>
      </c>
      <c r="R44" s="31"/>
      <c r="S44" s="31"/>
      <c r="T44" s="32"/>
      <c r="U44" s="66"/>
      <c r="V44" s="67"/>
      <c r="W44" s="101" t="s">
        <v>64</v>
      </c>
      <c r="X44" s="35"/>
      <c r="Y44" s="36"/>
      <c r="Z44" s="36"/>
      <c r="AA44" s="36"/>
      <c r="AB44" s="36"/>
      <c r="AC44" s="36"/>
      <c r="AD44" s="35"/>
      <c r="AE44" s="101" t="s">
        <v>65</v>
      </c>
      <c r="AF44" s="101" t="s">
        <v>66</v>
      </c>
      <c r="AG44" s="101" t="s">
        <v>67</v>
      </c>
      <c r="AH44" s="101" t="s">
        <v>68</v>
      </c>
      <c r="AI44" s="101" t="s">
        <v>69</v>
      </c>
      <c r="AJ44" s="28"/>
      <c r="AK44" s="28"/>
      <c r="AL44" s="28"/>
      <c r="AM44" s="28"/>
      <c r="AN44" s="28"/>
    </row>
    <row r="45" ht="41.25" hidden="1" customHeight="1">
      <c r="A45" s="28"/>
      <c r="B45" s="38" t="s">
        <v>70</v>
      </c>
      <c r="C45" s="38" t="s">
        <v>71</v>
      </c>
      <c r="D45" s="38"/>
      <c r="E45" s="38" t="s">
        <v>70</v>
      </c>
      <c r="F45" s="38" t="s">
        <v>72</v>
      </c>
      <c r="G45" s="38"/>
      <c r="H45" s="38" t="s">
        <v>70</v>
      </c>
      <c r="I45" s="38" t="s">
        <v>73</v>
      </c>
      <c r="J45" s="38" t="s">
        <v>74</v>
      </c>
      <c r="K45" s="38" t="s">
        <v>75</v>
      </c>
      <c r="L45" s="38" t="s">
        <v>76</v>
      </c>
      <c r="M45" s="38" t="s">
        <v>77</v>
      </c>
      <c r="N45" s="38" t="s">
        <v>78</v>
      </c>
      <c r="O45" s="28"/>
      <c r="P45" s="28"/>
      <c r="Q45" s="38" t="s">
        <v>70</v>
      </c>
      <c r="R45" s="38" t="s">
        <v>71</v>
      </c>
      <c r="S45" s="38"/>
      <c r="T45" s="38" t="s">
        <v>70</v>
      </c>
      <c r="U45" s="38" t="s">
        <v>72</v>
      </c>
      <c r="V45" s="38"/>
      <c r="W45" s="38" t="s">
        <v>70</v>
      </c>
      <c r="X45" s="38" t="s">
        <v>73</v>
      </c>
      <c r="Y45" s="38" t="s">
        <v>74</v>
      </c>
      <c r="Z45" s="38" t="s">
        <v>75</v>
      </c>
      <c r="AA45" s="38" t="s">
        <v>76</v>
      </c>
      <c r="AB45" s="38" t="s">
        <v>77</v>
      </c>
      <c r="AC45" s="38" t="s">
        <v>78</v>
      </c>
      <c r="AD45" s="28"/>
      <c r="AE45" s="37"/>
      <c r="AF45" s="37"/>
      <c r="AG45" s="37"/>
      <c r="AH45" s="37"/>
      <c r="AI45" s="37"/>
      <c r="AJ45" s="28"/>
      <c r="AK45" s="28"/>
      <c r="AL45" s="28"/>
      <c r="AM45" s="28"/>
      <c r="AN45" s="28"/>
    </row>
    <row r="46" ht="15.75" customHeight="1">
      <c r="A46" s="42" t="str">
        <f>AE46</f>
        <v>Matthias Sciriha</v>
      </c>
      <c r="B46" s="43">
        <v>6.0</v>
      </c>
      <c r="C46" s="44">
        <f>IF(B46&gt;B48,1,0)</f>
        <v>1</v>
      </c>
      <c r="D46" s="45"/>
      <c r="E46" s="43">
        <v>7.0</v>
      </c>
      <c r="F46" s="44">
        <f>IF(E46&gt;E48,1,0)</f>
        <v>1</v>
      </c>
      <c r="G46" s="45"/>
      <c r="H46" s="46"/>
      <c r="I46" s="28">
        <f>IF(H46&gt;H48,1,0)</f>
        <v>0</v>
      </c>
      <c r="J46" s="28">
        <f>IF(B46="",0,1)</f>
        <v>1</v>
      </c>
      <c r="K46" s="28">
        <f>IF(C46+F46=2,3,IF(C46+F46=1,1,0))</f>
        <v>3</v>
      </c>
      <c r="L46" s="28">
        <f>IF(K46=3,3,IF(I46+K46=2,2,IF(K46=1,1,0)))</f>
        <v>3</v>
      </c>
      <c r="M46" s="28">
        <f>B46+E46</f>
        <v>13</v>
      </c>
      <c r="N46" s="28">
        <f>C46+F46+I46</f>
        <v>2</v>
      </c>
      <c r="O46" s="28"/>
      <c r="P46" s="42" t="str">
        <f>AE46</f>
        <v>Matthias Sciriha</v>
      </c>
      <c r="Q46" s="43">
        <v>6.0</v>
      </c>
      <c r="R46" s="44">
        <f>IF(Q46&gt;Q48,1,0)</f>
        <v>1</v>
      </c>
      <c r="S46" s="45"/>
      <c r="T46" s="43">
        <v>4.0</v>
      </c>
      <c r="U46" s="44">
        <f>IF(T46&gt;T48,1,0)</f>
        <v>0</v>
      </c>
      <c r="V46" s="45"/>
      <c r="W46" s="43">
        <v>11.0</v>
      </c>
      <c r="X46" s="28">
        <f>IF(W46&gt;W48,1,0)</f>
        <v>1</v>
      </c>
      <c r="Y46" s="28">
        <f>IF(Q46="",0,1)</f>
        <v>1</v>
      </c>
      <c r="Z46" s="28">
        <f>IF(R46+U46=2,3,IF(R46+U46=1,1,0))</f>
        <v>1</v>
      </c>
      <c r="AA46" s="28">
        <f>IF(Z46=3,3,IF(X46+Z46=2,2,IF(Z46=1,1,0)))</f>
        <v>2</v>
      </c>
      <c r="AB46" s="28">
        <f>Q46+T46</f>
        <v>10</v>
      </c>
      <c r="AC46" s="28">
        <f>R46+U46+X46</f>
        <v>2</v>
      </c>
      <c r="AD46" s="28"/>
      <c r="AE46" s="103" t="str">
        <f>'Players - Men'!E25</f>
        <v>Matthias Sciriha</v>
      </c>
      <c r="AF46" s="48">
        <f>J46+Y46+J50+Y50+J54</f>
        <v>3</v>
      </c>
      <c r="AG46" s="48">
        <f t="shared" ref="AG46:AI46" si="7">L46+AA46+L50+AA50+L54</f>
        <v>8</v>
      </c>
      <c r="AH46" s="48">
        <f t="shared" si="7"/>
        <v>35</v>
      </c>
      <c r="AI46" s="49">
        <f t="shared" si="7"/>
        <v>6</v>
      </c>
      <c r="AJ46" s="28"/>
      <c r="AK46" s="28"/>
      <c r="AL46" s="28"/>
      <c r="AM46" s="28"/>
      <c r="AN46" s="28"/>
    </row>
    <row r="47" ht="15.0" customHeight="1">
      <c r="A47" s="50" t="s">
        <v>82</v>
      </c>
      <c r="H47" s="51"/>
      <c r="I47" s="52"/>
      <c r="J47" s="28"/>
      <c r="K47" s="28"/>
      <c r="L47" s="28"/>
      <c r="M47" s="28"/>
      <c r="N47" s="28"/>
      <c r="O47" s="28"/>
      <c r="P47" s="50" t="s">
        <v>82</v>
      </c>
      <c r="W47" s="51"/>
      <c r="X47" s="52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61"/>
      <c r="AK47" s="28"/>
      <c r="AL47" s="37"/>
      <c r="AM47" s="28"/>
      <c r="AN47" s="28"/>
    </row>
    <row r="48" ht="15.75" customHeight="1">
      <c r="A48" s="53" t="str">
        <f>AE48</f>
        <v>Kenneth Farrugia</v>
      </c>
      <c r="B48" s="43">
        <v>3.0</v>
      </c>
      <c r="C48" s="54">
        <f>IF(B48&gt;B46,1,0)</f>
        <v>0</v>
      </c>
      <c r="D48" s="55"/>
      <c r="E48" s="43">
        <v>6.0</v>
      </c>
      <c r="F48" s="54">
        <f>IF(E48&gt;E46,1,0)</f>
        <v>0</v>
      </c>
      <c r="G48" s="55"/>
      <c r="H48" s="46"/>
      <c r="I48" s="28">
        <f>IF(H48&gt;H46,1,0)</f>
        <v>0</v>
      </c>
      <c r="J48" s="28">
        <f>IF(B48="",0,1)</f>
        <v>1</v>
      </c>
      <c r="K48" s="28">
        <f>IF(C48+F48=2,3,IF(C48+F48=1,1,0))</f>
        <v>0</v>
      </c>
      <c r="L48" s="28">
        <f>IF(K48=3,3,IF(I48+K48=2,2,IF(K48=1,1,0)))</f>
        <v>0</v>
      </c>
      <c r="M48" s="28">
        <f>B48+E48</f>
        <v>9</v>
      </c>
      <c r="N48" s="28">
        <f>C48+F48+I48</f>
        <v>0</v>
      </c>
      <c r="O48" s="28"/>
      <c r="P48" s="53" t="str">
        <f>AE50</f>
        <v>Simone Re</v>
      </c>
      <c r="Q48" s="43">
        <v>3.0</v>
      </c>
      <c r="R48" s="54">
        <f>IF(Q48&gt;Q46,1,0)</f>
        <v>0</v>
      </c>
      <c r="S48" s="55"/>
      <c r="T48" s="43">
        <v>6.0</v>
      </c>
      <c r="U48" s="54">
        <f>IF(T48&gt;T46,1,0)</f>
        <v>1</v>
      </c>
      <c r="V48" s="55"/>
      <c r="W48" s="43">
        <v>9.0</v>
      </c>
      <c r="X48" s="28">
        <f>IF(W48&gt;W46,1,0)</f>
        <v>0</v>
      </c>
      <c r="Y48" s="28">
        <f>IF(Q48="",0,1)</f>
        <v>1</v>
      </c>
      <c r="Z48" s="28">
        <f>IF(R48+U48=2,3,IF(R48+U48=1,1,0))</f>
        <v>1</v>
      </c>
      <c r="AA48" s="28">
        <f>IF(Z48=3,3,IF(X48+Z48=2,2,IF(Z48=1,1,0)))</f>
        <v>1</v>
      </c>
      <c r="AB48" s="28">
        <f>Q48+T48</f>
        <v>9</v>
      </c>
      <c r="AC48" s="28">
        <f>R48+U48+X48</f>
        <v>1</v>
      </c>
      <c r="AD48" s="28"/>
      <c r="AE48" s="103" t="str">
        <f>'Players - Men'!E26</f>
        <v>Kenneth Farrugia</v>
      </c>
      <c r="AF48" s="48">
        <f>J48+Y62+J62+Y58+J58</f>
        <v>4</v>
      </c>
      <c r="AG48" s="48">
        <f t="shared" ref="AG48:AI48" si="8">L48+AA62+L62+AA58+L58</f>
        <v>7</v>
      </c>
      <c r="AH48" s="48">
        <f t="shared" si="8"/>
        <v>44</v>
      </c>
      <c r="AI48" s="49">
        <f t="shared" si="8"/>
        <v>5</v>
      </c>
      <c r="AJ48" s="28"/>
      <c r="AK48" s="28"/>
      <c r="AL48" s="28"/>
      <c r="AM48" s="28"/>
      <c r="AN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37"/>
      <c r="AG49" s="37"/>
      <c r="AH49" s="37"/>
      <c r="AI49" s="37"/>
      <c r="AJ49" s="28"/>
      <c r="AK49" s="28"/>
      <c r="AL49" s="28"/>
      <c r="AM49" s="28"/>
      <c r="AN49" s="28"/>
    </row>
    <row r="50" ht="15.75" customHeight="1">
      <c r="A50" s="42" t="str">
        <f>AE46</f>
        <v>Matthias Sciriha</v>
      </c>
      <c r="B50" s="46"/>
      <c r="C50" s="44">
        <f>IF(B50&gt;B52,1,0)</f>
        <v>0</v>
      </c>
      <c r="D50" s="45"/>
      <c r="E50" s="46"/>
      <c r="F50" s="44">
        <f>IF(E50&gt;E52,1,0)</f>
        <v>0</v>
      </c>
      <c r="G50" s="45"/>
      <c r="H50" s="46"/>
      <c r="I50" s="28">
        <f>IF(H50&gt;H52,1,0)</f>
        <v>0</v>
      </c>
      <c r="J50" s="28">
        <f>IF(B50="",0,1)</f>
        <v>0</v>
      </c>
      <c r="K50" s="28">
        <f>IF(C50+F50=2,3,IF(C50+F50=1,1,0))</f>
        <v>0</v>
      </c>
      <c r="L50" s="28">
        <f>IF(K50=3,3,IF(I50+K50=2,2,IF(K50=1,1,0)))</f>
        <v>0</v>
      </c>
      <c r="M50" s="28">
        <f>B50+E50</f>
        <v>0</v>
      </c>
      <c r="N50" s="28">
        <f>C50+F50+I50</f>
        <v>0</v>
      </c>
      <c r="O50" s="28"/>
      <c r="P50" s="42" t="str">
        <f>AE46</f>
        <v>Matthias Sciriha</v>
      </c>
      <c r="Q50" s="43">
        <v>6.0</v>
      </c>
      <c r="R50" s="44">
        <f>IF(Q50&gt;Q52,1,0)</f>
        <v>1</v>
      </c>
      <c r="S50" s="45"/>
      <c r="T50" s="43">
        <v>6.0</v>
      </c>
      <c r="U50" s="44">
        <f>IF(T50&gt;T52,1,0)</f>
        <v>1</v>
      </c>
      <c r="V50" s="45"/>
      <c r="W50" s="46"/>
      <c r="X50" s="28">
        <f>IF(W50&gt;W52,1,0)</f>
        <v>0</v>
      </c>
      <c r="Y50" s="28">
        <f>IF(Q50="",0,1)</f>
        <v>1</v>
      </c>
      <c r="Z50" s="28">
        <f>IF(R50+U50=2,3,IF(R50+U50=1,1,0))</f>
        <v>3</v>
      </c>
      <c r="AA50" s="28">
        <f>IF(Z50=3,3,IF(X50+Z50=2,2,IF(Z50=1,1,0)))</f>
        <v>3</v>
      </c>
      <c r="AB50" s="28">
        <f>Q50+T50</f>
        <v>12</v>
      </c>
      <c r="AC50" s="28">
        <f>R50+U50+X50</f>
        <v>2</v>
      </c>
      <c r="AD50" s="28"/>
      <c r="AE50" s="103" t="str">
        <f>'Players - Men'!E27</f>
        <v>Simone Re</v>
      </c>
      <c r="AF50" s="48">
        <f>Y66+Y48+Y70+J70+J60</f>
        <v>4</v>
      </c>
      <c r="AG50" s="48">
        <f t="shared" ref="AG50:AI50" si="9">AA66+AA48+AA70+L70+L60</f>
        <v>7</v>
      </c>
      <c r="AH50" s="48">
        <f t="shared" si="9"/>
        <v>42</v>
      </c>
      <c r="AI50" s="49">
        <f t="shared" si="9"/>
        <v>5</v>
      </c>
      <c r="AJ50" s="28"/>
      <c r="AK50" s="28"/>
      <c r="AL50" s="28"/>
      <c r="AM50" s="28"/>
      <c r="AN50" s="28"/>
    </row>
    <row r="51" ht="15.75" customHeight="1">
      <c r="A51" s="50" t="s">
        <v>82</v>
      </c>
      <c r="H51" s="51"/>
      <c r="I51" s="52"/>
      <c r="J51" s="28"/>
      <c r="K51" s="28"/>
      <c r="L51" s="28"/>
      <c r="M51" s="28"/>
      <c r="N51" s="28"/>
      <c r="O51" s="28"/>
      <c r="P51" s="50" t="s">
        <v>82</v>
      </c>
      <c r="W51" s="51"/>
      <c r="X51" s="52"/>
      <c r="Y51" s="28"/>
      <c r="Z51" s="28"/>
      <c r="AA51" s="28"/>
      <c r="AB51" s="28"/>
      <c r="AC51" s="28"/>
      <c r="AD51" s="28"/>
      <c r="AE51" s="28"/>
      <c r="AF51" s="37"/>
      <c r="AG51" s="37"/>
      <c r="AH51" s="37"/>
      <c r="AI51" s="37"/>
      <c r="AJ51" s="28"/>
      <c r="AK51" s="28"/>
      <c r="AL51" s="28"/>
      <c r="AM51" s="28"/>
      <c r="AN51" s="28"/>
    </row>
    <row r="52" ht="15.0" customHeight="1">
      <c r="A52" s="53" t="str">
        <f>AE52</f>
        <v>Matthew Micallef</v>
      </c>
      <c r="B52" s="46"/>
      <c r="C52" s="54">
        <f>IF(B52&gt;B50,1,0)</f>
        <v>0</v>
      </c>
      <c r="D52" s="55"/>
      <c r="E52" s="46"/>
      <c r="F52" s="54">
        <f>IF(E52&gt;E50,1,0)</f>
        <v>0</v>
      </c>
      <c r="G52" s="55"/>
      <c r="H52" s="46"/>
      <c r="I52" s="28">
        <f>IF(H52&gt;H50,1,0)</f>
        <v>0</v>
      </c>
      <c r="J52" s="28">
        <f>IF(B52="",0,1)</f>
        <v>0</v>
      </c>
      <c r="K52" s="28">
        <f>IF(C52+F52=2,3,IF(C52+F52=1,1,0))</f>
        <v>0</v>
      </c>
      <c r="L52" s="28">
        <f>IF(K52=3,3,IF(I52+K52=2,2,IF(K52=1,1,0)))</f>
        <v>0</v>
      </c>
      <c r="M52" s="28">
        <f>B52+E52</f>
        <v>0</v>
      </c>
      <c r="N52" s="28">
        <f>C52+F52+I52</f>
        <v>0</v>
      </c>
      <c r="O52" s="28"/>
      <c r="P52" s="53" t="str">
        <f>AE54</f>
        <v>Jurgen Cachia</v>
      </c>
      <c r="Q52" s="43">
        <v>3.0</v>
      </c>
      <c r="R52" s="54">
        <f>IF(Q52&gt;Q50,1,0)</f>
        <v>0</v>
      </c>
      <c r="S52" s="55"/>
      <c r="T52" s="43">
        <v>3.0</v>
      </c>
      <c r="U52" s="54">
        <f>IF(T52&gt;T50,1,0)</f>
        <v>0</v>
      </c>
      <c r="V52" s="55"/>
      <c r="W52" s="46"/>
      <c r="X52" s="28">
        <f>IF(W52&gt;W50,1,0)</f>
        <v>0</v>
      </c>
      <c r="Y52" s="28">
        <f>IF(Q52="",0,1)</f>
        <v>1</v>
      </c>
      <c r="Z52" s="28">
        <f>IF(R52+U52=2,3,IF(R52+U52=1,1,0))</f>
        <v>0</v>
      </c>
      <c r="AA52" s="28">
        <f>IF(Z52=3,3,IF(X52+Z52=2,2,IF(Z52=1,1,0)))</f>
        <v>0</v>
      </c>
      <c r="AB52" s="28">
        <f>Q52+T52</f>
        <v>6</v>
      </c>
      <c r="AC52" s="28">
        <f>R52+U52+X52</f>
        <v>0</v>
      </c>
      <c r="AD52" s="28"/>
      <c r="AE52" s="103" t="str">
        <f>'Players - Men'!E28</f>
        <v>Matthew Micallef</v>
      </c>
      <c r="AF52" s="48">
        <f>Y68+J74+J52+Y60+J66</f>
        <v>4</v>
      </c>
      <c r="AG52" s="48">
        <f t="shared" ref="AG52:AI52" si="10">AA68+L74+L52+AA60+L66</f>
        <v>9</v>
      </c>
      <c r="AH52" s="48">
        <f t="shared" si="10"/>
        <v>48</v>
      </c>
      <c r="AI52" s="49">
        <f t="shared" si="10"/>
        <v>7</v>
      </c>
      <c r="AJ52" s="61"/>
      <c r="AK52" s="28"/>
      <c r="AL52" s="28"/>
      <c r="AM52" s="28"/>
      <c r="AN52" s="37"/>
    </row>
    <row r="53" ht="15.75" customHeight="1">
      <c r="A53" s="28"/>
      <c r="B53" s="3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37"/>
      <c r="AG53" s="37"/>
      <c r="AH53" s="37"/>
      <c r="AI53" s="37"/>
      <c r="AJ53" s="28"/>
      <c r="AK53" s="28"/>
      <c r="AL53" s="28"/>
      <c r="AM53" s="28"/>
      <c r="AN53" s="28"/>
    </row>
    <row r="54" ht="15.75" customHeight="1">
      <c r="A54" s="42" t="str">
        <f>AE46</f>
        <v>Matthias Sciriha</v>
      </c>
      <c r="B54" s="46"/>
      <c r="C54" s="44">
        <f>IF(B54&gt;B56,1,0)</f>
        <v>0</v>
      </c>
      <c r="D54" s="45"/>
      <c r="E54" s="46"/>
      <c r="F54" s="44">
        <f>IF(E54&gt;E56,1,0)</f>
        <v>0</v>
      </c>
      <c r="G54" s="45"/>
      <c r="H54" s="46"/>
      <c r="I54" s="28">
        <f>IF(H54&gt;H56,1,0)</f>
        <v>0</v>
      </c>
      <c r="J54" s="28">
        <f>IF(B54="",0,1)</f>
        <v>0</v>
      </c>
      <c r="K54" s="28">
        <f>IF(C54+F54=2,3,IF(C54+F54=1,1,0))</f>
        <v>0</v>
      </c>
      <c r="L54" s="28">
        <f>IF(K54=3,3,IF(I54+K54=2,2,IF(K54=1,1,0)))</f>
        <v>0</v>
      </c>
      <c r="M54" s="28">
        <f>B54+E54</f>
        <v>0</v>
      </c>
      <c r="N54" s="28">
        <f>C54+F54+I54</f>
        <v>0</v>
      </c>
      <c r="O54" s="28"/>
      <c r="P54" s="42" t="str">
        <f>AE54</f>
        <v>Jurgen Cachia</v>
      </c>
      <c r="Q54" s="43">
        <v>0.0</v>
      </c>
      <c r="R54" s="44">
        <f>IF(Q54&gt;Q56,1,0)</f>
        <v>0</v>
      </c>
      <c r="S54" s="45"/>
      <c r="T54" s="43">
        <v>0.0</v>
      </c>
      <c r="U54" s="44">
        <f>IF(T54&gt;T56,1,0)</f>
        <v>0</v>
      </c>
      <c r="V54" s="45"/>
      <c r="W54" s="46"/>
      <c r="X54" s="28">
        <f>IF(W54&gt;W56,1,0)</f>
        <v>0</v>
      </c>
      <c r="Y54" s="28">
        <f>IF(Q54="",0,1)</f>
        <v>1</v>
      </c>
      <c r="Z54" s="28">
        <f>IF(R54+U54=2,3,IF(R54+U54=1,1,0))</f>
        <v>0</v>
      </c>
      <c r="AA54" s="28">
        <f>IF(Z54=3,3,IF(X54+Z54=2,2,IF(Z54=1,1,0)))</f>
        <v>0</v>
      </c>
      <c r="AB54" s="28">
        <f>Q54+T54</f>
        <v>0</v>
      </c>
      <c r="AC54" s="28">
        <f>R54+U54+X54</f>
        <v>0</v>
      </c>
      <c r="AD54" s="104" t="s">
        <v>95</v>
      </c>
      <c r="AE54" s="103" t="str">
        <f>'Players - Men'!E29</f>
        <v>Jurgen Cachia</v>
      </c>
      <c r="AF54" s="48">
        <f>Y54+J76+J64+Y52+J72</f>
        <v>5</v>
      </c>
      <c r="AG54" s="48">
        <f t="shared" ref="AG54:AI54" si="11">AA54+L76+L64+AA52+L72</f>
        <v>2</v>
      </c>
      <c r="AH54" s="48">
        <f t="shared" si="11"/>
        <v>27</v>
      </c>
      <c r="AI54" s="49">
        <f t="shared" si="11"/>
        <v>2</v>
      </c>
      <c r="AJ54" s="28"/>
      <c r="AK54" s="28"/>
      <c r="AL54" s="28"/>
      <c r="AM54" s="28"/>
      <c r="AN54" s="28"/>
    </row>
    <row r="55" ht="15.75" customHeight="1">
      <c r="A55" s="50" t="s">
        <v>82</v>
      </c>
      <c r="H55" s="51"/>
      <c r="I55" s="52"/>
      <c r="J55" s="28"/>
      <c r="K55" s="28"/>
      <c r="L55" s="28"/>
      <c r="M55" s="28"/>
      <c r="N55" s="28"/>
      <c r="O55" s="28"/>
      <c r="P55" s="50" t="s">
        <v>82</v>
      </c>
      <c r="W55" s="51"/>
      <c r="X55" s="52"/>
      <c r="Y55" s="28"/>
      <c r="Z55" s="28"/>
      <c r="AA55" s="28"/>
      <c r="AB55" s="28"/>
      <c r="AC55" s="28"/>
      <c r="AD55" s="28"/>
      <c r="AE55" s="59"/>
      <c r="AF55" s="37"/>
      <c r="AG55" s="37"/>
      <c r="AH55" s="37"/>
      <c r="AI55" s="37"/>
      <c r="AJ55" s="28"/>
      <c r="AK55" s="28"/>
      <c r="AL55" s="28"/>
      <c r="AM55" s="28"/>
      <c r="AN55" s="28"/>
    </row>
    <row r="56" ht="15.0" customHeight="1">
      <c r="A56" s="53" t="str">
        <f>AE56</f>
        <v>Redent Scicluna</v>
      </c>
      <c r="B56" s="46"/>
      <c r="C56" s="54">
        <f>IF(B56&gt;B54,1,0)</f>
        <v>0</v>
      </c>
      <c r="D56" s="55"/>
      <c r="E56" s="46"/>
      <c r="F56" s="54">
        <f>IF(E56&gt;E54,1,0)</f>
        <v>0</v>
      </c>
      <c r="G56" s="55"/>
      <c r="H56" s="46"/>
      <c r="I56" s="28">
        <f>IF(H56&gt;H54,1,0)</f>
        <v>0</v>
      </c>
      <c r="J56" s="28">
        <f>IF(B56="",0,1)</f>
        <v>0</v>
      </c>
      <c r="K56" s="28">
        <f>IF(C56+F56=2,3,IF(C56+F56=1,1,0))</f>
        <v>0</v>
      </c>
      <c r="L56" s="28">
        <f>IF(K56=3,3,IF(I56+K56=2,2,IF(K56=1,1,0)))</f>
        <v>0</v>
      </c>
      <c r="M56" s="28">
        <f>B56+E56</f>
        <v>0</v>
      </c>
      <c r="N56" s="28">
        <f>C56+F56+I56</f>
        <v>0</v>
      </c>
      <c r="O56" s="28"/>
      <c r="P56" s="53" t="str">
        <f>AE56</f>
        <v>Redent Scicluna</v>
      </c>
      <c r="Q56" s="43">
        <v>6.0</v>
      </c>
      <c r="R56" s="54">
        <f>IF(Q56&gt;Q54,1,0)</f>
        <v>1</v>
      </c>
      <c r="S56" s="55"/>
      <c r="T56" s="43">
        <v>6.0</v>
      </c>
      <c r="U56" s="54">
        <f>IF(T56&gt;T54,1,0)</f>
        <v>1</v>
      </c>
      <c r="V56" s="55"/>
      <c r="W56" s="46"/>
      <c r="X56" s="28">
        <f>IF(W56&gt;W54,1,0)</f>
        <v>0</v>
      </c>
      <c r="Y56" s="28">
        <f>IF(Q56="",0,1)</f>
        <v>1</v>
      </c>
      <c r="Z56" s="28">
        <f>IF(R56+U56=2,3,IF(R56+U56=1,1,0))</f>
        <v>3</v>
      </c>
      <c r="AA56" s="28">
        <f>IF(Z56=3,3,IF(X56+Z56=2,2,IF(Z56=1,1,0)))</f>
        <v>3</v>
      </c>
      <c r="AB56" s="28">
        <f>Q56+T56</f>
        <v>12</v>
      </c>
      <c r="AC56" s="28">
        <f>R56+U56+X56</f>
        <v>2</v>
      </c>
      <c r="AD56" s="28"/>
      <c r="AE56" s="103" t="str">
        <f>'Players - Men'!E30</f>
        <v>Redent Scicluna</v>
      </c>
      <c r="AF56" s="48">
        <f>Y56+Y64+Y72+J56+J68</f>
        <v>4</v>
      </c>
      <c r="AG56" s="48">
        <f t="shared" ref="AG56:AI56" si="12">AA56+AA64+AA72+L56+L68</f>
        <v>3</v>
      </c>
      <c r="AH56" s="48">
        <f t="shared" si="12"/>
        <v>28</v>
      </c>
      <c r="AI56" s="49">
        <f t="shared" si="12"/>
        <v>2</v>
      </c>
      <c r="AJ56" s="28"/>
      <c r="AK56" s="37"/>
      <c r="AL56" s="28"/>
      <c r="AM56" s="28"/>
      <c r="AN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5.75" customHeight="1">
      <c r="A58" s="42" t="str">
        <f>AE48</f>
        <v>Kenneth Farrugia</v>
      </c>
      <c r="B58" s="46"/>
      <c r="C58" s="44">
        <f>IF(B58&gt;B60,1,0)</f>
        <v>0</v>
      </c>
      <c r="D58" s="45"/>
      <c r="E58" s="46"/>
      <c r="F58" s="44">
        <f>IF(E58&gt;E60,1,0)</f>
        <v>0</v>
      </c>
      <c r="G58" s="45"/>
      <c r="H58" s="46"/>
      <c r="I58" s="28">
        <f>IF(H58&gt;H60,1,0)</f>
        <v>0</v>
      </c>
      <c r="J58" s="28">
        <f>IF(B58="",0,1)</f>
        <v>0</v>
      </c>
      <c r="K58" s="28">
        <f>IF(C58+F58=2,3,IF(C58+F58=1,1,0))</f>
        <v>0</v>
      </c>
      <c r="L58" s="28">
        <f>IF(K58=3,3,IF(I58+K58=2,2,IF(K58=1,1,0)))</f>
        <v>0</v>
      </c>
      <c r="M58" s="28">
        <f>B58+E58</f>
        <v>0</v>
      </c>
      <c r="N58" s="28">
        <f>C58+F58+I58</f>
        <v>0</v>
      </c>
      <c r="O58" s="28"/>
      <c r="P58" s="42" t="str">
        <f>AE48</f>
        <v>Kenneth Farrugia</v>
      </c>
      <c r="Q58" s="43">
        <v>6.0</v>
      </c>
      <c r="R58" s="44">
        <f>IF(Q58&gt;Q60,1,0)</f>
        <v>1</v>
      </c>
      <c r="S58" s="45"/>
      <c r="T58" s="43">
        <v>5.0</v>
      </c>
      <c r="U58" s="44">
        <f>IF(T58&gt;T60,1,0)</f>
        <v>0</v>
      </c>
      <c r="V58" s="45"/>
      <c r="W58" s="43">
        <v>4.0</v>
      </c>
      <c r="X58" s="28">
        <f>IF(W58&gt;W60,1,0)</f>
        <v>0</v>
      </c>
      <c r="Y58" s="28">
        <f>IF(Q58="",0,1)</f>
        <v>1</v>
      </c>
      <c r="Z58" s="28">
        <f>IF(R58+U58=2,3,IF(R58+U58=1,1,0))</f>
        <v>1</v>
      </c>
      <c r="AA58" s="28">
        <f>IF(Z58=3,3,IF(X58+Z58=2,2,IF(Z58=1,1,0)))</f>
        <v>1</v>
      </c>
      <c r="AB58" s="28">
        <f>Q58+T58</f>
        <v>11</v>
      </c>
      <c r="AC58" s="28">
        <f>R58+U58+X58</f>
        <v>1</v>
      </c>
      <c r="AD58" s="28"/>
      <c r="AE58" s="105" t="s">
        <v>83</v>
      </c>
      <c r="AF58" s="31"/>
      <c r="AG58" s="31"/>
      <c r="AH58" s="31"/>
      <c r="AI58" s="32"/>
      <c r="AJ58" s="28"/>
      <c r="AK58" s="28"/>
      <c r="AL58" s="28"/>
      <c r="AM58" s="28"/>
      <c r="AN58" s="28"/>
    </row>
    <row r="59" ht="15.75" customHeight="1">
      <c r="A59" s="50" t="s">
        <v>82</v>
      </c>
      <c r="H59" s="51"/>
      <c r="I59" s="52"/>
      <c r="J59" s="28"/>
      <c r="K59" s="28"/>
      <c r="L59" s="28"/>
      <c r="M59" s="28"/>
      <c r="N59" s="28"/>
      <c r="O59" s="28"/>
      <c r="P59" s="50" t="s">
        <v>82</v>
      </c>
      <c r="W59" s="51"/>
      <c r="X59" s="52"/>
      <c r="Y59" s="28"/>
      <c r="Z59" s="28"/>
      <c r="AA59" s="28"/>
      <c r="AB59" s="28"/>
      <c r="AC59" s="28"/>
      <c r="AD59" s="28"/>
      <c r="AE59" s="59"/>
      <c r="AF59" s="31"/>
      <c r="AG59" s="31"/>
      <c r="AH59" s="31"/>
      <c r="AI59" s="32"/>
      <c r="AJ59" s="28"/>
      <c r="AK59" s="28"/>
      <c r="AL59" s="28"/>
      <c r="AM59" s="28"/>
      <c r="AN59" s="28"/>
    </row>
    <row r="60" ht="15.75" customHeight="1">
      <c r="A60" s="53" t="str">
        <f>AE50</f>
        <v>Simone Re</v>
      </c>
      <c r="B60" s="46"/>
      <c r="C60" s="54">
        <f>IF(B60&gt;B58,1,0)</f>
        <v>0</v>
      </c>
      <c r="D60" s="55"/>
      <c r="E60" s="46"/>
      <c r="F60" s="54">
        <f>IF(E60&gt;E58,1,0)</f>
        <v>0</v>
      </c>
      <c r="G60" s="55"/>
      <c r="H60" s="46"/>
      <c r="I60" s="28">
        <f>IF(H60&gt;H58,1,0)</f>
        <v>0</v>
      </c>
      <c r="J60" s="28">
        <f>IF(B60="",0,1)</f>
        <v>0</v>
      </c>
      <c r="K60" s="28">
        <f>IF(C60+F60=2,3,IF(C60+F60=1,1,0))</f>
        <v>0</v>
      </c>
      <c r="L60" s="28">
        <f>IF(K60=3,3,IF(I60+K60=2,2,IF(K60=1,1,0)))</f>
        <v>0</v>
      </c>
      <c r="M60" s="28">
        <f>B60+E60</f>
        <v>0</v>
      </c>
      <c r="N60" s="28">
        <f>C60+F60+I60</f>
        <v>0</v>
      </c>
      <c r="O60" s="28"/>
      <c r="P60" s="53" t="str">
        <f>AE52</f>
        <v>Matthew Micallef</v>
      </c>
      <c r="Q60" s="43">
        <v>4.0</v>
      </c>
      <c r="R60" s="54">
        <f>IF(Q60&gt;Q58,1,0)</f>
        <v>0</v>
      </c>
      <c r="S60" s="55"/>
      <c r="T60" s="43">
        <v>7.0</v>
      </c>
      <c r="U60" s="54">
        <f>IF(T60&gt;T58,1,0)</f>
        <v>1</v>
      </c>
      <c r="V60" s="55"/>
      <c r="W60" s="43">
        <v>10.0</v>
      </c>
      <c r="X60" s="28">
        <f>IF(W60&gt;W58,1,0)</f>
        <v>1</v>
      </c>
      <c r="Y60" s="28">
        <f>IF(Q60="",0,1)</f>
        <v>1</v>
      </c>
      <c r="Z60" s="28">
        <f>IF(R60+U60=2,3,IF(R60+U60=1,1,0))</f>
        <v>1</v>
      </c>
      <c r="AA60" s="28">
        <f>IF(Z60=3,3,IF(X60+Z60=2,2,IF(Z60=1,1,0)))</f>
        <v>2</v>
      </c>
      <c r="AB60" s="28">
        <f>Q60+T60</f>
        <v>11</v>
      </c>
      <c r="AC60" s="28">
        <f>R60+U60+X60</f>
        <v>2</v>
      </c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5.75" customHeight="1">
      <c r="A62" s="42" t="str">
        <f>AE48</f>
        <v>Kenneth Farrugia</v>
      </c>
      <c r="B62" s="43">
        <v>6.0</v>
      </c>
      <c r="C62" s="44">
        <f>IF(B62&gt;B64,1,0)</f>
        <v>1</v>
      </c>
      <c r="D62" s="45"/>
      <c r="E62" s="43">
        <v>6.0</v>
      </c>
      <c r="F62" s="44">
        <f>IF(E62&gt;E64,1,0)</f>
        <v>1</v>
      </c>
      <c r="G62" s="45"/>
      <c r="H62" s="46"/>
      <c r="I62" s="28">
        <f>IF(H62&gt;H64,1,0)</f>
        <v>0</v>
      </c>
      <c r="J62" s="28">
        <f>IF(B62="",0,1)</f>
        <v>1</v>
      </c>
      <c r="K62" s="28">
        <f>IF(C62+F62=2,3,IF(C62+F62=1,1,0))</f>
        <v>3</v>
      </c>
      <c r="L62" s="28">
        <f>IF(K62=3,3,IF(I62+K62=2,2,IF(K62=1,1,0)))</f>
        <v>3</v>
      </c>
      <c r="M62" s="28">
        <f>B62+E62</f>
        <v>12</v>
      </c>
      <c r="N62" s="28">
        <f>C62+F62+I62</f>
        <v>2</v>
      </c>
      <c r="O62" s="28"/>
      <c r="P62" s="42" t="str">
        <f>AE48</f>
        <v>Kenneth Farrugia</v>
      </c>
      <c r="Q62" s="43">
        <v>6.0</v>
      </c>
      <c r="R62" s="44">
        <f>IF(Q62&gt;Q64,1,0)</f>
        <v>1</v>
      </c>
      <c r="S62" s="45"/>
      <c r="T62" s="43">
        <v>6.0</v>
      </c>
      <c r="U62" s="44">
        <f>IF(T62&gt;T64,1,0)</f>
        <v>1</v>
      </c>
      <c r="V62" s="45"/>
      <c r="W62" s="46"/>
      <c r="X62" s="28">
        <f>IF(W62&gt;W64,1,0)</f>
        <v>0</v>
      </c>
      <c r="Y62" s="28">
        <f>IF(Q62="",0,1)</f>
        <v>1</v>
      </c>
      <c r="Z62" s="28">
        <f>IF(R62+U62=2,3,IF(R62+U62=1,1,0))</f>
        <v>3</v>
      </c>
      <c r="AA62" s="28">
        <f>IF(Z62=3,3,IF(X62+Z62=2,2,IF(Z62=1,1,0)))</f>
        <v>3</v>
      </c>
      <c r="AB62" s="28">
        <f>Q62+T62</f>
        <v>12</v>
      </c>
      <c r="AC62" s="28">
        <f>R62+U62+X62</f>
        <v>2</v>
      </c>
      <c r="AD62" s="28"/>
      <c r="AE62" s="28"/>
      <c r="AF62" s="28"/>
      <c r="AG62" s="28"/>
      <c r="AH62" s="37"/>
      <c r="AI62" s="28"/>
      <c r="AJ62" s="28"/>
      <c r="AK62" s="28"/>
      <c r="AL62" s="28"/>
      <c r="AM62" s="28"/>
      <c r="AN62" s="28"/>
    </row>
    <row r="63" ht="15.75" customHeight="1">
      <c r="A63" s="50" t="s">
        <v>82</v>
      </c>
      <c r="H63" s="51"/>
      <c r="I63" s="52"/>
      <c r="J63" s="28"/>
      <c r="K63" s="28"/>
      <c r="L63" s="28"/>
      <c r="M63" s="28"/>
      <c r="N63" s="28"/>
      <c r="O63" s="28"/>
      <c r="P63" s="50" t="s">
        <v>82</v>
      </c>
      <c r="W63" s="51"/>
      <c r="X63" s="52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5.75" customHeight="1">
      <c r="A64" s="53" t="str">
        <f>AE54</f>
        <v>Jurgen Cachia</v>
      </c>
      <c r="B64" s="43">
        <v>4.0</v>
      </c>
      <c r="C64" s="54">
        <f>IF(B64&gt;B62,1,0)</f>
        <v>0</v>
      </c>
      <c r="D64" s="55"/>
      <c r="E64" s="43">
        <v>0.0</v>
      </c>
      <c r="F64" s="54">
        <f>IF(E64&gt;E62,1,0)</f>
        <v>0</v>
      </c>
      <c r="G64" s="55"/>
      <c r="H64" s="46"/>
      <c r="I64" s="28">
        <f>IF(H64&gt;H62,1,0)</f>
        <v>0</v>
      </c>
      <c r="J64" s="28">
        <f>IF(B64="",0,1)</f>
        <v>1</v>
      </c>
      <c r="K64" s="28">
        <f>IF(C64+F64=2,3,IF(C64+F64=1,1,0))</f>
        <v>0</v>
      </c>
      <c r="L64" s="28">
        <f>IF(K64=3,3,IF(I64+K64=2,2,IF(K64=1,1,0)))</f>
        <v>0</v>
      </c>
      <c r="M64" s="28">
        <f>B64+E64</f>
        <v>4</v>
      </c>
      <c r="N64" s="28">
        <f>C64+F64+I64</f>
        <v>0</v>
      </c>
      <c r="O64" s="28"/>
      <c r="P64" s="53" t="str">
        <f>AE56</f>
        <v>Redent Scicluna</v>
      </c>
      <c r="Q64" s="43">
        <v>3.0</v>
      </c>
      <c r="R64" s="54">
        <f>IF(Q64&gt;Q62,1,0)</f>
        <v>0</v>
      </c>
      <c r="S64" s="55"/>
      <c r="T64" s="43">
        <v>3.0</v>
      </c>
      <c r="U64" s="54">
        <f>IF(T64&gt;T62,1,0)</f>
        <v>0</v>
      </c>
      <c r="V64" s="55"/>
      <c r="W64" s="46"/>
      <c r="X64" s="28">
        <f>IF(W64&gt;W62,1,0)</f>
        <v>0</v>
      </c>
      <c r="Y64" s="28">
        <f>IF(Q64="",0,1)</f>
        <v>1</v>
      </c>
      <c r="Z64" s="28">
        <f>IF(R64+U64=2,3,IF(R64+U64=1,1,0))</f>
        <v>0</v>
      </c>
      <c r="AA64" s="28">
        <f>IF(Z64=3,3,IF(X64+Z64=2,2,IF(Z64=1,1,0)))</f>
        <v>0</v>
      </c>
      <c r="AB64" s="28">
        <f>Q64+T64</f>
        <v>6</v>
      </c>
      <c r="AC64" s="28">
        <f>R64+U64+X64</f>
        <v>0</v>
      </c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7"/>
      <c r="AI65" s="28"/>
      <c r="AJ65" s="28"/>
      <c r="AK65" s="28"/>
      <c r="AL65" s="28"/>
      <c r="AM65" s="28"/>
      <c r="AN65" s="28"/>
    </row>
    <row r="66" ht="15.75" customHeight="1">
      <c r="A66" s="42" t="str">
        <f>AE52</f>
        <v>Matthew Micallef</v>
      </c>
      <c r="B66" s="43">
        <v>6.0</v>
      </c>
      <c r="C66" s="44">
        <f>IF(B66&gt;B68,1,0)</f>
        <v>1</v>
      </c>
      <c r="D66" s="45"/>
      <c r="E66" s="43">
        <v>6.0</v>
      </c>
      <c r="F66" s="44">
        <f>IF(E66&gt;E68,1,0)</f>
        <v>1</v>
      </c>
      <c r="G66" s="45"/>
      <c r="H66" s="46"/>
      <c r="I66" s="28">
        <f>IF(H66&gt;H68,1,0)</f>
        <v>0</v>
      </c>
      <c r="J66" s="28">
        <f>IF(B66="",0,1)</f>
        <v>1</v>
      </c>
      <c r="K66" s="28">
        <f>IF(C66+F66=2,3,IF(C66+F66=1,1,0))</f>
        <v>3</v>
      </c>
      <c r="L66" s="28">
        <f>IF(K66=3,3,IF(I66+K66=2,2,IF(K66=1,1,0)))</f>
        <v>3</v>
      </c>
      <c r="M66" s="28">
        <f>B66+E66</f>
        <v>12</v>
      </c>
      <c r="N66" s="28">
        <f>C66+F66+I66</f>
        <v>2</v>
      </c>
      <c r="O66" s="28"/>
      <c r="P66" s="42" t="str">
        <f>AE50</f>
        <v>Simone Re</v>
      </c>
      <c r="Q66" s="43">
        <v>5.0</v>
      </c>
      <c r="R66" s="44">
        <f>IF(Q66&gt;Q68,1,0)</f>
        <v>0</v>
      </c>
      <c r="S66" s="45"/>
      <c r="T66" s="43">
        <v>2.0</v>
      </c>
      <c r="U66" s="44">
        <f>IF(T66&gt;T68,1,0)</f>
        <v>0</v>
      </c>
      <c r="V66" s="45"/>
      <c r="W66" s="46"/>
      <c r="X66" s="28">
        <f>IF(W66&gt;W68,1,0)</f>
        <v>0</v>
      </c>
      <c r="Y66" s="28">
        <f>IF(Q66="",0,1)</f>
        <v>1</v>
      </c>
      <c r="Z66" s="28">
        <f>IF(R66+U66=2,3,IF(R66+U66=1,1,0))</f>
        <v>0</v>
      </c>
      <c r="AA66" s="28">
        <f>IF(Z66=3,3,IF(X66+Z66=2,2,IF(Z66=1,1,0)))</f>
        <v>0</v>
      </c>
      <c r="AB66" s="28">
        <f>Q66+T66</f>
        <v>7</v>
      </c>
      <c r="AC66" s="28">
        <f>R66+U66+X66</f>
        <v>0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5.75" customHeight="1">
      <c r="A67" s="50" t="s">
        <v>82</v>
      </c>
      <c r="H67" s="51"/>
      <c r="I67" s="52"/>
      <c r="J67" s="28"/>
      <c r="K67" s="28"/>
      <c r="L67" s="28"/>
      <c r="M67" s="28"/>
      <c r="N67" s="28"/>
      <c r="O67" s="28"/>
      <c r="P67" s="50" t="s">
        <v>82</v>
      </c>
      <c r="W67" s="51"/>
      <c r="X67" s="52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5.75" customHeight="1">
      <c r="A68" s="53" t="str">
        <f>AE56</f>
        <v>Redent Scicluna</v>
      </c>
      <c r="B68" s="43">
        <v>0.0</v>
      </c>
      <c r="C68" s="54">
        <f>IF(B68&gt;B66,1,0)</f>
        <v>0</v>
      </c>
      <c r="D68" s="55"/>
      <c r="E68" s="43">
        <v>0.0</v>
      </c>
      <c r="F68" s="54">
        <f>IF(E68&gt;E66,1,0)</f>
        <v>0</v>
      </c>
      <c r="G68" s="55"/>
      <c r="H68" s="46"/>
      <c r="I68" s="28">
        <f>IF(H68&gt;H66,1,0)</f>
        <v>0</v>
      </c>
      <c r="J68" s="28">
        <f>IF(B68="",0,1)</f>
        <v>1</v>
      </c>
      <c r="K68" s="28">
        <f>IF(C68+F68=2,3,IF(C68+F68=1,1,0))</f>
        <v>0</v>
      </c>
      <c r="L68" s="28">
        <f>IF(K68=3,3,IF(I68+K68=2,2,IF(K68=1,1,0)))</f>
        <v>0</v>
      </c>
      <c r="M68" s="28">
        <f>B68+E68</f>
        <v>0</v>
      </c>
      <c r="N68" s="28">
        <f>C68+F68+I68</f>
        <v>0</v>
      </c>
      <c r="O68" s="104" t="s">
        <v>96</v>
      </c>
      <c r="P68" s="53" t="str">
        <f>AE52</f>
        <v>Matthew Micallef</v>
      </c>
      <c r="Q68" s="43">
        <v>7.0</v>
      </c>
      <c r="R68" s="54">
        <f>IF(Q68&gt;Q66,1,0)</f>
        <v>1</v>
      </c>
      <c r="S68" s="55"/>
      <c r="T68" s="43">
        <v>6.0</v>
      </c>
      <c r="U68" s="54">
        <f>IF(T68&gt;T66,1,0)</f>
        <v>1</v>
      </c>
      <c r="V68" s="55"/>
      <c r="W68" s="46"/>
      <c r="X68" s="28">
        <f>IF(W68&gt;W66,1,0)</f>
        <v>0</v>
      </c>
      <c r="Y68" s="28">
        <f>IF(Q68="",0,1)</f>
        <v>1</v>
      </c>
      <c r="Z68" s="28">
        <f>IF(R68+U68=2,3,IF(R68+U68=1,1,0))</f>
        <v>3</v>
      </c>
      <c r="AA68" s="28">
        <f>IF(Z68=3,3,IF(X68+Z68=2,2,IF(Z68=1,1,0)))</f>
        <v>3</v>
      </c>
      <c r="AB68" s="28">
        <f>Q68+T68</f>
        <v>13</v>
      </c>
      <c r="AC68" s="28">
        <f>R68+U68+X68</f>
        <v>2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5.75" customHeight="1">
      <c r="A69" s="28"/>
      <c r="B69" s="28"/>
      <c r="C69" s="28"/>
      <c r="D69" s="28"/>
      <c r="E69" s="37"/>
      <c r="F69" s="28"/>
      <c r="G69" s="28"/>
      <c r="H69" s="37"/>
      <c r="I69" s="28"/>
      <c r="J69" s="3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37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5.75" customHeight="1">
      <c r="A70" s="42" t="str">
        <f>AE50</f>
        <v>Simone Re</v>
      </c>
      <c r="B70" s="43">
        <v>7.0</v>
      </c>
      <c r="C70" s="44">
        <f>IF(B70&gt;B72,1,0)</f>
        <v>1</v>
      </c>
      <c r="D70" s="45"/>
      <c r="E70" s="43">
        <v>6.0</v>
      </c>
      <c r="F70" s="44">
        <f>IF(E70&gt;E72,1,0)</f>
        <v>1</v>
      </c>
      <c r="G70" s="45"/>
      <c r="H70" s="46"/>
      <c r="I70" s="28">
        <f>IF(H70&gt;H72,1,0)</f>
        <v>0</v>
      </c>
      <c r="J70" s="28">
        <f>IF(B70="",0,1)</f>
        <v>1</v>
      </c>
      <c r="K70" s="28">
        <f>IF(C70+F70=2,3,IF(C70+F70=1,1,0))</f>
        <v>3</v>
      </c>
      <c r="L70" s="28">
        <f>IF(K70=3,3,IF(I70+K70=2,2,IF(K70=1,1,0)))</f>
        <v>3</v>
      </c>
      <c r="M70" s="28">
        <f>B70+E70</f>
        <v>13</v>
      </c>
      <c r="N70" s="28">
        <f>C70+F70+I70</f>
        <v>2</v>
      </c>
      <c r="O70" s="28"/>
      <c r="P70" s="42" t="str">
        <f>AE50</f>
        <v>Simone Re</v>
      </c>
      <c r="Q70" s="43">
        <v>7.0</v>
      </c>
      <c r="R70" s="44">
        <f>IF(Q70&gt;Q72,1,0)</f>
        <v>1</v>
      </c>
      <c r="S70" s="45"/>
      <c r="T70" s="43">
        <v>6.0</v>
      </c>
      <c r="U70" s="44">
        <f>IF(T70&gt;T72,1,0)</f>
        <v>1</v>
      </c>
      <c r="V70" s="45"/>
      <c r="W70" s="46"/>
      <c r="X70" s="28">
        <f>IF(W70&gt;W72,1,0)</f>
        <v>0</v>
      </c>
      <c r="Y70" s="28">
        <f>IF(Q70="",0,1)</f>
        <v>1</v>
      </c>
      <c r="Z70" s="28">
        <f>IF(R70+U70=2,3,IF(R70+U70=1,1,0))</f>
        <v>3</v>
      </c>
      <c r="AA70" s="28">
        <f>IF(Z70=3,3,IF(X70+Z70=2,2,IF(Z70=1,1,0)))</f>
        <v>3</v>
      </c>
      <c r="AB70" s="28">
        <f>Q70+T70</f>
        <v>13</v>
      </c>
      <c r="AC70" s="28">
        <f>R70+U70+X70</f>
        <v>2</v>
      </c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5.75" customHeight="1">
      <c r="A71" s="50" t="s">
        <v>82</v>
      </c>
      <c r="H71" s="51"/>
      <c r="I71" s="52"/>
      <c r="J71" s="28"/>
      <c r="K71" s="28"/>
      <c r="L71" s="28"/>
      <c r="M71" s="28"/>
      <c r="N71" s="28"/>
      <c r="O71" s="28"/>
      <c r="P71" s="50" t="s">
        <v>82</v>
      </c>
      <c r="W71" s="51"/>
      <c r="X71" s="52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5.75" customHeight="1">
      <c r="A72" s="53" t="str">
        <f>AE54</f>
        <v>Jurgen Cachia</v>
      </c>
      <c r="B72" s="43">
        <v>5.0</v>
      </c>
      <c r="C72" s="54">
        <f>IF(B72&gt;B70,1,0)</f>
        <v>0</v>
      </c>
      <c r="D72" s="55"/>
      <c r="E72" s="43">
        <v>3.0</v>
      </c>
      <c r="F72" s="54">
        <f>IF(E72&gt;E70,1,0)</f>
        <v>0</v>
      </c>
      <c r="G72" s="55"/>
      <c r="H72" s="46"/>
      <c r="I72" s="28">
        <f>IF(H72&gt;H70,1,0)</f>
        <v>0</v>
      </c>
      <c r="J72" s="28">
        <f>IF(B72="",0,1)</f>
        <v>1</v>
      </c>
      <c r="K72" s="28">
        <f>IF(C72+F72=2,3,IF(C72+F72=1,1,0))</f>
        <v>0</v>
      </c>
      <c r="L72" s="28">
        <f>IF(K72=3,3,IF(I72+K72=2,2,IF(K72=1,1,0)))</f>
        <v>0</v>
      </c>
      <c r="M72" s="28">
        <f>B72+E72</f>
        <v>8</v>
      </c>
      <c r="N72" s="28">
        <f>C72+F72+I72</f>
        <v>0</v>
      </c>
      <c r="O72" s="28"/>
      <c r="P72" s="53" t="str">
        <f>AE56</f>
        <v>Redent Scicluna</v>
      </c>
      <c r="Q72" s="43">
        <v>6.0</v>
      </c>
      <c r="R72" s="54">
        <f>IF(Q72&gt;Q70,1,0)</f>
        <v>0</v>
      </c>
      <c r="S72" s="55"/>
      <c r="T72" s="43">
        <v>4.0</v>
      </c>
      <c r="U72" s="54">
        <f>IF(T72&gt;T70,1,0)</f>
        <v>0</v>
      </c>
      <c r="V72" s="55"/>
      <c r="W72" s="46"/>
      <c r="X72" s="28">
        <f>IF(W72&gt;W70,1,0)</f>
        <v>0</v>
      </c>
      <c r="Y72" s="28">
        <f>IF(Q72="",0,1)</f>
        <v>1</v>
      </c>
      <c r="Z72" s="28">
        <f>IF(R72+U72=2,3,IF(R72+U72=1,1,0))</f>
        <v>0</v>
      </c>
      <c r="AA72" s="28">
        <f>IF(Z72=3,3,IF(X72+Z72=2,2,IF(Z72=1,1,0)))</f>
        <v>0</v>
      </c>
      <c r="AB72" s="28">
        <f>Q72+T72</f>
        <v>10</v>
      </c>
      <c r="AC72" s="28">
        <f>R72+U72+X72</f>
        <v>0</v>
      </c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7"/>
      <c r="AI73" s="28"/>
      <c r="AJ73" s="28"/>
      <c r="AK73" s="28"/>
      <c r="AL73" s="28"/>
      <c r="AM73" s="28"/>
      <c r="AN73" s="28"/>
    </row>
    <row r="74" ht="15.75" customHeight="1">
      <c r="A74" s="42" t="str">
        <f>AE52</f>
        <v>Matthew Micallef</v>
      </c>
      <c r="B74" s="43">
        <v>6.0</v>
      </c>
      <c r="C74" s="44">
        <f>IF(B74&gt;B76,1,0)</f>
        <v>0</v>
      </c>
      <c r="D74" s="45"/>
      <c r="E74" s="43">
        <v>6.0</v>
      </c>
      <c r="F74" s="44">
        <f>IF(E74&gt;E76,1,0)</f>
        <v>1</v>
      </c>
      <c r="G74" s="45"/>
      <c r="H74" s="43">
        <v>8.0</v>
      </c>
      <c r="I74" s="28">
        <f>IF(H74&gt;H76,1,0)</f>
        <v>0</v>
      </c>
      <c r="J74" s="28">
        <f>IF(B74="",0,1)</f>
        <v>1</v>
      </c>
      <c r="K74" s="28">
        <f>IF(C74+F74=2,3,IF(C74+F74=1,1,0))</f>
        <v>1</v>
      </c>
      <c r="L74" s="28">
        <f>IF(K74=3,3,IF(I74+K74=2,2,IF(K74=1,1,0)))</f>
        <v>1</v>
      </c>
      <c r="M74" s="28">
        <f>B74+E74</f>
        <v>12</v>
      </c>
      <c r="N74" s="28">
        <f>C74+F74+I74</f>
        <v>1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5.75" customHeight="1">
      <c r="A75" s="50" t="s">
        <v>82</v>
      </c>
      <c r="H75" s="51"/>
      <c r="I75" s="52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5.75" customHeight="1">
      <c r="A76" s="53" t="str">
        <f>AE54</f>
        <v>Jurgen Cachia</v>
      </c>
      <c r="B76" s="43">
        <v>7.0</v>
      </c>
      <c r="C76" s="54">
        <f>IF(B76&gt;B74,1,0)</f>
        <v>1</v>
      </c>
      <c r="D76" s="55"/>
      <c r="E76" s="43">
        <v>2.0</v>
      </c>
      <c r="F76" s="54">
        <f>IF(E76&gt;E74,1,0)</f>
        <v>0</v>
      </c>
      <c r="G76" s="55"/>
      <c r="H76" s="43">
        <v>10.0</v>
      </c>
      <c r="I76" s="28">
        <f>IF(H76&gt;H74,1,0)</f>
        <v>1</v>
      </c>
      <c r="J76" s="28">
        <f>IF(B76="",0,1)</f>
        <v>1</v>
      </c>
      <c r="K76" s="28">
        <f>IF(C76+F76=2,3,IF(C76+F76=1,1,0))</f>
        <v>1</v>
      </c>
      <c r="L76" s="28">
        <f>IF(K76=3,3,IF(I76+K76=2,2,IF(K76=1,1,0)))</f>
        <v>2</v>
      </c>
      <c r="M76" s="28">
        <f>B76+E76</f>
        <v>9</v>
      </c>
      <c r="N76" s="28">
        <f>C76+F76+I76</f>
        <v>2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87" t="s">
        <v>89</v>
      </c>
      <c r="Q80" s="31"/>
      <c r="R80" s="31"/>
      <c r="S80" s="31"/>
      <c r="T80" s="31"/>
      <c r="U80" s="31"/>
      <c r="V80" s="31"/>
      <c r="W80" s="8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89" t="s">
        <v>62</v>
      </c>
      <c r="Q82" s="87" t="s">
        <v>63</v>
      </c>
      <c r="R82" s="31"/>
      <c r="S82" s="31"/>
      <c r="T82" s="32"/>
      <c r="U82" s="90"/>
      <c r="V82" s="91"/>
      <c r="W82" s="89" t="s">
        <v>64</v>
      </c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5.75" hidden="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38" t="s">
        <v>70</v>
      </c>
      <c r="R83" s="38" t="s">
        <v>71</v>
      </c>
      <c r="S83" s="38"/>
      <c r="T83" s="38" t="s">
        <v>70</v>
      </c>
      <c r="U83" s="38" t="s">
        <v>72</v>
      </c>
      <c r="V83" s="38"/>
      <c r="W83" s="38" t="s">
        <v>70</v>
      </c>
      <c r="X83" s="38" t="s">
        <v>73</v>
      </c>
      <c r="Y83" s="38" t="s">
        <v>74</v>
      </c>
      <c r="Z83" s="38" t="s">
        <v>75</v>
      </c>
      <c r="AA83" s="38" t="s">
        <v>76</v>
      </c>
      <c r="AB83" s="38" t="s">
        <v>77</v>
      </c>
      <c r="AC83" s="38" t="s">
        <v>78</v>
      </c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42" t="str">
        <f>AE22</f>
        <v/>
      </c>
      <c r="Q84" s="46"/>
      <c r="R84" s="44">
        <f>IF(Q84&gt;Q86,1,0)</f>
        <v>0</v>
      </c>
      <c r="S84" s="45"/>
      <c r="T84" s="46"/>
      <c r="U84" s="44">
        <f>IF(T84&gt;T86,1,0)</f>
        <v>0</v>
      </c>
      <c r="V84" s="45"/>
      <c r="W84" s="46"/>
      <c r="X84" s="28">
        <f>IF(W84&gt;W86,1,0)</f>
        <v>0</v>
      </c>
      <c r="Y84" s="28">
        <f>IF(Q84="",0,1)</f>
        <v>0</v>
      </c>
      <c r="Z84" s="28">
        <f>IF(R84+U84=2,3,IF(R84+U84=1,1,0))</f>
        <v>0</v>
      </c>
      <c r="AA84" s="28">
        <f>IF(Z84=3,3,IF(X84+Z84=2,2,IF(Z84=1,1,0)))</f>
        <v>0</v>
      </c>
      <c r="AB84" s="28">
        <f>Q84+T84</f>
        <v>0</v>
      </c>
      <c r="AC84" s="28">
        <f>R84+U84+X84</f>
        <v>0</v>
      </c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50" t="s">
        <v>82</v>
      </c>
      <c r="W85" s="51"/>
      <c r="X85" s="52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53" t="str">
        <f>AE59</f>
        <v/>
      </c>
      <c r="Q86" s="46"/>
      <c r="R86" s="54">
        <f>IF(Q86&gt;Q84,1,0)</f>
        <v>0</v>
      </c>
      <c r="S86" s="55"/>
      <c r="T86" s="46"/>
      <c r="U86" s="54">
        <f>IF(T86&gt;T84,1,0)</f>
        <v>0</v>
      </c>
      <c r="V86" s="55"/>
      <c r="W86" s="46"/>
      <c r="X86" s="28">
        <f>IF(W86&gt;W84,1,0)</f>
        <v>0</v>
      </c>
      <c r="Y86" s="28">
        <f>IF(Q86="",0,1)</f>
        <v>0</v>
      </c>
      <c r="Z86" s="28">
        <f>IF(R86+U86=2,3,IF(R86+U86=1,1,0))</f>
        <v>0</v>
      </c>
      <c r="AA86" s="28">
        <f>IF(Z86=3,3,IF(X86+Z86=2,2,IF(Z86=1,1,0)))</f>
        <v>0</v>
      </c>
      <c r="AB86" s="28">
        <f>Q86+T86</f>
        <v>0</v>
      </c>
      <c r="AC86" s="28">
        <f>R86+U86+X86</f>
        <v>0</v>
      </c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87" t="s">
        <v>90</v>
      </c>
      <c r="Q88" s="31"/>
      <c r="R88" s="31"/>
      <c r="S88" s="31"/>
      <c r="T88" s="31"/>
      <c r="U88" s="31"/>
      <c r="V88" s="31"/>
      <c r="W88" s="32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92" t="str">
        <f>IF(AA84&gt;AA86,P84,P86)</f>
        <v/>
      </c>
      <c r="Q89" s="93"/>
      <c r="R89" s="93"/>
      <c r="S89" s="93"/>
      <c r="T89" s="93"/>
      <c r="U89" s="93"/>
      <c r="V89" s="93"/>
      <c r="W89" s="94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87" t="s">
        <v>91</v>
      </c>
      <c r="Q92" s="31"/>
      <c r="R92" s="31"/>
      <c r="S92" s="31"/>
      <c r="T92" s="31"/>
      <c r="U92" s="31"/>
      <c r="V92" s="31"/>
      <c r="W92" s="32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92" t="str">
        <f>IF(AA84&lt;AA86,P84,P86)</f>
        <v/>
      </c>
      <c r="Q93" s="93"/>
      <c r="R93" s="93"/>
      <c r="S93" s="93"/>
      <c r="T93" s="93"/>
      <c r="U93" s="93"/>
      <c r="V93" s="93"/>
      <c r="W93" s="94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5.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37"/>
      <c r="R106" s="37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</sheetData>
  <mergeCells count="48">
    <mergeCell ref="A1:AI3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2:AI42"/>
    <mergeCell ref="Q44:T44"/>
    <mergeCell ref="P47:W47"/>
    <mergeCell ref="P51:W51"/>
    <mergeCell ref="P55:W55"/>
    <mergeCell ref="AE58:AI58"/>
    <mergeCell ref="P59:W59"/>
    <mergeCell ref="AE59:AI59"/>
    <mergeCell ref="A67:H67"/>
    <mergeCell ref="A71:H71"/>
    <mergeCell ref="A75:H75"/>
    <mergeCell ref="A38:H38"/>
    <mergeCell ref="B44:E44"/>
    <mergeCell ref="A47:H47"/>
    <mergeCell ref="A51:H51"/>
    <mergeCell ref="A55:H55"/>
    <mergeCell ref="A59:H59"/>
    <mergeCell ref="A63:H63"/>
    <mergeCell ref="P89:W89"/>
    <mergeCell ref="P92:W92"/>
    <mergeCell ref="P93:W93"/>
    <mergeCell ref="P63:W63"/>
    <mergeCell ref="P67:W67"/>
    <mergeCell ref="P71:W71"/>
    <mergeCell ref="P80:W80"/>
    <mergeCell ref="Q82:T82"/>
    <mergeCell ref="P85:W85"/>
    <mergeCell ref="P88:W88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1" width="5.5"/>
    <col customWidth="1" hidden="1" min="12" max="12" width="4.75"/>
    <col customWidth="1" hidden="1" min="13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6.25"/>
    <col customWidth="1" hidden="1" min="26" max="26" width="5.25"/>
    <col customWidth="1" hidden="1" min="27" max="27" width="5.0"/>
    <col customWidth="1" hidden="1" min="28" max="28" width="5.88"/>
    <col customWidth="1" hidden="1" min="29" max="29" width="6.13"/>
    <col customWidth="1" min="30" max="30" width="8.75"/>
    <col customWidth="1" min="31" max="31" width="39.88"/>
    <col customWidth="1" min="32" max="32" width="10.0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20.25" customHeight="1">
      <c r="A5" s="106" t="s">
        <v>39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  <c r="AM5" s="28"/>
      <c r="AN5" s="28"/>
    </row>
    <row r="6" ht="15.0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30.75" customHeight="1">
      <c r="A7" s="107" t="s">
        <v>62</v>
      </c>
      <c r="B7" s="108" t="s">
        <v>63</v>
      </c>
      <c r="C7" s="31"/>
      <c r="D7" s="31"/>
      <c r="E7" s="32"/>
      <c r="F7" s="66"/>
      <c r="G7" s="67"/>
      <c r="H7" s="107" t="s">
        <v>64</v>
      </c>
      <c r="I7" s="35"/>
      <c r="J7" s="35"/>
      <c r="K7" s="35"/>
      <c r="L7" s="35"/>
      <c r="M7" s="36"/>
      <c r="N7" s="36"/>
      <c r="O7" s="35"/>
      <c r="P7" s="107" t="s">
        <v>62</v>
      </c>
      <c r="Q7" s="108" t="s">
        <v>63</v>
      </c>
      <c r="R7" s="31"/>
      <c r="S7" s="31"/>
      <c r="T7" s="32"/>
      <c r="U7" s="66"/>
      <c r="V7" s="67"/>
      <c r="W7" s="107" t="s">
        <v>64</v>
      </c>
      <c r="X7" s="35"/>
      <c r="Y7" s="36"/>
      <c r="Z7" s="36"/>
      <c r="AA7" s="36"/>
      <c r="AB7" s="36"/>
      <c r="AC7" s="36"/>
      <c r="AD7" s="35"/>
      <c r="AE7" s="107" t="s">
        <v>65</v>
      </c>
      <c r="AF7" s="107" t="s">
        <v>66</v>
      </c>
      <c r="AG7" s="107" t="s">
        <v>67</v>
      </c>
      <c r="AH7" s="107" t="s">
        <v>68</v>
      </c>
      <c r="AI7" s="107" t="s">
        <v>69</v>
      </c>
      <c r="AJ7" s="37"/>
      <c r="AK7" s="37"/>
      <c r="AL7" s="37"/>
      <c r="AM7" s="28"/>
      <c r="AN7" s="28"/>
    </row>
    <row r="8" ht="14.25" hidden="1" customHeight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38" t="s">
        <v>79</v>
      </c>
      <c r="AK8" s="38" t="s">
        <v>92</v>
      </c>
      <c r="AL8" s="40" t="s">
        <v>80</v>
      </c>
      <c r="AM8" s="41" t="s">
        <v>81</v>
      </c>
      <c r="AN8" s="41" t="s">
        <v>93</v>
      </c>
    </row>
    <row r="9" ht="14.25" customHeight="1">
      <c r="A9" s="42" t="str">
        <f>AE9</f>
        <v>Clive Silvio Borg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28">
        <f>IF(H9&gt;H11,1,0)</f>
        <v>0</v>
      </c>
      <c r="J9" s="28">
        <f>IF(B9="",0,1)</f>
        <v>1</v>
      </c>
      <c r="K9" s="28">
        <f>IF(C9+F9=2,3,IF(C9+F9=1,1,0))</f>
        <v>3</v>
      </c>
      <c r="L9" s="28">
        <f>IF(K9=3,3,IF(I9+K9=2,2,IF(K9=1,1,0)))</f>
        <v>3</v>
      </c>
      <c r="M9" s="28">
        <f>B9+E9</f>
        <v>12</v>
      </c>
      <c r="N9" s="28">
        <f>C9+F9+I9</f>
        <v>2</v>
      </c>
      <c r="O9" s="28"/>
      <c r="P9" s="42" t="str">
        <f>AE9</f>
        <v>Clive Silvio Borg</v>
      </c>
      <c r="Q9" s="43">
        <v>6.0</v>
      </c>
      <c r="R9" s="44">
        <f>IF(Q9&gt;Q11,1,0)</f>
        <v>1</v>
      </c>
      <c r="S9" s="45"/>
      <c r="T9" s="43">
        <v>4.0</v>
      </c>
      <c r="U9" s="44">
        <f>IF(T9&gt;T11,1,0)</f>
        <v>0</v>
      </c>
      <c r="V9" s="45"/>
      <c r="W9" s="43">
        <v>5.0</v>
      </c>
      <c r="X9" s="28">
        <f>IF(W9&gt;W11,1,0)</f>
        <v>0</v>
      </c>
      <c r="Y9" s="28">
        <f>IF(Q9="",0,1)</f>
        <v>1</v>
      </c>
      <c r="Z9" s="28">
        <f>IF(R9+U9=2,3,IF(R9+U9=1,1,0))</f>
        <v>1</v>
      </c>
      <c r="AA9" s="28">
        <f>IF(Z9=3,3,IF(X9+Z9=2,2,IF(Z9=1,1,0)))</f>
        <v>1</v>
      </c>
      <c r="AB9" s="28">
        <f>Q9+T9</f>
        <v>10</v>
      </c>
      <c r="AC9" s="28">
        <f>R9+U9+X9</f>
        <v>1</v>
      </c>
      <c r="AD9" s="28"/>
      <c r="AE9" s="109" t="str">
        <f>'Players - Men'!B33</f>
        <v>Clive Silvio Borg</v>
      </c>
      <c r="AF9" s="48">
        <f>J9+Y9+J13+Y13+J17</f>
        <v>2</v>
      </c>
      <c r="AG9" s="48">
        <f t="shared" ref="AG9:AI9" si="1">L9+AA9+L13+AA13+L17</f>
        <v>4</v>
      </c>
      <c r="AH9" s="48">
        <f t="shared" si="1"/>
        <v>22</v>
      </c>
      <c r="AI9" s="49">
        <f t="shared" si="1"/>
        <v>3</v>
      </c>
      <c r="AJ9" s="28">
        <f>MAX(AG9:AG19)</f>
        <v>12</v>
      </c>
      <c r="AK9" s="28">
        <f>LARGE(AG9:AG19, 2)</f>
        <v>7</v>
      </c>
      <c r="AL9" s="28">
        <f>SUM(AF9:AF19)</f>
        <v>20</v>
      </c>
      <c r="AM9" s="28" t="str">
        <f>IF(AG9=$AJ$9,AE9,IF(AG11=$AJ$9,AE11,IF(AG13=$AJ$9,AE13,IF(AG15=$AJ$9,AE15,IF(AG17=$AJ$9,AE17,"")))))</f>
        <v>Matthias Cremona</v>
      </c>
      <c r="AN9" s="28" t="str">
        <f>IF(AG9=$AK$9,AE9,IF(AG11=$AK$9,AE11,IF(AG13=$AK$9,AE13,IF(AG15=$AK$9,AE15,IF(AG17=$AK$9,AE17,"")))))</f>
        <v>JP Sciberras</v>
      </c>
    </row>
    <row r="10" ht="14.25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37"/>
      <c r="AM10" s="28"/>
      <c r="AN10" s="28"/>
    </row>
    <row r="11" ht="14.25" customHeight="1">
      <c r="A11" s="53" t="str">
        <f>AE11</f>
        <v>Julian Galea Naudi</v>
      </c>
      <c r="B11" s="43">
        <v>0.0</v>
      </c>
      <c r="C11" s="54">
        <f>IF(B11&gt;B9,1,0)</f>
        <v>0</v>
      </c>
      <c r="D11" s="55"/>
      <c r="E11" s="43">
        <v>2.0</v>
      </c>
      <c r="F11" s="54">
        <f>IF(E11&gt;E9,1,0)</f>
        <v>0</v>
      </c>
      <c r="G11" s="55"/>
      <c r="H11" s="46"/>
      <c r="I11" s="28">
        <f>IF(H11&gt;H9,1,0)</f>
        <v>0</v>
      </c>
      <c r="J11" s="28">
        <f>IF(B11="",0,1)</f>
        <v>1</v>
      </c>
      <c r="K11" s="28">
        <f>IF(C11+F11=2,3,IF(C11+F11=1,1,0))</f>
        <v>0</v>
      </c>
      <c r="L11" s="28">
        <f>IF(K11=3,3,IF(I11+K11=2,2,IF(K11=1,1,0)))</f>
        <v>0</v>
      </c>
      <c r="M11" s="28">
        <f>B11+E11</f>
        <v>2</v>
      </c>
      <c r="N11" s="28">
        <f>C11+F11+I11</f>
        <v>0</v>
      </c>
      <c r="O11" s="28"/>
      <c r="P11" s="53" t="str">
        <f>AE13</f>
        <v>JP Sciberras</v>
      </c>
      <c r="Q11" s="43">
        <v>3.0</v>
      </c>
      <c r="R11" s="54">
        <f>IF(Q11&gt;Q9,1,0)</f>
        <v>0</v>
      </c>
      <c r="S11" s="55"/>
      <c r="T11" s="43">
        <v>6.0</v>
      </c>
      <c r="U11" s="54">
        <f>IF(T11&gt;T9,1,0)</f>
        <v>1</v>
      </c>
      <c r="V11" s="55"/>
      <c r="W11" s="43">
        <v>10.0</v>
      </c>
      <c r="X11" s="28">
        <f>IF(W11&gt;W9,1,0)</f>
        <v>1</v>
      </c>
      <c r="Y11" s="28">
        <f>IF(Q11="",0,1)</f>
        <v>1</v>
      </c>
      <c r="Z11" s="28">
        <f>IF(R11+U11=2,3,IF(R11+U11=1,1,0))</f>
        <v>1</v>
      </c>
      <c r="AA11" s="28">
        <f>IF(Z11=3,3,IF(X11+Z11=2,2,IF(Z11=1,1,0)))</f>
        <v>2</v>
      </c>
      <c r="AB11" s="28">
        <f>Q11+T11</f>
        <v>9</v>
      </c>
      <c r="AC11" s="28">
        <f>R11+U11+X11</f>
        <v>2</v>
      </c>
      <c r="AD11" s="28"/>
      <c r="AE11" s="109" t="str">
        <f>'Players - Men'!B34</f>
        <v>Julian Galea Naudi</v>
      </c>
      <c r="AF11" s="48">
        <f>J11+Y25+J25+Y21+J21</f>
        <v>3</v>
      </c>
      <c r="AG11" s="48">
        <f t="shared" ref="AG11:AI11" si="2">L11+AA25+L25+AA21+L21</f>
        <v>0</v>
      </c>
      <c r="AH11" s="48">
        <f t="shared" si="2"/>
        <v>7</v>
      </c>
      <c r="AI11" s="49">
        <f t="shared" si="2"/>
        <v>0</v>
      </c>
      <c r="AJ11" s="37"/>
      <c r="AK11" s="37"/>
      <c r="AL11" s="37"/>
      <c r="AM11" s="28"/>
      <c r="AN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37"/>
      <c r="AM12" s="28"/>
      <c r="AN12" s="28"/>
    </row>
    <row r="13" ht="14.25" customHeight="1">
      <c r="A13" s="42" t="str">
        <f>AE9</f>
        <v>Clive Silvio Borg</v>
      </c>
      <c r="B13" s="46"/>
      <c r="C13" s="44">
        <f>IF(B13&gt;B15,1,0)</f>
        <v>0</v>
      </c>
      <c r="D13" s="45"/>
      <c r="E13" s="46"/>
      <c r="F13" s="44">
        <f>IF(E13&gt;E15,1,0)</f>
        <v>0</v>
      </c>
      <c r="G13" s="45"/>
      <c r="H13" s="46"/>
      <c r="I13" s="28">
        <f>IF(H13&gt;H15,1,0)</f>
        <v>0</v>
      </c>
      <c r="J13" s="28">
        <f>IF(B13="",0,1)</f>
        <v>0</v>
      </c>
      <c r="K13" s="28">
        <f>IF(C13+F13=2,3,IF(C13+F13=1,1,0))</f>
        <v>0</v>
      </c>
      <c r="L13" s="28">
        <f>IF(K13=3,3,IF(I13+K13=2,2,IF(K13=1,1,0)))</f>
        <v>0</v>
      </c>
      <c r="M13" s="28">
        <f>B13+E13</f>
        <v>0</v>
      </c>
      <c r="N13" s="28">
        <f>C13+F13+I13</f>
        <v>0</v>
      </c>
      <c r="O13" s="28"/>
      <c r="P13" s="42" t="str">
        <f>AE9</f>
        <v>Clive Silvio Borg</v>
      </c>
      <c r="Q13" s="46"/>
      <c r="R13" s="44">
        <f>IF(Q13&gt;Q15,1,0)</f>
        <v>0</v>
      </c>
      <c r="S13" s="45"/>
      <c r="T13" s="46"/>
      <c r="U13" s="44">
        <f>IF(T13&gt;T15,1,0)</f>
        <v>0</v>
      </c>
      <c r="V13" s="45"/>
      <c r="W13" s="46"/>
      <c r="X13" s="28">
        <f>IF(W13&gt;W15,1,0)</f>
        <v>0</v>
      </c>
      <c r="Y13" s="28">
        <f>IF(Q13="",0,1)</f>
        <v>0</v>
      </c>
      <c r="Z13" s="28">
        <f>IF(R13+U13=2,3,IF(R13+U13=1,1,0))</f>
        <v>0</v>
      </c>
      <c r="AA13" s="28">
        <f>IF(Z13=3,3,IF(X13+Z13=2,2,IF(Z13=1,1,0)))</f>
        <v>0</v>
      </c>
      <c r="AB13" s="28">
        <f>Q13+T13</f>
        <v>0</v>
      </c>
      <c r="AC13" s="28">
        <f>R13+U13+X13</f>
        <v>0</v>
      </c>
      <c r="AD13" s="28"/>
      <c r="AE13" s="109" t="str">
        <f>'Players - Men'!B35</f>
        <v>JP Sciberras</v>
      </c>
      <c r="AF13" s="48">
        <f>Y29+Y11+Y33+J33+J23</f>
        <v>5</v>
      </c>
      <c r="AG13" s="48">
        <f t="shared" ref="AG13:AI13" si="3">AA29+AA11+AA33+L33+L23</f>
        <v>7</v>
      </c>
      <c r="AH13" s="48">
        <f t="shared" si="3"/>
        <v>48</v>
      </c>
      <c r="AI13" s="49">
        <f t="shared" si="3"/>
        <v>6</v>
      </c>
      <c r="AJ13" s="37"/>
      <c r="AK13" s="37"/>
      <c r="AL13" s="37"/>
      <c r="AM13" s="28"/>
      <c r="AN13" s="28"/>
    </row>
    <row r="14" ht="14.25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37"/>
      <c r="AM14" s="28"/>
      <c r="AN14" s="28"/>
    </row>
    <row r="15" ht="14.25" customHeight="1">
      <c r="A15" s="53" t="str">
        <f>AE15</f>
        <v>Matthias Cremona</v>
      </c>
      <c r="B15" s="46"/>
      <c r="C15" s="54">
        <f>IF(B15&gt;B13,1,0)</f>
        <v>0</v>
      </c>
      <c r="D15" s="55"/>
      <c r="E15" s="46"/>
      <c r="F15" s="54">
        <f>IF(E15&gt;E13,1,0)</f>
        <v>0</v>
      </c>
      <c r="G15" s="55"/>
      <c r="H15" s="46"/>
      <c r="I15" s="28">
        <f>IF(H15&gt;H13,1,0)</f>
        <v>0</v>
      </c>
      <c r="J15" s="28">
        <f>IF(B15="",0,1)</f>
        <v>0</v>
      </c>
      <c r="K15" s="28">
        <f>IF(C15+F15=2,3,IF(C15+F15=1,1,0))</f>
        <v>0</v>
      </c>
      <c r="L15" s="28">
        <f>IF(K15=3,3,IF(I15+K15=2,2,IF(K15=1,1,0)))</f>
        <v>0</v>
      </c>
      <c r="M15" s="28">
        <f>B15+E15</f>
        <v>0</v>
      </c>
      <c r="N15" s="28">
        <f>C15+F15+I15</f>
        <v>0</v>
      </c>
      <c r="O15" s="28"/>
      <c r="P15" s="53" t="str">
        <f>AE17</f>
        <v>Mickey Mitic</v>
      </c>
      <c r="Q15" s="46"/>
      <c r="R15" s="54">
        <f>IF(Q15&gt;Q13,1,0)</f>
        <v>0</v>
      </c>
      <c r="S15" s="55"/>
      <c r="T15" s="46"/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0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0</v>
      </c>
      <c r="AC15" s="28">
        <f>R15+U15+X15</f>
        <v>0</v>
      </c>
      <c r="AD15" s="28"/>
      <c r="AE15" s="109" t="str">
        <f>'Players - Men'!B36</f>
        <v>Matthias Cremona</v>
      </c>
      <c r="AF15" s="48">
        <f>Y31+J37+J15+Y23+J29</f>
        <v>4</v>
      </c>
      <c r="AG15" s="48">
        <f t="shared" ref="AG15:AI15" si="4">AA31+L37+L15+AA23+L29</f>
        <v>12</v>
      </c>
      <c r="AH15" s="48">
        <f t="shared" si="4"/>
        <v>49</v>
      </c>
      <c r="AI15" s="49">
        <f t="shared" si="4"/>
        <v>8</v>
      </c>
      <c r="AJ15" s="37"/>
      <c r="AK15" s="37"/>
      <c r="AL15" s="37"/>
      <c r="AM15" s="28"/>
      <c r="AN15" s="28"/>
    </row>
    <row r="16" ht="14.25" customHeight="1">
      <c r="A16" s="28"/>
      <c r="B16" s="3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37"/>
      <c r="AM16" s="28"/>
      <c r="AN16" s="28"/>
    </row>
    <row r="17" ht="14.25" customHeight="1">
      <c r="A17" s="42" t="str">
        <f>AE9</f>
        <v>Clive Silvio Borg</v>
      </c>
      <c r="B17" s="46"/>
      <c r="C17" s="44">
        <f>IF(B17&gt;B19,1,0)</f>
        <v>0</v>
      </c>
      <c r="D17" s="45"/>
      <c r="E17" s="46"/>
      <c r="F17" s="44">
        <f>IF(E17&gt;E19,1,0)</f>
        <v>0</v>
      </c>
      <c r="G17" s="45"/>
      <c r="H17" s="46"/>
      <c r="I17" s="28">
        <f>IF(H17&gt;H19,1,0)</f>
        <v>0</v>
      </c>
      <c r="J17" s="28">
        <f>IF(B17="",0,1)</f>
        <v>0</v>
      </c>
      <c r="K17" s="28">
        <f>IF(C17+F17=2,3,IF(C17+F17=1,1,0))</f>
        <v>0</v>
      </c>
      <c r="L17" s="28">
        <f>IF(K17=3,3,IF(I17+K17=2,2,IF(K17=1,1,0)))</f>
        <v>0</v>
      </c>
      <c r="M17" s="28">
        <f>B17+E17</f>
        <v>0</v>
      </c>
      <c r="N17" s="28">
        <f>C17+F17+I17</f>
        <v>0</v>
      </c>
      <c r="O17" s="28"/>
      <c r="P17" s="42" t="str">
        <f>AE17</f>
        <v>Mickey Mitic</v>
      </c>
      <c r="Q17" s="43">
        <v>3.0</v>
      </c>
      <c r="R17" s="44">
        <f>IF(Q17&gt;Q19,1,0)</f>
        <v>0</v>
      </c>
      <c r="S17" s="45"/>
      <c r="T17" s="43">
        <v>1.0</v>
      </c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4</v>
      </c>
      <c r="AC17" s="28">
        <f>R17+U17+X17</f>
        <v>0</v>
      </c>
      <c r="AD17" s="28"/>
      <c r="AE17" s="109" t="str">
        <f>'Players - Men'!B37</f>
        <v>Mickey Mitic</v>
      </c>
      <c r="AF17" s="48">
        <f>Y17+J39+J27+Y15+J35</f>
        <v>3</v>
      </c>
      <c r="AG17" s="48">
        <f t="shared" ref="AG17:AI17" si="5">AA17+L39+L27+AA15+L35</f>
        <v>1</v>
      </c>
      <c r="AH17" s="48">
        <f t="shared" si="5"/>
        <v>21</v>
      </c>
      <c r="AI17" s="49">
        <f t="shared" si="5"/>
        <v>1</v>
      </c>
      <c r="AJ17" s="37"/>
      <c r="AK17" s="37"/>
      <c r="AL17" s="37"/>
      <c r="AM17" s="28"/>
      <c r="AN17" s="28"/>
    </row>
    <row r="18" ht="14.25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37"/>
      <c r="AM18" s="28"/>
      <c r="AN18" s="28"/>
    </row>
    <row r="19" ht="14.25" customHeight="1">
      <c r="A19" s="53" t="str">
        <f>AE19</f>
        <v>Sean Cachia</v>
      </c>
      <c r="B19" s="46"/>
      <c r="C19" s="54">
        <f>IF(B19&gt;B17,1,0)</f>
        <v>0</v>
      </c>
      <c r="D19" s="55"/>
      <c r="E19" s="46"/>
      <c r="F19" s="54">
        <f>IF(E19&gt;E17,1,0)</f>
        <v>0</v>
      </c>
      <c r="G19" s="55"/>
      <c r="H19" s="46"/>
      <c r="I19" s="28">
        <f>IF(H19&gt;H17,1,0)</f>
        <v>0</v>
      </c>
      <c r="J19" s="28">
        <f>IF(B19="",0,1)</f>
        <v>0</v>
      </c>
      <c r="K19" s="28">
        <f>IF(C19+F19=2,3,IF(C19+F19=1,1,0))</f>
        <v>0</v>
      </c>
      <c r="L19" s="28">
        <f>IF(K19=3,3,IF(I19+K19=2,2,IF(K19=1,1,0)))</f>
        <v>0</v>
      </c>
      <c r="M19" s="28">
        <f>B19+E19</f>
        <v>0</v>
      </c>
      <c r="N19" s="28">
        <f>C19+F19+I19</f>
        <v>0</v>
      </c>
      <c r="O19" s="28"/>
      <c r="P19" s="53" t="str">
        <f>AE19</f>
        <v>Sean Cachia</v>
      </c>
      <c r="Q19" s="43">
        <v>6.0</v>
      </c>
      <c r="R19" s="54">
        <f>IF(Q19&gt;Q17,1,0)</f>
        <v>1</v>
      </c>
      <c r="S19" s="55"/>
      <c r="T19" s="43">
        <v>6.0</v>
      </c>
      <c r="U19" s="54">
        <f>IF(T19&gt;T17,1,0)</f>
        <v>1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3</v>
      </c>
      <c r="AA19" s="28">
        <f>IF(Z19=3,3,IF(X19+Z19=2,2,IF(Z19=1,1,0)))</f>
        <v>3</v>
      </c>
      <c r="AB19" s="28">
        <f>Q19+T19</f>
        <v>12</v>
      </c>
      <c r="AC19" s="28">
        <f>R19+U19+X19</f>
        <v>2</v>
      </c>
      <c r="AD19" s="28"/>
      <c r="AE19" s="109" t="str">
        <f>'Players - Men'!B38</f>
        <v>Sean Cachia</v>
      </c>
      <c r="AF19" s="48">
        <f>Y19+Y27+Y35+J19+J31</f>
        <v>3</v>
      </c>
      <c r="AG19" s="48">
        <f t="shared" ref="AG19:AI19" si="6">AA19+AA27+AA35+L19+L31</f>
        <v>6</v>
      </c>
      <c r="AH19" s="48">
        <f t="shared" si="6"/>
        <v>28</v>
      </c>
      <c r="AI19" s="49">
        <f t="shared" si="6"/>
        <v>4</v>
      </c>
      <c r="AJ19" s="28"/>
      <c r="AK19" s="37"/>
      <c r="AL19" s="37"/>
      <c r="AM19" s="28"/>
      <c r="AN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37"/>
      <c r="AL20" s="28"/>
      <c r="AM20" s="28"/>
      <c r="AN20" s="28"/>
    </row>
    <row r="21" ht="14.25" customHeight="1">
      <c r="A21" s="42" t="str">
        <f>AE11</f>
        <v>Julian Galea Naudi</v>
      </c>
      <c r="B21" s="43">
        <v>0.0</v>
      </c>
      <c r="C21" s="44">
        <f>IF(B21&gt;B23,1,0)</f>
        <v>0</v>
      </c>
      <c r="D21" s="45"/>
      <c r="E21" s="43">
        <v>2.0</v>
      </c>
      <c r="F21" s="44">
        <f>IF(E21&gt;E23,1,0)</f>
        <v>0</v>
      </c>
      <c r="G21" s="45"/>
      <c r="H21" s="46"/>
      <c r="I21" s="28">
        <f>IF(H21&gt;H23,1,0)</f>
        <v>0</v>
      </c>
      <c r="J21" s="28">
        <f>IF(B21="",0,1)</f>
        <v>1</v>
      </c>
      <c r="K21" s="28">
        <f>IF(C21+F21=2,3,IF(C21+F21=1,1,0))</f>
        <v>0</v>
      </c>
      <c r="L21" s="28">
        <f>IF(K21=3,3,IF(I21+K21=2,2,IF(K21=1,1,0)))</f>
        <v>0</v>
      </c>
      <c r="M21" s="28">
        <f>B21+E21</f>
        <v>2</v>
      </c>
      <c r="N21" s="28">
        <f>C21+F21+I21</f>
        <v>0</v>
      </c>
      <c r="O21" s="28"/>
      <c r="P21" s="42" t="str">
        <f>AE11</f>
        <v>Julian Galea Naudi</v>
      </c>
      <c r="Q21" s="43">
        <v>2.0</v>
      </c>
      <c r="R21" s="44">
        <f>IF(Q21&gt;Q23,1,0)</f>
        <v>0</v>
      </c>
      <c r="S21" s="45"/>
      <c r="T21" s="43">
        <v>1.0</v>
      </c>
      <c r="U21" s="44">
        <f>IF(T21&gt;T23,1,0)</f>
        <v>0</v>
      </c>
      <c r="V21" s="45"/>
      <c r="W21" s="46"/>
      <c r="X21" s="28">
        <f>IF(W21&gt;W23,1,0)</f>
        <v>0</v>
      </c>
      <c r="Y21" s="28">
        <f>IF(Q21="",0,1)</f>
        <v>1</v>
      </c>
      <c r="Z21" s="28">
        <f>IF(R21+U21=2,3,IF(R21+U21=1,1,0))</f>
        <v>0</v>
      </c>
      <c r="AA21" s="28">
        <f>IF(Z21=3,3,IF(X21+Z21=2,2,IF(Z21=1,1,0)))</f>
        <v>0</v>
      </c>
      <c r="AB21" s="28">
        <f>Q21+T21</f>
        <v>3</v>
      </c>
      <c r="AC21" s="28">
        <f>R21+U21+X21</f>
        <v>0</v>
      </c>
      <c r="AD21" s="28"/>
      <c r="AE21" s="110" t="s">
        <v>83</v>
      </c>
      <c r="AF21" s="31"/>
      <c r="AG21" s="31"/>
      <c r="AH21" s="31"/>
      <c r="AI21" s="32"/>
      <c r="AJ21" s="28"/>
      <c r="AK21" s="28"/>
      <c r="AL21" s="28"/>
      <c r="AM21" s="28"/>
      <c r="AN21" s="28"/>
    </row>
    <row r="22" ht="14.25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E22" s="59"/>
      <c r="AF22" s="31"/>
      <c r="AG22" s="31"/>
      <c r="AH22" s="31"/>
      <c r="AI22" s="32"/>
      <c r="AJ22" s="28"/>
      <c r="AK22" s="37"/>
      <c r="AL22" s="28"/>
      <c r="AM22" s="28"/>
      <c r="AN22" s="28"/>
    </row>
    <row r="23" ht="14.25" customHeight="1">
      <c r="A23" s="53" t="str">
        <f>AE13</f>
        <v>JP Sciberras</v>
      </c>
      <c r="B23" s="43">
        <v>6.0</v>
      </c>
      <c r="C23" s="54">
        <f>IF(B23&gt;B21,1,0)</f>
        <v>1</v>
      </c>
      <c r="D23" s="55"/>
      <c r="E23" s="43">
        <v>6.0</v>
      </c>
      <c r="F23" s="54">
        <f>IF(E23&gt;E21,1,0)</f>
        <v>1</v>
      </c>
      <c r="G23" s="55"/>
      <c r="H23" s="46"/>
      <c r="I23" s="28">
        <f>IF(H23&gt;H21,1,0)</f>
        <v>0</v>
      </c>
      <c r="J23" s="28">
        <f>IF(B23="",0,1)</f>
        <v>1</v>
      </c>
      <c r="K23" s="28">
        <f>IF(C23+F23=2,3,IF(C23+F23=1,1,0))</f>
        <v>3</v>
      </c>
      <c r="L23" s="28">
        <f>IF(K23=3,3,IF(I23+K23=2,2,IF(K23=1,1,0)))</f>
        <v>3</v>
      </c>
      <c r="M23" s="28">
        <f>B23+E23</f>
        <v>12</v>
      </c>
      <c r="N23" s="28">
        <f>C23+F23+I23</f>
        <v>2</v>
      </c>
      <c r="O23" s="28"/>
      <c r="P23" s="53" t="str">
        <f>AE15</f>
        <v>Matthias Cremona</v>
      </c>
      <c r="Q23" s="43">
        <v>6.0</v>
      </c>
      <c r="R23" s="54">
        <f>IF(Q23&gt;Q21,1,0)</f>
        <v>1</v>
      </c>
      <c r="S23" s="55"/>
      <c r="T23" s="43">
        <v>6.0</v>
      </c>
      <c r="U23" s="54">
        <f>IF(T23&gt;T21,1,0)</f>
        <v>1</v>
      </c>
      <c r="V23" s="55"/>
      <c r="W23" s="46"/>
      <c r="X23" s="28">
        <f>IF(W23&gt;W21,1,0)</f>
        <v>0</v>
      </c>
      <c r="Y23" s="28">
        <f>IF(Q23="",0,1)</f>
        <v>1</v>
      </c>
      <c r="Z23" s="28">
        <f>IF(R23+U23=2,3,IF(R23+U23=1,1,0))</f>
        <v>3</v>
      </c>
      <c r="AA23" s="28">
        <f>IF(Z23=3,3,IF(X23+Z23=2,2,IF(Z23=1,1,0)))</f>
        <v>3</v>
      </c>
      <c r="AB23" s="28">
        <f>Q23+T23</f>
        <v>12</v>
      </c>
      <c r="AC23" s="28">
        <f>R23+U23+X23</f>
        <v>2</v>
      </c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ht="14.25" customHeight="1">
      <c r="A25" s="42" t="str">
        <f>AE11</f>
        <v>Julian Galea Naudi</v>
      </c>
      <c r="B25" s="46"/>
      <c r="C25" s="44">
        <f>IF(B25&gt;B27,1,0)</f>
        <v>0</v>
      </c>
      <c r="D25" s="45"/>
      <c r="E25" s="46"/>
      <c r="F25" s="44">
        <f>IF(E25&gt;E27,1,0)</f>
        <v>0</v>
      </c>
      <c r="G25" s="45"/>
      <c r="H25" s="46"/>
      <c r="I25" s="28">
        <f>IF(H25&gt;H27,1,0)</f>
        <v>0</v>
      </c>
      <c r="J25" s="28">
        <f>IF(B25="",0,1)</f>
        <v>0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0</v>
      </c>
      <c r="N25" s="28">
        <f>C25+F25+I25</f>
        <v>0</v>
      </c>
      <c r="O25" s="28"/>
      <c r="P25" s="42" t="str">
        <f>AE11</f>
        <v>Julian Galea Naudi</v>
      </c>
      <c r="Q25" s="46"/>
      <c r="R25" s="44">
        <f>IF(Q25&gt;Q27,1,0)</f>
        <v>0</v>
      </c>
      <c r="S25" s="45"/>
      <c r="T25" s="46"/>
      <c r="U25" s="44">
        <f>IF(T25&gt;T27,1,0)</f>
        <v>0</v>
      </c>
      <c r="V25" s="45"/>
      <c r="W25" s="46"/>
      <c r="X25" s="28">
        <f>IF(W25&gt;W27,1,0)</f>
        <v>0</v>
      </c>
      <c r="Y25" s="28">
        <f>IF(Q25="",0,1)</f>
        <v>0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0</v>
      </c>
      <c r="AC25" s="28">
        <f>R25+U25+X25</f>
        <v>0</v>
      </c>
      <c r="AD25" s="28"/>
      <c r="AE25" s="28"/>
      <c r="AF25" s="28"/>
      <c r="AG25" s="28"/>
      <c r="AH25" s="37"/>
      <c r="AI25" s="28"/>
      <c r="AJ25" s="28"/>
      <c r="AK25" s="28"/>
      <c r="AL25" s="28"/>
      <c r="AM25" s="28"/>
      <c r="AN25" s="28"/>
    </row>
    <row r="26" ht="14.25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ht="14.25" customHeight="1">
      <c r="A27" s="53" t="str">
        <f>AE17</f>
        <v>Mickey Mitic</v>
      </c>
      <c r="B27" s="46"/>
      <c r="C27" s="54">
        <f>IF(B27&gt;B25,1,0)</f>
        <v>0</v>
      </c>
      <c r="D27" s="55"/>
      <c r="E27" s="46"/>
      <c r="F27" s="54">
        <f>IF(E27&gt;E25,1,0)</f>
        <v>0</v>
      </c>
      <c r="G27" s="55"/>
      <c r="H27" s="46"/>
      <c r="I27" s="28">
        <f>IF(H27&gt;H25,1,0)</f>
        <v>0</v>
      </c>
      <c r="J27" s="28">
        <f>IF(B27="",0,1)</f>
        <v>0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0</v>
      </c>
      <c r="N27" s="28">
        <f>C27+F27+I27</f>
        <v>0</v>
      </c>
      <c r="O27" s="28"/>
      <c r="P27" s="53" t="str">
        <f>AE19</f>
        <v>Sean Cachia</v>
      </c>
      <c r="Q27" s="46"/>
      <c r="R27" s="54">
        <f>IF(Q27&gt;Q25,1,0)</f>
        <v>0</v>
      </c>
      <c r="S27" s="55"/>
      <c r="T27" s="46"/>
      <c r="U27" s="54">
        <f>IF(T27&gt;T25,1,0)</f>
        <v>0</v>
      </c>
      <c r="V27" s="55"/>
      <c r="W27" s="46"/>
      <c r="X27" s="28">
        <f>IF(W27&gt;W25,1,0)</f>
        <v>0</v>
      </c>
      <c r="Y27" s="28">
        <f>IF(Q27="",0,1)</f>
        <v>0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0</v>
      </c>
      <c r="AC27" s="28">
        <f>R27+U27+X27</f>
        <v>0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  <c r="AM28" s="28"/>
      <c r="AN28" s="28"/>
    </row>
    <row r="29" ht="14.25" customHeight="1">
      <c r="A29" s="42" t="str">
        <f>AE15</f>
        <v>Matthias Cremona</v>
      </c>
      <c r="B29" s="43">
        <v>6.0</v>
      </c>
      <c r="C29" s="44">
        <f>IF(B29&gt;B31,1,0)</f>
        <v>1</v>
      </c>
      <c r="D29" s="45"/>
      <c r="E29" s="43">
        <v>6.0</v>
      </c>
      <c r="F29" s="44">
        <f>IF(E29&gt;E31,1,0)</f>
        <v>1</v>
      </c>
      <c r="G29" s="45"/>
      <c r="H29" s="46"/>
      <c r="I29" s="28">
        <f>IF(H29&gt;H31,1,0)</f>
        <v>0</v>
      </c>
      <c r="J29" s="28">
        <f>IF(B29="",0,1)</f>
        <v>1</v>
      </c>
      <c r="K29" s="28">
        <f>IF(C29+F29=2,3,IF(C29+F29=1,1,0))</f>
        <v>3</v>
      </c>
      <c r="L29" s="28">
        <f>IF(K29=3,3,IF(I29+K29=2,2,IF(K29=1,1,0)))</f>
        <v>3</v>
      </c>
      <c r="M29" s="28">
        <f>B29+E29</f>
        <v>12</v>
      </c>
      <c r="N29" s="28">
        <f>C29+F29+I29</f>
        <v>2</v>
      </c>
      <c r="O29" s="28"/>
      <c r="P29" s="42" t="str">
        <f>AE13</f>
        <v>JP Sciberras</v>
      </c>
      <c r="Q29" s="43">
        <v>2.0</v>
      </c>
      <c r="R29" s="44">
        <f>IF(Q29&gt;Q31,1,0)</f>
        <v>0</v>
      </c>
      <c r="S29" s="45"/>
      <c r="T29" s="43">
        <v>5.0</v>
      </c>
      <c r="U29" s="44">
        <f>IF(T29&gt;T31,1,0)</f>
        <v>0</v>
      </c>
      <c r="V29" s="45"/>
      <c r="W29" s="46"/>
      <c r="X29" s="28">
        <f>IF(W29&gt;W31,1,0)</f>
        <v>0</v>
      </c>
      <c r="Y29" s="28">
        <f>IF(Q29="",0,1)</f>
        <v>1</v>
      </c>
      <c r="Z29" s="28">
        <f>IF(R29+U29=2,3,IF(R29+U29=1,1,0))</f>
        <v>0</v>
      </c>
      <c r="AA29" s="28">
        <f>IF(Z29=3,3,IF(X29+Z29=2,2,IF(Z29=1,1,0)))</f>
        <v>0</v>
      </c>
      <c r="AB29" s="28">
        <f>Q29+T29</f>
        <v>7</v>
      </c>
      <c r="AC29" s="28">
        <f>R29+U29+X29</f>
        <v>0</v>
      </c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4.25" customHeight="1">
      <c r="A30" s="50" t="s">
        <v>82</v>
      </c>
      <c r="H30" s="51"/>
      <c r="I30" s="52"/>
      <c r="J30" s="28"/>
      <c r="K30" s="28"/>
      <c r="L30" s="28"/>
      <c r="M30" s="28"/>
      <c r="N30" s="28"/>
      <c r="O30" s="28"/>
      <c r="P30" s="50" t="s">
        <v>82</v>
      </c>
      <c r="W30" s="51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60"/>
      <c r="AM30" s="28"/>
      <c r="AN30" s="28"/>
    </row>
    <row r="31" ht="14.25" customHeight="1">
      <c r="A31" s="53" t="str">
        <f>AE19</f>
        <v>Sean Cachia</v>
      </c>
      <c r="B31" s="43">
        <v>2.0</v>
      </c>
      <c r="C31" s="54">
        <f>IF(B31&gt;B29,1,0)</f>
        <v>0</v>
      </c>
      <c r="D31" s="55"/>
      <c r="E31" s="43">
        <v>1.0</v>
      </c>
      <c r="F31" s="54">
        <f>IF(E31&gt;E29,1,0)</f>
        <v>0</v>
      </c>
      <c r="G31" s="55"/>
      <c r="H31" s="46"/>
      <c r="I31" s="28">
        <f>IF(H31&gt;H29,1,0)</f>
        <v>0</v>
      </c>
      <c r="J31" s="28">
        <f>IF(B31="",0,1)</f>
        <v>1</v>
      </c>
      <c r="K31" s="28">
        <f>IF(C31+F31=2,3,IF(C31+F31=1,1,0))</f>
        <v>0</v>
      </c>
      <c r="L31" s="28">
        <f>IF(K31=3,3,IF(I31+K31=2,2,IF(K31=1,1,0)))</f>
        <v>0</v>
      </c>
      <c r="M31" s="28">
        <f>B31+E31</f>
        <v>3</v>
      </c>
      <c r="N31" s="28">
        <f>C31+F31+I31</f>
        <v>0</v>
      </c>
      <c r="O31" s="28"/>
      <c r="P31" s="53" t="str">
        <f>AE15</f>
        <v>Matthias Cremona</v>
      </c>
      <c r="Q31" s="43">
        <v>6.0</v>
      </c>
      <c r="R31" s="54">
        <f>IF(Q31&gt;Q29,1,0)</f>
        <v>1</v>
      </c>
      <c r="S31" s="55"/>
      <c r="T31" s="43">
        <v>7.0</v>
      </c>
      <c r="U31" s="54">
        <f>IF(T31&gt;T29,1,0)</f>
        <v>1</v>
      </c>
      <c r="V31" s="55"/>
      <c r="W31" s="46"/>
      <c r="X31" s="28">
        <f>IF(W31&gt;W29,1,0)</f>
        <v>0</v>
      </c>
      <c r="Y31" s="28">
        <f>IF(Q31="",0,1)</f>
        <v>1</v>
      </c>
      <c r="Z31" s="28">
        <f>IF(R31+U31=2,3,IF(R31+U31=1,1,0))</f>
        <v>3</v>
      </c>
      <c r="AA31" s="28">
        <f>IF(Z31=3,3,IF(X31+Z31=2,2,IF(Z31=1,1,0)))</f>
        <v>3</v>
      </c>
      <c r="AB31" s="28">
        <f>Q31+T31</f>
        <v>13</v>
      </c>
      <c r="AC31" s="28">
        <f>R31+U31+X31</f>
        <v>2</v>
      </c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7"/>
    </row>
    <row r="32" ht="14.25" customHeight="1">
      <c r="A32" s="28"/>
      <c r="B32" s="28"/>
      <c r="C32" s="28"/>
      <c r="D32" s="28"/>
      <c r="E32" s="37"/>
      <c r="F32" s="28"/>
      <c r="G32" s="28"/>
      <c r="H32" s="37"/>
      <c r="I32" s="28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60"/>
      <c r="AM32" s="28"/>
      <c r="AN32" s="28"/>
    </row>
    <row r="33" ht="14.25" customHeight="1">
      <c r="A33" s="42" t="str">
        <f>AE13</f>
        <v>JP Sciberras</v>
      </c>
      <c r="B33" s="43">
        <v>5.0</v>
      </c>
      <c r="C33" s="44">
        <f>IF(B33&gt;B35,1,0)</f>
        <v>0</v>
      </c>
      <c r="D33" s="45"/>
      <c r="E33" s="43">
        <v>7.0</v>
      </c>
      <c r="F33" s="44">
        <f>IF(E33&gt;E35,1,0)</f>
        <v>1</v>
      </c>
      <c r="G33" s="45"/>
      <c r="H33" s="43">
        <v>11.0</v>
      </c>
      <c r="I33" s="28">
        <f>IF(H33&gt;H35,1,0)</f>
        <v>1</v>
      </c>
      <c r="J33" s="28">
        <f>IF(B33="",0,1)</f>
        <v>1</v>
      </c>
      <c r="K33" s="28">
        <f>IF(C33+F33=2,3,IF(C33+F33=1,1,0))</f>
        <v>1</v>
      </c>
      <c r="L33" s="28">
        <f>IF(K33=3,3,IF(I33+K33=2,2,IF(K33=1,1,0)))</f>
        <v>2</v>
      </c>
      <c r="M33" s="28">
        <f>B33+E33</f>
        <v>12</v>
      </c>
      <c r="N33" s="28">
        <f>C33+F33+I33</f>
        <v>2</v>
      </c>
      <c r="O33" s="28"/>
      <c r="P33" s="42" t="str">
        <f>AE13</f>
        <v>JP Sciberras</v>
      </c>
      <c r="Q33" s="43">
        <v>2.0</v>
      </c>
      <c r="R33" s="44">
        <f>IF(Q33&gt;Q35,1,0)</f>
        <v>0</v>
      </c>
      <c r="S33" s="45"/>
      <c r="T33" s="43">
        <v>6.0</v>
      </c>
      <c r="U33" s="44">
        <f>IF(T33&gt;T35,1,0)</f>
        <v>0</v>
      </c>
      <c r="V33" s="45"/>
      <c r="W33" s="46"/>
      <c r="X33" s="28">
        <f>IF(W33&gt;W35,1,0)</f>
        <v>0</v>
      </c>
      <c r="Y33" s="28">
        <f>IF(Q33="",0,1)</f>
        <v>1</v>
      </c>
      <c r="Z33" s="28">
        <f>IF(R33+U33=2,3,IF(R33+U33=1,1,0))</f>
        <v>0</v>
      </c>
      <c r="AA33" s="28">
        <f>IF(Z33=3,3,IF(X33+Z33=2,2,IF(Z33=1,1,0)))</f>
        <v>0</v>
      </c>
      <c r="AB33" s="28">
        <f>Q33+T33</f>
        <v>8</v>
      </c>
      <c r="AC33" s="28">
        <f>R33+U33+X33</f>
        <v>0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4.25" customHeight="1">
      <c r="A34" s="50" t="s">
        <v>82</v>
      </c>
      <c r="H34" s="51"/>
      <c r="I34" s="52"/>
      <c r="J34" s="28"/>
      <c r="K34" s="28"/>
      <c r="L34" s="28"/>
      <c r="M34" s="28"/>
      <c r="N34" s="28"/>
      <c r="O34" s="28"/>
      <c r="P34" s="50" t="s">
        <v>82</v>
      </c>
      <c r="W34" s="51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4.25" customHeight="1">
      <c r="A35" s="53" t="str">
        <f>AE17</f>
        <v>Mickey Mitic</v>
      </c>
      <c r="B35" s="43">
        <v>7.0</v>
      </c>
      <c r="C35" s="54">
        <f>IF(B35&gt;B33,1,0)</f>
        <v>1</v>
      </c>
      <c r="D35" s="55"/>
      <c r="E35" s="43">
        <v>6.0</v>
      </c>
      <c r="F35" s="54">
        <f>IF(E35&gt;E33,1,0)</f>
        <v>0</v>
      </c>
      <c r="G35" s="55"/>
      <c r="H35" s="43">
        <v>9.0</v>
      </c>
      <c r="I35" s="28">
        <f>IF(H35&gt;H33,1,0)</f>
        <v>0</v>
      </c>
      <c r="J35" s="28">
        <f>IF(B35="",0,1)</f>
        <v>1</v>
      </c>
      <c r="K35" s="28">
        <f>IF(C35+F35=2,3,IF(C35+F35=1,1,0))</f>
        <v>1</v>
      </c>
      <c r="L35" s="28">
        <f>IF(K35=3,3,IF(I35+K35=2,2,IF(K35=1,1,0)))</f>
        <v>1</v>
      </c>
      <c r="M35" s="28">
        <f>B35+E35</f>
        <v>13</v>
      </c>
      <c r="N35" s="28">
        <f>C35+F35+I35</f>
        <v>1</v>
      </c>
      <c r="O35" s="28"/>
      <c r="P35" s="53" t="str">
        <f>AE19</f>
        <v>Sean Cachia</v>
      </c>
      <c r="Q35" s="43">
        <v>6.0</v>
      </c>
      <c r="R35" s="54">
        <f>IF(Q35&gt;Q33,1,0)</f>
        <v>1</v>
      </c>
      <c r="S35" s="55"/>
      <c r="T35" s="43">
        <v>7.0</v>
      </c>
      <c r="U35" s="54">
        <f>IF(T35&gt;T33,1,0)</f>
        <v>1</v>
      </c>
      <c r="V35" s="55"/>
      <c r="W35" s="46"/>
      <c r="X35" s="28">
        <f>IF(W35&gt;W33,1,0)</f>
        <v>0</v>
      </c>
      <c r="Y35" s="28">
        <f>IF(Q35="",0,1)</f>
        <v>1</v>
      </c>
      <c r="Z35" s="28">
        <f>IF(R35+U35=2,3,IF(R35+U35=1,1,0))</f>
        <v>3</v>
      </c>
      <c r="AA35" s="28">
        <f>IF(Z35=3,3,IF(X35+Z35=2,2,IF(Z35=1,1,0)))</f>
        <v>3</v>
      </c>
      <c r="AB35" s="28">
        <f>Q35+T35</f>
        <v>13</v>
      </c>
      <c r="AC35" s="28">
        <f>R35+U35+X35</f>
        <v>2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37"/>
      <c r="AL36" s="28"/>
      <c r="AM36" s="28"/>
      <c r="AN36" s="28"/>
    </row>
    <row r="37" ht="14.25" customHeight="1">
      <c r="A37" s="42" t="str">
        <f>AE15</f>
        <v>Matthias Cremona</v>
      </c>
      <c r="B37" s="43">
        <v>6.0</v>
      </c>
      <c r="C37" s="44">
        <f>IF(B37&gt;B39,1,0)</f>
        <v>1</v>
      </c>
      <c r="D37" s="45"/>
      <c r="E37" s="43">
        <v>6.0</v>
      </c>
      <c r="F37" s="44">
        <f>IF(E37&gt;E39,1,0)</f>
        <v>1</v>
      </c>
      <c r="G37" s="45"/>
      <c r="H37" s="46"/>
      <c r="I37" s="28">
        <f>IF(H37&gt;H39,1,0)</f>
        <v>0</v>
      </c>
      <c r="J37" s="28">
        <f>IF(B37="",0,1)</f>
        <v>1</v>
      </c>
      <c r="K37" s="28">
        <f>IF(C37+F37=2,3,IF(C37+F37=1,1,0))</f>
        <v>3</v>
      </c>
      <c r="L37" s="28">
        <f>IF(K37=3,3,IF(I37+K37=2,2,IF(K37=1,1,0)))</f>
        <v>3</v>
      </c>
      <c r="M37" s="28">
        <f>B37+E37</f>
        <v>12</v>
      </c>
      <c r="N37" s="28">
        <f>C37+F37+I37</f>
        <v>2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7"/>
      <c r="AL37" s="28"/>
      <c r="AM37" s="28"/>
      <c r="AN37" s="28"/>
    </row>
    <row r="38" ht="14.25" customHeight="1">
      <c r="A38" s="50" t="s">
        <v>82</v>
      </c>
      <c r="H38" s="51"/>
      <c r="I38" s="52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  <c r="AM38" s="28"/>
      <c r="AN38" s="28"/>
    </row>
    <row r="39" ht="14.25" customHeight="1">
      <c r="A39" s="53" t="str">
        <f>AE17</f>
        <v>Mickey Mitic</v>
      </c>
      <c r="B39" s="43">
        <v>3.0</v>
      </c>
      <c r="C39" s="54">
        <f>IF(B39&gt;B37,1,0)</f>
        <v>0</v>
      </c>
      <c r="D39" s="55"/>
      <c r="E39" s="43">
        <v>1.0</v>
      </c>
      <c r="F39" s="54">
        <f>IF(E39&gt;E37,1,0)</f>
        <v>0</v>
      </c>
      <c r="G39" s="55"/>
      <c r="H39" s="46"/>
      <c r="I39" s="28">
        <f>IF(H39&gt;H37,1,0)</f>
        <v>0</v>
      </c>
      <c r="J39" s="28">
        <f>IF(B39="",0,1)</f>
        <v>1</v>
      </c>
      <c r="K39" s="28">
        <f>IF(C39+F39=2,3,IF(C39+F39=1,1,0))</f>
        <v>0</v>
      </c>
      <c r="L39" s="28">
        <f>IF(K39=3,3,IF(I39+K39=2,2,IF(K39=1,1,0)))</f>
        <v>0</v>
      </c>
      <c r="M39" s="28">
        <f>B39+E39</f>
        <v>4</v>
      </c>
      <c r="N39" s="28">
        <f>C39+F39+I39</f>
        <v>0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>
      <c r="A42" s="111" t="s">
        <v>97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7"/>
      <c r="AJ42" s="28"/>
      <c r="AK42" s="28"/>
      <c r="AL42" s="28"/>
      <c r="AM42" s="28"/>
      <c r="AN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>
      <c r="A44" s="112" t="s">
        <v>62</v>
      </c>
      <c r="B44" s="113" t="s">
        <v>63</v>
      </c>
      <c r="C44" s="31"/>
      <c r="D44" s="31"/>
      <c r="E44" s="32"/>
      <c r="F44" s="114"/>
      <c r="G44" s="115"/>
      <c r="H44" s="112" t="s">
        <v>64</v>
      </c>
      <c r="I44" s="114"/>
      <c r="J44" s="114"/>
      <c r="K44" s="114"/>
      <c r="L44" s="114"/>
      <c r="M44" s="116"/>
      <c r="N44" s="116"/>
      <c r="O44" s="114"/>
      <c r="P44" s="112" t="s">
        <v>62</v>
      </c>
      <c r="Q44" s="113" t="s">
        <v>63</v>
      </c>
      <c r="R44" s="31"/>
      <c r="S44" s="31"/>
      <c r="T44" s="32"/>
      <c r="U44" s="114"/>
      <c r="V44" s="115"/>
      <c r="W44" s="112" t="s">
        <v>64</v>
      </c>
      <c r="X44" s="114"/>
      <c r="Y44" s="116"/>
      <c r="Z44" s="116"/>
      <c r="AA44" s="116"/>
      <c r="AB44" s="116"/>
      <c r="AC44" s="116"/>
      <c r="AD44" s="114"/>
      <c r="AE44" s="112" t="s">
        <v>65</v>
      </c>
      <c r="AF44" s="112" t="s">
        <v>66</v>
      </c>
      <c r="AG44" s="112" t="s">
        <v>67</v>
      </c>
      <c r="AH44" s="112" t="s">
        <v>68</v>
      </c>
      <c r="AI44" s="112" t="s">
        <v>69</v>
      </c>
      <c r="AJ44" s="61"/>
      <c r="AK44" s="28"/>
      <c r="AL44" s="37"/>
      <c r="AM44" s="28"/>
      <c r="AN44" s="28"/>
    </row>
    <row r="45" ht="41.25" hidden="1" customHeight="1">
      <c r="A45" s="28"/>
      <c r="B45" s="38" t="s">
        <v>70</v>
      </c>
      <c r="C45" s="38" t="s">
        <v>71</v>
      </c>
      <c r="D45" s="38"/>
      <c r="E45" s="38" t="s">
        <v>70</v>
      </c>
      <c r="F45" s="38" t="s">
        <v>72</v>
      </c>
      <c r="G45" s="38"/>
      <c r="H45" s="38" t="s">
        <v>70</v>
      </c>
      <c r="I45" s="38" t="s">
        <v>73</v>
      </c>
      <c r="J45" s="38" t="s">
        <v>74</v>
      </c>
      <c r="K45" s="38" t="s">
        <v>75</v>
      </c>
      <c r="L45" s="38" t="s">
        <v>76</v>
      </c>
      <c r="M45" s="38" t="s">
        <v>77</v>
      </c>
      <c r="N45" s="38" t="s">
        <v>78</v>
      </c>
      <c r="O45" s="28"/>
      <c r="P45" s="28"/>
      <c r="Q45" s="38" t="s">
        <v>70</v>
      </c>
      <c r="R45" s="38" t="s">
        <v>71</v>
      </c>
      <c r="S45" s="38"/>
      <c r="T45" s="38" t="s">
        <v>70</v>
      </c>
      <c r="U45" s="38" t="s">
        <v>72</v>
      </c>
      <c r="V45" s="38"/>
      <c r="W45" s="38" t="s">
        <v>70</v>
      </c>
      <c r="X45" s="38" t="s">
        <v>73</v>
      </c>
      <c r="Y45" s="38" t="s">
        <v>74</v>
      </c>
      <c r="Z45" s="38" t="s">
        <v>75</v>
      </c>
      <c r="AA45" s="38" t="s">
        <v>76</v>
      </c>
      <c r="AB45" s="38" t="s">
        <v>77</v>
      </c>
      <c r="AC45" s="38" t="s">
        <v>78</v>
      </c>
      <c r="AD45" s="28"/>
      <c r="AE45" s="37"/>
      <c r="AF45" s="37"/>
      <c r="AG45" s="37"/>
      <c r="AH45" s="37"/>
      <c r="AI45" s="37"/>
      <c r="AJ45" s="28"/>
      <c r="AK45" s="28"/>
      <c r="AL45" s="28"/>
      <c r="AM45" s="28"/>
      <c r="AN45" s="28"/>
    </row>
    <row r="46" ht="14.25" customHeight="1">
      <c r="A46" s="42" t="str">
        <f>AE46</f>
        <v>David Camilleri</v>
      </c>
      <c r="B46" s="43">
        <v>6.0</v>
      </c>
      <c r="C46" s="44">
        <f>IF(B46&gt;B48,1,0)</f>
        <v>1</v>
      </c>
      <c r="D46" s="45"/>
      <c r="E46" s="43">
        <v>5.0</v>
      </c>
      <c r="F46" s="44">
        <f>IF(E46&gt;E48,1,0)</f>
        <v>0</v>
      </c>
      <c r="G46" s="45"/>
      <c r="H46" s="43">
        <v>8.0</v>
      </c>
      <c r="I46" s="28">
        <f>IF(H46&gt;H48,1,0)</f>
        <v>0</v>
      </c>
      <c r="J46" s="28">
        <f>IF(B46="",0,1)</f>
        <v>1</v>
      </c>
      <c r="K46" s="28">
        <f>IF(C46+F46=2,3,IF(C46+F46=1,1,0))</f>
        <v>1</v>
      </c>
      <c r="L46" s="28">
        <f>IF(K46=3,3,IF(I46+K46=2,2,IF(K46=1,1,0)))</f>
        <v>1</v>
      </c>
      <c r="M46" s="28">
        <f>B46+E46</f>
        <v>11</v>
      </c>
      <c r="N46" s="28">
        <f>C46+F46+I46</f>
        <v>1</v>
      </c>
      <c r="O46" s="28"/>
      <c r="P46" s="42" t="str">
        <f>AE46</f>
        <v>David Camilleri</v>
      </c>
      <c r="Q46" s="43">
        <v>7.0</v>
      </c>
      <c r="R46" s="44">
        <f>IF(Q46&gt;Q48,1,0)</f>
        <v>1</v>
      </c>
      <c r="S46" s="45"/>
      <c r="T46" s="43">
        <v>6.0</v>
      </c>
      <c r="U46" s="44">
        <f>IF(T46&gt;T48,1,0)</f>
        <v>1</v>
      </c>
      <c r="V46" s="45"/>
      <c r="W46" s="46"/>
      <c r="X46" s="28">
        <f>IF(W46&gt;W48,1,0)</f>
        <v>0</v>
      </c>
      <c r="Y46" s="28">
        <f>IF(Q46="",0,1)</f>
        <v>1</v>
      </c>
      <c r="Z46" s="28">
        <f>IF(R46+U46=2,3,IF(R46+U46=1,1,0))</f>
        <v>3</v>
      </c>
      <c r="AA46" s="28">
        <f>IF(Z46=3,3,IF(X46+Z46=2,2,IF(Z46=1,1,0)))</f>
        <v>3</v>
      </c>
      <c r="AB46" s="28">
        <f>Q46+T46</f>
        <v>13</v>
      </c>
      <c r="AC46" s="28">
        <f>R46+U46+X46</f>
        <v>2</v>
      </c>
      <c r="AD46" s="28"/>
      <c r="AE46" s="117" t="str">
        <f>'Players - Men'!E33</f>
        <v>David Camilleri</v>
      </c>
      <c r="AF46" s="48">
        <f>J46+Y46+J50+Y50+J54</f>
        <v>4</v>
      </c>
      <c r="AG46" s="48">
        <f t="shared" ref="AG46:AI46" si="7">L46+AA46+L50+AA50+L54</f>
        <v>7</v>
      </c>
      <c r="AH46" s="48">
        <f t="shared" si="7"/>
        <v>45</v>
      </c>
      <c r="AI46" s="49">
        <f t="shared" si="7"/>
        <v>5</v>
      </c>
      <c r="AJ46" s="28"/>
      <c r="AK46" s="28"/>
      <c r="AL46" s="28"/>
      <c r="AM46" s="28"/>
      <c r="AN46" s="28"/>
    </row>
    <row r="47" ht="14.25" customHeight="1">
      <c r="A47" s="50" t="s">
        <v>82</v>
      </c>
      <c r="H47" s="51"/>
      <c r="I47" s="52"/>
      <c r="J47" s="28"/>
      <c r="K47" s="28"/>
      <c r="L47" s="28"/>
      <c r="M47" s="28"/>
      <c r="N47" s="28"/>
      <c r="O47" s="28"/>
      <c r="P47" s="50" t="s">
        <v>82</v>
      </c>
      <c r="W47" s="51"/>
      <c r="X47" s="52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ht="14.25" customHeight="1">
      <c r="A48" s="53" t="str">
        <f>AE48</f>
        <v>Braydon Galea</v>
      </c>
      <c r="B48" s="43">
        <v>4.0</v>
      </c>
      <c r="C48" s="54">
        <f>IF(B48&gt;B46,1,0)</f>
        <v>0</v>
      </c>
      <c r="D48" s="55"/>
      <c r="E48" s="43">
        <v>7.0</v>
      </c>
      <c r="F48" s="54">
        <f>IF(E48&gt;E46,1,0)</f>
        <v>1</v>
      </c>
      <c r="G48" s="55"/>
      <c r="H48" s="43">
        <v>10.0</v>
      </c>
      <c r="I48" s="28">
        <f>IF(H48&gt;H46,1,0)</f>
        <v>1</v>
      </c>
      <c r="J48" s="28">
        <f>IF(B48="",0,1)</f>
        <v>1</v>
      </c>
      <c r="K48" s="28">
        <f>IF(C48+F48=2,3,IF(C48+F48=1,1,0))</f>
        <v>1</v>
      </c>
      <c r="L48" s="28">
        <f>IF(K48=3,3,IF(I48+K48=2,2,IF(K48=1,1,0)))</f>
        <v>2</v>
      </c>
      <c r="M48" s="28">
        <f>B48+E48</f>
        <v>11</v>
      </c>
      <c r="N48" s="28">
        <f>C48+F48+I48</f>
        <v>2</v>
      </c>
      <c r="O48" s="28"/>
      <c r="P48" s="53" t="str">
        <f>AE50</f>
        <v>Isaac Joseph Zammit</v>
      </c>
      <c r="Q48" s="43">
        <v>6.0</v>
      </c>
      <c r="R48" s="54">
        <f>IF(Q48&gt;Q46,1,0)</f>
        <v>0</v>
      </c>
      <c r="S48" s="55"/>
      <c r="T48" s="43">
        <v>3.0</v>
      </c>
      <c r="U48" s="54">
        <f>IF(T48&gt;T46,1,0)</f>
        <v>0</v>
      </c>
      <c r="V48" s="55"/>
      <c r="W48" s="46"/>
      <c r="X48" s="28">
        <f>IF(W48&gt;W46,1,0)</f>
        <v>0</v>
      </c>
      <c r="Y48" s="28">
        <f>IF(Q48="",0,1)</f>
        <v>1</v>
      </c>
      <c r="Z48" s="28">
        <f>IF(R48+U48=2,3,IF(R48+U48=1,1,0))</f>
        <v>0</v>
      </c>
      <c r="AA48" s="28">
        <f>IF(Z48=3,3,IF(X48+Z48=2,2,IF(Z48=1,1,0)))</f>
        <v>0</v>
      </c>
      <c r="AB48" s="28">
        <f>Q48+T48</f>
        <v>9</v>
      </c>
      <c r="AC48" s="28">
        <f>R48+U48+X48</f>
        <v>0</v>
      </c>
      <c r="AD48" s="28"/>
      <c r="AE48" s="117" t="str">
        <f>'Players - Men'!E34</f>
        <v>Braydon Galea</v>
      </c>
      <c r="AF48" s="48">
        <f>J48+Y62+J62+Y58+J58</f>
        <v>5</v>
      </c>
      <c r="AG48" s="48">
        <f t="shared" ref="AG48:AI48" si="8">L48+AA62+L62+AA58+L58</f>
        <v>11</v>
      </c>
      <c r="AH48" s="48">
        <f t="shared" si="8"/>
        <v>53</v>
      </c>
      <c r="AI48" s="49">
        <f t="shared" si="8"/>
        <v>10</v>
      </c>
      <c r="AJ48" s="28"/>
      <c r="AK48" s="28"/>
      <c r="AL48" s="28"/>
      <c r="AM48" s="28"/>
      <c r="AN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37"/>
      <c r="AG49" s="37"/>
      <c r="AH49" s="37"/>
      <c r="AI49" s="37"/>
      <c r="AJ49" s="61"/>
      <c r="AK49" s="28"/>
      <c r="AL49" s="28"/>
      <c r="AM49" s="28"/>
      <c r="AN49" s="37"/>
    </row>
    <row r="50" ht="14.25" customHeight="1">
      <c r="A50" s="42" t="str">
        <f>AE46</f>
        <v>David Camilleri</v>
      </c>
      <c r="B50" s="43">
        <v>6.0</v>
      </c>
      <c r="C50" s="44">
        <f>IF(B50&gt;B52,1,0)</f>
        <v>1</v>
      </c>
      <c r="D50" s="45"/>
      <c r="E50" s="43">
        <v>6.0</v>
      </c>
      <c r="F50" s="44">
        <f>IF(E50&gt;E52,1,0)</f>
        <v>1</v>
      </c>
      <c r="G50" s="45"/>
      <c r="H50" s="46"/>
      <c r="I50" s="28">
        <f>IF(H50&gt;H52,1,0)</f>
        <v>0</v>
      </c>
      <c r="J50" s="28">
        <f>IF(B50="",0,1)</f>
        <v>1</v>
      </c>
      <c r="K50" s="28">
        <f>IF(C50+F50=2,3,IF(C50+F50=1,1,0))</f>
        <v>3</v>
      </c>
      <c r="L50" s="28">
        <f>IF(K50=3,3,IF(I50+K50=2,2,IF(K50=1,1,0)))</f>
        <v>3</v>
      </c>
      <c r="M50" s="28">
        <f>B50+E50</f>
        <v>12</v>
      </c>
      <c r="N50" s="28">
        <f>C50+F50+I50</f>
        <v>2</v>
      </c>
      <c r="O50" s="28"/>
      <c r="P50" s="42" t="str">
        <f>AE46</f>
        <v>David Camilleri</v>
      </c>
      <c r="Q50" s="43"/>
      <c r="R50" s="44">
        <f>IF(Q50&gt;Q52,1,0)</f>
        <v>0</v>
      </c>
      <c r="S50" s="45"/>
      <c r="T50" s="43"/>
      <c r="U50" s="44">
        <f>IF(T50&gt;T52,1,0)</f>
        <v>0</v>
      </c>
      <c r="V50" s="45"/>
      <c r="W50" s="46"/>
      <c r="X50" s="28">
        <f>IF(W50&gt;W52,1,0)</f>
        <v>0</v>
      </c>
      <c r="Y50" s="28">
        <f>IF(Q50="",0,1)</f>
        <v>0</v>
      </c>
      <c r="Z50" s="28">
        <f>IF(R50+U50=2,3,IF(R50+U50=1,1,0))</f>
        <v>0</v>
      </c>
      <c r="AA50" s="28">
        <f>IF(Z50=3,3,IF(X50+Z50=2,2,IF(Z50=1,1,0)))</f>
        <v>0</v>
      </c>
      <c r="AB50" s="28">
        <f>Q50+T50</f>
        <v>0</v>
      </c>
      <c r="AC50" s="28">
        <f>R50+U50+X50</f>
        <v>0</v>
      </c>
      <c r="AD50" s="28"/>
      <c r="AE50" s="117" t="str">
        <f>'Players - Men'!E35</f>
        <v>Isaac Joseph Zammit</v>
      </c>
      <c r="AF50" s="48">
        <f>Y66+Y48+Y70+J70+J60</f>
        <v>5</v>
      </c>
      <c r="AG50" s="48">
        <f t="shared" ref="AG50:AI50" si="9">AA66+AA48+AA70+L70+L60</f>
        <v>1</v>
      </c>
      <c r="AH50" s="48">
        <f t="shared" si="9"/>
        <v>32</v>
      </c>
      <c r="AI50" s="49">
        <f t="shared" si="9"/>
        <v>1</v>
      </c>
      <c r="AJ50" s="28"/>
      <c r="AK50" s="28"/>
      <c r="AL50" s="28"/>
      <c r="AM50" s="28"/>
      <c r="AN50" s="28"/>
    </row>
    <row r="51" ht="14.25" customHeight="1">
      <c r="A51" s="50" t="s">
        <v>82</v>
      </c>
      <c r="H51" s="51"/>
      <c r="I51" s="52"/>
      <c r="J51" s="28"/>
      <c r="K51" s="28"/>
      <c r="L51" s="28"/>
      <c r="M51" s="28"/>
      <c r="N51" s="28"/>
      <c r="O51" s="28"/>
      <c r="P51" s="50" t="s">
        <v>82</v>
      </c>
      <c r="W51" s="51"/>
      <c r="X51" s="52"/>
      <c r="Y51" s="28"/>
      <c r="Z51" s="28"/>
      <c r="AA51" s="28"/>
      <c r="AB51" s="28"/>
      <c r="AC51" s="28"/>
      <c r="AD51" s="28"/>
      <c r="AE51" s="28"/>
      <c r="AF51" s="37"/>
      <c r="AG51" s="37"/>
      <c r="AH51" s="37"/>
      <c r="AI51" s="37"/>
      <c r="AJ51" s="28"/>
      <c r="AK51" s="28"/>
      <c r="AL51" s="28"/>
      <c r="AM51" s="28"/>
      <c r="AN51" s="28"/>
    </row>
    <row r="52" ht="14.25" customHeight="1">
      <c r="A52" s="53" t="str">
        <f>AE52</f>
        <v>Daniele Privitera</v>
      </c>
      <c r="B52" s="43">
        <v>1.0</v>
      </c>
      <c r="C52" s="54">
        <f>IF(B52&gt;B50,1,0)</f>
        <v>0</v>
      </c>
      <c r="D52" s="55"/>
      <c r="E52" s="43">
        <v>3.0</v>
      </c>
      <c r="F52" s="54">
        <f>IF(E52&gt;E50,1,0)</f>
        <v>0</v>
      </c>
      <c r="G52" s="55"/>
      <c r="H52" s="46"/>
      <c r="I52" s="28">
        <f>IF(H52&gt;H50,1,0)</f>
        <v>0</v>
      </c>
      <c r="J52" s="28">
        <f>IF(B52="",0,1)</f>
        <v>1</v>
      </c>
      <c r="K52" s="28">
        <f>IF(C52+F52=2,3,IF(C52+F52=1,1,0))</f>
        <v>0</v>
      </c>
      <c r="L52" s="28">
        <f>IF(K52=3,3,IF(I52+K52=2,2,IF(K52=1,1,0)))</f>
        <v>0</v>
      </c>
      <c r="M52" s="28">
        <f>B52+E52</f>
        <v>4</v>
      </c>
      <c r="N52" s="28">
        <f>C52+F52+I52</f>
        <v>0</v>
      </c>
      <c r="O52" s="28"/>
      <c r="P52" s="53" t="str">
        <f>AE54</f>
        <v>Kevin Sciberras</v>
      </c>
      <c r="Q52" s="43"/>
      <c r="R52" s="54">
        <f>IF(Q52&gt;Q50,1,0)</f>
        <v>0</v>
      </c>
      <c r="S52" s="55"/>
      <c r="T52" s="43"/>
      <c r="U52" s="54">
        <f>IF(T52&gt;T50,1,0)</f>
        <v>0</v>
      </c>
      <c r="V52" s="55"/>
      <c r="W52" s="46"/>
      <c r="X52" s="28">
        <f>IF(W52&gt;W50,1,0)</f>
        <v>0</v>
      </c>
      <c r="Y52" s="28">
        <f>IF(Q52="",0,1)</f>
        <v>0</v>
      </c>
      <c r="Z52" s="28">
        <f>IF(R52+U52=2,3,IF(R52+U52=1,1,0))</f>
        <v>0</v>
      </c>
      <c r="AA52" s="28">
        <f>IF(Z52=3,3,IF(X52+Z52=2,2,IF(Z52=1,1,0)))</f>
        <v>0</v>
      </c>
      <c r="AB52" s="28">
        <f>Q52+T52</f>
        <v>0</v>
      </c>
      <c r="AC52" s="28">
        <f>R52+U52+X52</f>
        <v>0</v>
      </c>
      <c r="AD52" s="28"/>
      <c r="AE52" s="117" t="str">
        <f>'Players - Men'!E36</f>
        <v>Daniele Privitera</v>
      </c>
      <c r="AF52" s="48">
        <f>Y68+J74+J52+Y60+J66</f>
        <v>5</v>
      </c>
      <c r="AG52" s="48">
        <f t="shared" ref="AG52:AI52" si="10">AA68+L74+L52+AA60+L66</f>
        <v>10</v>
      </c>
      <c r="AH52" s="48">
        <f t="shared" si="10"/>
        <v>49</v>
      </c>
      <c r="AI52" s="49">
        <f t="shared" si="10"/>
        <v>7</v>
      </c>
      <c r="AJ52" s="28"/>
      <c r="AK52" s="28"/>
      <c r="AL52" s="28"/>
      <c r="AM52" s="28"/>
      <c r="AN52" s="28"/>
    </row>
    <row r="53" ht="14.25" customHeight="1">
      <c r="A53" s="28"/>
      <c r="B53" s="3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37"/>
      <c r="AG53" s="37"/>
      <c r="AH53" s="37"/>
      <c r="AI53" s="37"/>
      <c r="AJ53" s="28"/>
      <c r="AK53" s="37"/>
      <c r="AL53" s="28"/>
      <c r="AM53" s="28"/>
      <c r="AN53" s="28"/>
    </row>
    <row r="54" ht="14.25" customHeight="1">
      <c r="A54" s="42" t="str">
        <f>AE46</f>
        <v>David Camilleri</v>
      </c>
      <c r="B54" s="43">
        <v>6.0</v>
      </c>
      <c r="C54" s="44">
        <f>IF(B54&gt;B56,1,0)</f>
        <v>0</v>
      </c>
      <c r="D54" s="45"/>
      <c r="E54" s="43">
        <v>3.0</v>
      </c>
      <c r="F54" s="44">
        <f>IF(E54&gt;E56,1,0)</f>
        <v>0</v>
      </c>
      <c r="G54" s="45"/>
      <c r="H54" s="46"/>
      <c r="I54" s="28">
        <f>IF(H54&gt;H56,1,0)</f>
        <v>0</v>
      </c>
      <c r="J54" s="28">
        <f>IF(B54="",0,1)</f>
        <v>1</v>
      </c>
      <c r="K54" s="28">
        <f>IF(C54+F54=2,3,IF(C54+F54=1,1,0))</f>
        <v>0</v>
      </c>
      <c r="L54" s="28">
        <f>IF(K54=3,3,IF(I54+K54=2,2,IF(K54=1,1,0)))</f>
        <v>0</v>
      </c>
      <c r="M54" s="28">
        <f>B54+E54</f>
        <v>9</v>
      </c>
      <c r="N54" s="28">
        <f>C54+F54+I54</f>
        <v>0</v>
      </c>
      <c r="O54" s="28"/>
      <c r="P54" s="42" t="str">
        <f>AE54</f>
        <v>Kevin Sciberras</v>
      </c>
      <c r="Q54" s="43">
        <v>2.0</v>
      </c>
      <c r="R54" s="44">
        <f>IF(Q54&gt;Q56,1,0)</f>
        <v>0</v>
      </c>
      <c r="S54" s="45"/>
      <c r="T54" s="43">
        <v>2.0</v>
      </c>
      <c r="U54" s="44">
        <f>IF(T54&gt;T56,1,0)</f>
        <v>0</v>
      </c>
      <c r="V54" s="45"/>
      <c r="W54" s="46"/>
      <c r="X54" s="28">
        <f>IF(W54&gt;W56,1,0)</f>
        <v>0</v>
      </c>
      <c r="Y54" s="28">
        <f>IF(Q54="",0,1)</f>
        <v>1</v>
      </c>
      <c r="Z54" s="28">
        <f>IF(R54+U54=2,3,IF(R54+U54=1,1,0))</f>
        <v>0</v>
      </c>
      <c r="AA54" s="28">
        <f>IF(Z54=3,3,IF(X54+Z54=2,2,IF(Z54=1,1,0)))</f>
        <v>0</v>
      </c>
      <c r="AB54" s="28">
        <f>Q54+T54</f>
        <v>4</v>
      </c>
      <c r="AC54" s="28">
        <f>R54+U54+X54</f>
        <v>0</v>
      </c>
      <c r="AD54" s="28"/>
      <c r="AE54" s="117" t="str">
        <f>'Players - Men'!E37</f>
        <v>Kevin Sciberras</v>
      </c>
      <c r="AF54" s="48">
        <f>Y54+J76+J64+Y52+J72</f>
        <v>4</v>
      </c>
      <c r="AG54" s="48">
        <f t="shared" ref="AG54:AI54" si="11">AA54+L76+L64+AA52+L72</f>
        <v>3</v>
      </c>
      <c r="AH54" s="48">
        <f t="shared" si="11"/>
        <v>25</v>
      </c>
      <c r="AI54" s="49">
        <f t="shared" si="11"/>
        <v>3</v>
      </c>
      <c r="AJ54" s="28"/>
      <c r="AK54" s="28"/>
      <c r="AL54" s="28"/>
      <c r="AM54" s="28"/>
      <c r="AN54" s="28"/>
    </row>
    <row r="55" ht="14.25" customHeight="1">
      <c r="A55" s="50" t="s">
        <v>82</v>
      </c>
      <c r="H55" s="51"/>
      <c r="I55" s="52"/>
      <c r="J55" s="28"/>
      <c r="K55" s="28"/>
      <c r="L55" s="28"/>
      <c r="M55" s="28"/>
      <c r="N55" s="28"/>
      <c r="O55" s="28"/>
      <c r="P55" s="50" t="s">
        <v>82</v>
      </c>
      <c r="W55" s="51"/>
      <c r="X55" s="52"/>
      <c r="Y55" s="28"/>
      <c r="Z55" s="28"/>
      <c r="AA55" s="28"/>
      <c r="AB55" s="28"/>
      <c r="AC55" s="28"/>
      <c r="AD55" s="28"/>
      <c r="AE55" s="28"/>
      <c r="AF55" s="37"/>
      <c r="AG55" s="37"/>
      <c r="AH55" s="37"/>
      <c r="AI55" s="37"/>
      <c r="AJ55" s="28"/>
      <c r="AK55" s="28"/>
      <c r="AL55" s="28"/>
      <c r="AM55" s="28"/>
      <c r="AN55" s="28"/>
    </row>
    <row r="56" ht="14.25" customHeight="1">
      <c r="A56" s="53" t="str">
        <f>AE56</f>
        <v>Glenn Micallef</v>
      </c>
      <c r="B56" s="43">
        <v>7.0</v>
      </c>
      <c r="C56" s="54">
        <f>IF(B56&gt;B54,1,0)</f>
        <v>1</v>
      </c>
      <c r="D56" s="55"/>
      <c r="E56" s="43">
        <v>6.0</v>
      </c>
      <c r="F56" s="54">
        <f>IF(E56&gt;E54,1,0)</f>
        <v>1</v>
      </c>
      <c r="G56" s="55"/>
      <c r="H56" s="46"/>
      <c r="I56" s="28">
        <f>IF(H56&gt;H54,1,0)</f>
        <v>0</v>
      </c>
      <c r="J56" s="28">
        <f>IF(B56="",0,1)</f>
        <v>1</v>
      </c>
      <c r="K56" s="28">
        <f>IF(C56+F56=2,3,IF(C56+F56=1,1,0))</f>
        <v>3</v>
      </c>
      <c r="L56" s="28">
        <f>IF(K56=3,3,IF(I56+K56=2,2,IF(K56=1,1,0)))</f>
        <v>3</v>
      </c>
      <c r="M56" s="28">
        <f>B56+E56</f>
        <v>13</v>
      </c>
      <c r="N56" s="28">
        <f>C56+F56+I56</f>
        <v>2</v>
      </c>
      <c r="O56" s="28"/>
      <c r="P56" s="53" t="str">
        <f>AE56</f>
        <v>Glenn Micallef</v>
      </c>
      <c r="Q56" s="43">
        <v>6.0</v>
      </c>
      <c r="R56" s="54">
        <f>IF(Q56&gt;Q54,1,0)</f>
        <v>1</v>
      </c>
      <c r="S56" s="55"/>
      <c r="T56" s="43">
        <v>6.0</v>
      </c>
      <c r="U56" s="54">
        <f>IF(T56&gt;T54,1,0)</f>
        <v>1</v>
      </c>
      <c r="V56" s="55"/>
      <c r="W56" s="46"/>
      <c r="X56" s="28">
        <f>IF(W56&gt;W54,1,0)</f>
        <v>0</v>
      </c>
      <c r="Y56" s="28">
        <f>IF(Q56="",0,1)</f>
        <v>1</v>
      </c>
      <c r="Z56" s="28">
        <f>IF(R56+U56=2,3,IF(R56+U56=1,1,0))</f>
        <v>3</v>
      </c>
      <c r="AA56" s="28">
        <f>IF(Z56=3,3,IF(X56+Z56=2,2,IF(Z56=1,1,0)))</f>
        <v>3</v>
      </c>
      <c r="AB56" s="28">
        <f>Q56+T56</f>
        <v>12</v>
      </c>
      <c r="AC56" s="28">
        <f>R56+U56+X56</f>
        <v>2</v>
      </c>
      <c r="AD56" s="28"/>
      <c r="AE56" s="117" t="str">
        <f>'Players - Men'!E38</f>
        <v>Glenn Micallef</v>
      </c>
      <c r="AF56" s="48">
        <f>Y56+Y64+Y72+J56+J68</f>
        <v>5</v>
      </c>
      <c r="AG56" s="48">
        <f t="shared" ref="AG56:AI56" si="12">AA56+AA64+AA72+L56+L68</f>
        <v>10</v>
      </c>
      <c r="AH56" s="48">
        <f t="shared" si="12"/>
        <v>49</v>
      </c>
      <c r="AI56" s="49">
        <f t="shared" si="12"/>
        <v>7</v>
      </c>
      <c r="AJ56" s="28"/>
      <c r="AK56" s="28"/>
      <c r="AL56" s="28"/>
      <c r="AM56" s="28"/>
      <c r="AN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4.25" customHeight="1">
      <c r="A58" s="42" t="str">
        <f>AE48</f>
        <v>Braydon Galea</v>
      </c>
      <c r="B58" s="43">
        <v>6.0</v>
      </c>
      <c r="C58" s="44">
        <f>IF(B58&gt;B60,1,0)</f>
        <v>1</v>
      </c>
      <c r="D58" s="45"/>
      <c r="E58" s="43">
        <v>6.0</v>
      </c>
      <c r="F58" s="44">
        <f>IF(E58&gt;E60,1,0)</f>
        <v>1</v>
      </c>
      <c r="G58" s="45"/>
      <c r="H58" s="46"/>
      <c r="I58" s="28">
        <f>IF(H58&gt;H60,1,0)</f>
        <v>0</v>
      </c>
      <c r="J58" s="28">
        <f>IF(B58="",0,1)</f>
        <v>1</v>
      </c>
      <c r="K58" s="28">
        <f>IF(C58+F58=2,3,IF(C58+F58=1,1,0))</f>
        <v>3</v>
      </c>
      <c r="L58" s="28">
        <f>IF(K58=3,3,IF(I58+K58=2,2,IF(K58=1,1,0)))</f>
        <v>3</v>
      </c>
      <c r="M58" s="28">
        <f>B58+E58</f>
        <v>12</v>
      </c>
      <c r="N58" s="28">
        <f>C58+F58+I58</f>
        <v>2</v>
      </c>
      <c r="O58" s="28"/>
      <c r="P58" s="42" t="str">
        <f>AE48</f>
        <v>Braydon Galea</v>
      </c>
      <c r="Q58" s="43">
        <v>6.0</v>
      </c>
      <c r="R58" s="44">
        <f>IF(Q58&gt;Q60,1,0)</f>
        <v>1</v>
      </c>
      <c r="S58" s="45"/>
      <c r="T58" s="43">
        <v>2.0</v>
      </c>
      <c r="U58" s="44">
        <f>IF(T58&gt;T60,1,0)</f>
        <v>0</v>
      </c>
      <c r="V58" s="45"/>
      <c r="W58" s="43">
        <v>10.0</v>
      </c>
      <c r="X58" s="28">
        <f>IF(W58&gt;W60,1,0)</f>
        <v>1</v>
      </c>
      <c r="Y58" s="28">
        <f>IF(Q58="",0,1)</f>
        <v>1</v>
      </c>
      <c r="Z58" s="28">
        <f>IF(R58+U58=2,3,IF(R58+U58=1,1,0))</f>
        <v>1</v>
      </c>
      <c r="AA58" s="28">
        <f>IF(Z58=3,3,IF(X58+Z58=2,2,IF(Z58=1,1,0)))</f>
        <v>2</v>
      </c>
      <c r="AB58" s="28">
        <f>Q58+T58</f>
        <v>8</v>
      </c>
      <c r="AC58" s="28">
        <f>R58+U58+X58</f>
        <v>2</v>
      </c>
      <c r="AD58" s="28"/>
      <c r="AE58" s="113" t="s">
        <v>90</v>
      </c>
      <c r="AF58" s="31"/>
      <c r="AG58" s="31"/>
      <c r="AH58" s="31"/>
      <c r="AI58" s="32"/>
      <c r="AJ58" s="28"/>
      <c r="AK58" s="28"/>
      <c r="AL58" s="28"/>
      <c r="AM58" s="28"/>
      <c r="AN58" s="28"/>
    </row>
    <row r="59" ht="14.25" customHeight="1">
      <c r="A59" s="50" t="s">
        <v>82</v>
      </c>
      <c r="H59" s="51"/>
      <c r="I59" s="52"/>
      <c r="J59" s="28"/>
      <c r="K59" s="28"/>
      <c r="L59" s="28"/>
      <c r="M59" s="28"/>
      <c r="N59" s="28"/>
      <c r="O59" s="28"/>
      <c r="P59" s="50" t="s">
        <v>82</v>
      </c>
      <c r="W59" s="51"/>
      <c r="X59" s="52"/>
      <c r="Y59" s="28"/>
      <c r="Z59" s="28"/>
      <c r="AA59" s="28"/>
      <c r="AB59" s="28"/>
      <c r="AC59" s="28"/>
      <c r="AD59" s="28"/>
      <c r="AE59" s="59"/>
      <c r="AF59" s="31"/>
      <c r="AG59" s="31"/>
      <c r="AH59" s="31"/>
      <c r="AI59" s="32"/>
      <c r="AJ59" s="28"/>
      <c r="AK59" s="28"/>
      <c r="AL59" s="28"/>
      <c r="AM59" s="28"/>
      <c r="AN59" s="28"/>
    </row>
    <row r="60" ht="14.25" customHeight="1">
      <c r="A60" s="53" t="str">
        <f>AE50</f>
        <v>Isaac Joseph Zammit</v>
      </c>
      <c r="B60" s="43">
        <v>3.0</v>
      </c>
      <c r="C60" s="54">
        <f>IF(B60&gt;B58,1,0)</f>
        <v>0</v>
      </c>
      <c r="D60" s="55"/>
      <c r="E60" s="43">
        <v>3.0</v>
      </c>
      <c r="F60" s="54">
        <f>IF(E60&gt;E58,1,0)</f>
        <v>0</v>
      </c>
      <c r="G60" s="55"/>
      <c r="H60" s="46"/>
      <c r="I60" s="28">
        <f>IF(H60&gt;H58,1,0)</f>
        <v>0</v>
      </c>
      <c r="J60" s="28">
        <f>IF(B60="",0,1)</f>
        <v>1</v>
      </c>
      <c r="K60" s="28">
        <f>IF(C60+F60=2,3,IF(C60+F60=1,1,0))</f>
        <v>0</v>
      </c>
      <c r="L60" s="28">
        <f>IF(K60=3,3,IF(I60+K60=2,2,IF(K60=1,1,0)))</f>
        <v>0</v>
      </c>
      <c r="M60" s="28">
        <f>B60+E60</f>
        <v>6</v>
      </c>
      <c r="N60" s="28">
        <f>C60+F60+I60</f>
        <v>0</v>
      </c>
      <c r="O60" s="28"/>
      <c r="P60" s="53" t="str">
        <f>AE52</f>
        <v>Daniele Privitera</v>
      </c>
      <c r="Q60" s="43">
        <v>3.0</v>
      </c>
      <c r="R60" s="54">
        <f>IF(Q60&gt;Q58,1,0)</f>
        <v>0</v>
      </c>
      <c r="S60" s="55"/>
      <c r="T60" s="43">
        <v>6.0</v>
      </c>
      <c r="U60" s="54">
        <f>IF(T60&gt;T58,1,0)</f>
        <v>1</v>
      </c>
      <c r="V60" s="55"/>
      <c r="W60" s="43">
        <v>8.0</v>
      </c>
      <c r="X60" s="28">
        <f>IF(W60&gt;W58,1,0)</f>
        <v>0</v>
      </c>
      <c r="Y60" s="28">
        <f>IF(Q60="",0,1)</f>
        <v>1</v>
      </c>
      <c r="Z60" s="28">
        <f>IF(R60+U60=2,3,IF(R60+U60=1,1,0))</f>
        <v>1</v>
      </c>
      <c r="AA60" s="28">
        <f>IF(Z60=3,3,IF(X60+Z60=2,2,IF(Z60=1,1,0)))</f>
        <v>1</v>
      </c>
      <c r="AB60" s="28">
        <f>Q60+T60</f>
        <v>9</v>
      </c>
      <c r="AC60" s="28">
        <f>R60+U60+X60</f>
        <v>1</v>
      </c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4.25" customHeight="1">
      <c r="A62" s="42" t="str">
        <f>AE48</f>
        <v>Braydon Galea</v>
      </c>
      <c r="B62" s="43">
        <v>6.0</v>
      </c>
      <c r="C62" s="44">
        <f>IF(B62&gt;B64,1,0)</f>
        <v>1</v>
      </c>
      <c r="D62" s="45"/>
      <c r="E62" s="43">
        <v>6.0</v>
      </c>
      <c r="F62" s="44">
        <f>IF(E62&gt;E64,1,0)</f>
        <v>0</v>
      </c>
      <c r="G62" s="45"/>
      <c r="H62" s="43">
        <v>10.0</v>
      </c>
      <c r="I62" s="28">
        <f>IF(H62&gt;H64,1,0)</f>
        <v>1</v>
      </c>
      <c r="J62" s="28">
        <f>IF(B62="",0,1)</f>
        <v>1</v>
      </c>
      <c r="K62" s="28">
        <f>IF(C62+F62=2,3,IF(C62+F62=1,1,0))</f>
        <v>1</v>
      </c>
      <c r="L62" s="28">
        <f>IF(K62=3,3,IF(I62+K62=2,2,IF(K62=1,1,0)))</f>
        <v>2</v>
      </c>
      <c r="M62" s="28">
        <f>B62+E62</f>
        <v>12</v>
      </c>
      <c r="N62" s="28">
        <f>C62+F62+I62</f>
        <v>2</v>
      </c>
      <c r="O62" s="28"/>
      <c r="P62" s="42" t="str">
        <f>AE48</f>
        <v>Braydon Galea</v>
      </c>
      <c r="Q62" s="43">
        <v>6.0</v>
      </c>
      <c r="R62" s="44">
        <f>IF(Q62&gt;Q64,1,0)</f>
        <v>1</v>
      </c>
      <c r="S62" s="45"/>
      <c r="T62" s="43">
        <v>4.0</v>
      </c>
      <c r="U62" s="44">
        <f>IF(T62&gt;T64,1,0)</f>
        <v>0</v>
      </c>
      <c r="V62" s="45"/>
      <c r="W62" s="43">
        <v>11.0</v>
      </c>
      <c r="X62" s="28">
        <f>IF(W62&gt;W64,1,0)</f>
        <v>1</v>
      </c>
      <c r="Y62" s="28">
        <f>IF(Q62="",0,1)</f>
        <v>1</v>
      </c>
      <c r="Z62" s="28">
        <f>IF(R62+U62=2,3,IF(R62+U62=1,1,0))</f>
        <v>1</v>
      </c>
      <c r="AA62" s="28">
        <f>IF(Z62=3,3,IF(X62+Z62=2,2,IF(Z62=1,1,0)))</f>
        <v>2</v>
      </c>
      <c r="AB62" s="28">
        <f>Q62+T62</f>
        <v>10</v>
      </c>
      <c r="AC62" s="28">
        <f>R62+U62+X62</f>
        <v>2</v>
      </c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ht="14.25" customHeight="1">
      <c r="A63" s="50" t="s">
        <v>82</v>
      </c>
      <c r="H63" s="51"/>
      <c r="I63" s="52"/>
      <c r="J63" s="28"/>
      <c r="K63" s="28"/>
      <c r="L63" s="28"/>
      <c r="M63" s="28"/>
      <c r="N63" s="28"/>
      <c r="O63" s="28"/>
      <c r="P63" s="50" t="s">
        <v>82</v>
      </c>
      <c r="W63" s="51"/>
      <c r="X63" s="52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4.25" customHeight="1">
      <c r="A64" s="53" t="str">
        <f>AE54</f>
        <v>Kevin Sciberras</v>
      </c>
      <c r="B64" s="43">
        <v>1.0</v>
      </c>
      <c r="C64" s="54">
        <f>IF(B64&gt;B62,1,0)</f>
        <v>0</v>
      </c>
      <c r="D64" s="55"/>
      <c r="E64" s="43">
        <v>7.0</v>
      </c>
      <c r="F64" s="54">
        <f>IF(E64&gt;E62,1,0)</f>
        <v>1</v>
      </c>
      <c r="G64" s="55"/>
      <c r="H64" s="43">
        <v>7.0</v>
      </c>
      <c r="I64" s="28">
        <f>IF(H64&gt;H62,1,0)</f>
        <v>0</v>
      </c>
      <c r="J64" s="28">
        <f>IF(B64="",0,1)</f>
        <v>1</v>
      </c>
      <c r="K64" s="28">
        <f>IF(C64+F64=2,3,IF(C64+F64=1,1,0))</f>
        <v>1</v>
      </c>
      <c r="L64" s="28">
        <f>IF(K64=3,3,IF(I64+K64=2,2,IF(K64=1,1,0)))</f>
        <v>1</v>
      </c>
      <c r="M64" s="28">
        <f>B64+E64</f>
        <v>8</v>
      </c>
      <c r="N64" s="28">
        <f>C64+F64+I64</f>
        <v>1</v>
      </c>
      <c r="O64" s="28"/>
      <c r="P64" s="53" t="str">
        <f>AE56</f>
        <v>Glenn Micallef</v>
      </c>
      <c r="Q64" s="43">
        <v>3.0</v>
      </c>
      <c r="R64" s="54">
        <f>IF(Q64&gt;Q62,1,0)</f>
        <v>0</v>
      </c>
      <c r="S64" s="55"/>
      <c r="T64" s="43">
        <v>6.0</v>
      </c>
      <c r="U64" s="54">
        <f>IF(T64&gt;T62,1,0)</f>
        <v>1</v>
      </c>
      <c r="V64" s="55"/>
      <c r="W64" s="43">
        <v>9.0</v>
      </c>
      <c r="X64" s="28">
        <f>IF(W64&gt;W62,1,0)</f>
        <v>0</v>
      </c>
      <c r="Y64" s="28">
        <f>IF(Q64="",0,1)</f>
        <v>1</v>
      </c>
      <c r="Z64" s="28">
        <f>IF(R64+U64=2,3,IF(R64+U64=1,1,0))</f>
        <v>1</v>
      </c>
      <c r="AA64" s="28">
        <f>IF(Z64=3,3,IF(X64+Z64=2,2,IF(Z64=1,1,0)))</f>
        <v>1</v>
      </c>
      <c r="AB64" s="28">
        <f>Q64+T64</f>
        <v>9</v>
      </c>
      <c r="AC64" s="28">
        <f>R64+U64+X64</f>
        <v>1</v>
      </c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7"/>
      <c r="AI65" s="28"/>
      <c r="AJ65" s="28"/>
      <c r="AK65" s="28"/>
      <c r="AL65" s="28"/>
      <c r="AM65" s="28"/>
      <c r="AN65" s="28"/>
    </row>
    <row r="66" ht="14.25" customHeight="1">
      <c r="A66" s="42" t="str">
        <f>AE52</f>
        <v>Daniele Privitera</v>
      </c>
      <c r="B66" s="43">
        <v>6.0</v>
      </c>
      <c r="C66" s="44">
        <f>IF(B66&gt;B68,1,0)</f>
        <v>1</v>
      </c>
      <c r="D66" s="45"/>
      <c r="E66" s="43">
        <v>6.0</v>
      </c>
      <c r="F66" s="44">
        <f>IF(E66&gt;E68,1,0)</f>
        <v>1</v>
      </c>
      <c r="G66" s="45"/>
      <c r="H66" s="46"/>
      <c r="I66" s="28">
        <f>IF(H66&gt;H68,1,0)</f>
        <v>0</v>
      </c>
      <c r="J66" s="28">
        <f>IF(B66="",0,1)</f>
        <v>1</v>
      </c>
      <c r="K66" s="28">
        <f>IF(C66+F66=2,3,IF(C66+F66=1,1,0))</f>
        <v>3</v>
      </c>
      <c r="L66" s="28">
        <f>IF(K66=3,3,IF(I66+K66=2,2,IF(K66=1,1,0)))</f>
        <v>3</v>
      </c>
      <c r="M66" s="28">
        <f>B66+E66</f>
        <v>12</v>
      </c>
      <c r="N66" s="28">
        <f>C66+F66+I66</f>
        <v>2</v>
      </c>
      <c r="O66" s="28"/>
      <c r="P66" s="42" t="str">
        <f>AE50</f>
        <v>Isaac Joseph Zammit</v>
      </c>
      <c r="Q66" s="43">
        <v>0.0</v>
      </c>
      <c r="R66" s="44">
        <f>IF(Q66&gt;Q68,1,0)</f>
        <v>0</v>
      </c>
      <c r="S66" s="45"/>
      <c r="T66" s="43">
        <v>3.0</v>
      </c>
      <c r="U66" s="44">
        <f>IF(T66&gt;T68,1,0)</f>
        <v>0</v>
      </c>
      <c r="V66" s="45"/>
      <c r="W66" s="46"/>
      <c r="X66" s="28">
        <f>IF(W66&gt;W68,1,0)</f>
        <v>0</v>
      </c>
      <c r="Y66" s="28">
        <f>IF(Q66="",0,1)</f>
        <v>1</v>
      </c>
      <c r="Z66" s="28">
        <f>IF(R66+U66=2,3,IF(R66+U66=1,1,0))</f>
        <v>0</v>
      </c>
      <c r="AA66" s="28">
        <f>IF(Z66=3,3,IF(X66+Z66=2,2,IF(Z66=1,1,0)))</f>
        <v>0</v>
      </c>
      <c r="AB66" s="28">
        <f>Q66+T66</f>
        <v>3</v>
      </c>
      <c r="AC66" s="28">
        <f>R66+U66+X66</f>
        <v>0</v>
      </c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4.25" customHeight="1">
      <c r="A67" s="50" t="s">
        <v>82</v>
      </c>
      <c r="H67" s="51"/>
      <c r="I67" s="52"/>
      <c r="J67" s="28"/>
      <c r="K67" s="28"/>
      <c r="L67" s="28"/>
      <c r="M67" s="28"/>
      <c r="N67" s="28"/>
      <c r="O67" s="28"/>
      <c r="P67" s="50" t="s">
        <v>82</v>
      </c>
      <c r="W67" s="51"/>
      <c r="X67" s="52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4.25" customHeight="1">
      <c r="A68" s="53" t="str">
        <f>AE56</f>
        <v>Glenn Micallef</v>
      </c>
      <c r="B68" s="43">
        <v>0.0</v>
      </c>
      <c r="C68" s="54">
        <f>IF(B68&gt;B66,1,0)</f>
        <v>0</v>
      </c>
      <c r="D68" s="55"/>
      <c r="E68" s="43">
        <v>3.0</v>
      </c>
      <c r="F68" s="54">
        <f>IF(E68&gt;E66,1,0)</f>
        <v>0</v>
      </c>
      <c r="G68" s="55"/>
      <c r="H68" s="46"/>
      <c r="I68" s="28">
        <f>IF(H68&gt;H66,1,0)</f>
        <v>0</v>
      </c>
      <c r="J68" s="28">
        <f>IF(B68="",0,1)</f>
        <v>1</v>
      </c>
      <c r="K68" s="28">
        <f>IF(C68+F68=2,3,IF(C68+F68=1,1,0))</f>
        <v>0</v>
      </c>
      <c r="L68" s="28">
        <f>IF(K68=3,3,IF(I68+K68=2,2,IF(K68=1,1,0)))</f>
        <v>0</v>
      </c>
      <c r="M68" s="28">
        <f>B68+E68</f>
        <v>3</v>
      </c>
      <c r="N68" s="28">
        <f>C68+F68+I68</f>
        <v>0</v>
      </c>
      <c r="O68" s="28"/>
      <c r="P68" s="53" t="str">
        <f>AE52</f>
        <v>Daniele Privitera</v>
      </c>
      <c r="Q68" s="43">
        <v>6.0</v>
      </c>
      <c r="R68" s="54">
        <f>IF(Q68&gt;Q66,1,0)</f>
        <v>1</v>
      </c>
      <c r="S68" s="55"/>
      <c r="T68" s="43">
        <v>6.0</v>
      </c>
      <c r="U68" s="54">
        <f>IF(T68&gt;T66,1,0)</f>
        <v>1</v>
      </c>
      <c r="V68" s="55"/>
      <c r="W68" s="46"/>
      <c r="X68" s="28">
        <f>IF(W68&gt;W66,1,0)</f>
        <v>0</v>
      </c>
      <c r="Y68" s="28">
        <f>IF(Q68="",0,1)</f>
        <v>1</v>
      </c>
      <c r="Z68" s="28">
        <f>IF(R68+U68=2,3,IF(R68+U68=1,1,0))</f>
        <v>3</v>
      </c>
      <c r="AA68" s="28">
        <f>IF(Z68=3,3,IF(X68+Z68=2,2,IF(Z68=1,1,0)))</f>
        <v>3</v>
      </c>
      <c r="AB68" s="28">
        <f>Q68+T68</f>
        <v>12</v>
      </c>
      <c r="AC68" s="28">
        <f>R68+U68+X68</f>
        <v>2</v>
      </c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4.25" customHeight="1">
      <c r="A69" s="28"/>
      <c r="B69" s="28"/>
      <c r="C69" s="28"/>
      <c r="D69" s="28"/>
      <c r="E69" s="37"/>
      <c r="F69" s="28"/>
      <c r="G69" s="28"/>
      <c r="H69" s="37"/>
      <c r="I69" s="28"/>
      <c r="J69" s="3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37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4.25" customHeight="1">
      <c r="A70" s="42" t="str">
        <f>AE50</f>
        <v>Isaac Joseph Zammit</v>
      </c>
      <c r="B70" s="43">
        <v>6.0</v>
      </c>
      <c r="C70" s="44">
        <f>IF(B70&gt;B72,1,0)</f>
        <v>1</v>
      </c>
      <c r="D70" s="45"/>
      <c r="E70" s="43">
        <v>6.0</v>
      </c>
      <c r="F70" s="44">
        <f>IF(E70&gt;E72,1,0)</f>
        <v>0</v>
      </c>
      <c r="G70" s="45"/>
      <c r="H70" s="43">
        <v>9.0</v>
      </c>
      <c r="I70" s="28">
        <f>IF(H70&gt;H72,1,0)</f>
        <v>0</v>
      </c>
      <c r="J70" s="28">
        <f>IF(B70="",0,1)</f>
        <v>1</v>
      </c>
      <c r="K70" s="28">
        <f>IF(C70+F70=2,3,IF(C70+F70=1,1,0))</f>
        <v>1</v>
      </c>
      <c r="L70" s="28">
        <f>IF(K70=3,3,IF(I70+K70=2,2,IF(K70=1,1,0)))</f>
        <v>1</v>
      </c>
      <c r="M70" s="28">
        <f>B70+E70</f>
        <v>12</v>
      </c>
      <c r="N70" s="28">
        <f>C70+F70+I70</f>
        <v>1</v>
      </c>
      <c r="O70" s="28"/>
      <c r="P70" s="42" t="str">
        <f>AE50</f>
        <v>Isaac Joseph Zammit</v>
      </c>
      <c r="Q70" s="43">
        <v>0.0</v>
      </c>
      <c r="R70" s="44">
        <f>IF(Q70&gt;Q72,1,0)</f>
        <v>0</v>
      </c>
      <c r="S70" s="45"/>
      <c r="T70" s="43">
        <v>2.0</v>
      </c>
      <c r="U70" s="44">
        <f>IF(T70&gt;T72,1,0)</f>
        <v>0</v>
      </c>
      <c r="V70" s="45"/>
      <c r="W70" s="46"/>
      <c r="X70" s="28">
        <f>IF(W70&gt;W72,1,0)</f>
        <v>0</v>
      </c>
      <c r="Y70" s="28">
        <f>IF(Q70="",0,1)</f>
        <v>1</v>
      </c>
      <c r="Z70" s="28">
        <f>IF(R70+U70=2,3,IF(R70+U70=1,1,0))</f>
        <v>0</v>
      </c>
      <c r="AA70" s="28">
        <f>IF(Z70=3,3,IF(X70+Z70=2,2,IF(Z70=1,1,0)))</f>
        <v>0</v>
      </c>
      <c r="AB70" s="28">
        <f>Q70+T70</f>
        <v>2</v>
      </c>
      <c r="AC70" s="28">
        <f>R70+U70+X70</f>
        <v>0</v>
      </c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4.25" customHeight="1">
      <c r="A71" s="50" t="s">
        <v>82</v>
      </c>
      <c r="H71" s="51"/>
      <c r="I71" s="52"/>
      <c r="J71" s="28"/>
      <c r="K71" s="28"/>
      <c r="L71" s="28"/>
      <c r="M71" s="28"/>
      <c r="N71" s="28"/>
      <c r="O71" s="28"/>
      <c r="P71" s="50" t="s">
        <v>82</v>
      </c>
      <c r="W71" s="51"/>
      <c r="X71" s="52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4.25" customHeight="1">
      <c r="A72" s="53" t="str">
        <f>AE54</f>
        <v>Kevin Sciberras</v>
      </c>
      <c r="B72" s="43">
        <v>4.0</v>
      </c>
      <c r="C72" s="54">
        <f>IF(B72&gt;B70,1,0)</f>
        <v>0</v>
      </c>
      <c r="D72" s="55"/>
      <c r="E72" s="43">
        <v>7.0</v>
      </c>
      <c r="F72" s="54">
        <f>IF(E72&gt;E70,1,0)</f>
        <v>1</v>
      </c>
      <c r="G72" s="55"/>
      <c r="H72" s="43">
        <v>11.0</v>
      </c>
      <c r="I72" s="28">
        <f>IF(H72&gt;H70,1,0)</f>
        <v>1</v>
      </c>
      <c r="J72" s="28">
        <f>IF(B72="",0,1)</f>
        <v>1</v>
      </c>
      <c r="K72" s="28">
        <f>IF(C72+F72=2,3,IF(C72+F72=1,1,0))</f>
        <v>1</v>
      </c>
      <c r="L72" s="28">
        <f>IF(K72=3,3,IF(I72+K72=2,2,IF(K72=1,1,0)))</f>
        <v>2</v>
      </c>
      <c r="M72" s="28">
        <f>B72+E72</f>
        <v>11</v>
      </c>
      <c r="N72" s="28">
        <f>C72+F72+I72</f>
        <v>2</v>
      </c>
      <c r="O72" s="28"/>
      <c r="P72" s="53" t="str">
        <f>AE56</f>
        <v>Glenn Micallef</v>
      </c>
      <c r="Q72" s="43">
        <v>6.0</v>
      </c>
      <c r="R72" s="54">
        <f>IF(Q72&gt;Q70,1,0)</f>
        <v>1</v>
      </c>
      <c r="S72" s="55"/>
      <c r="T72" s="43">
        <v>6.0</v>
      </c>
      <c r="U72" s="54">
        <f>IF(T72&gt;T70,1,0)</f>
        <v>1</v>
      </c>
      <c r="V72" s="55"/>
      <c r="W72" s="46"/>
      <c r="X72" s="28">
        <f>IF(W72&gt;W70,1,0)</f>
        <v>0</v>
      </c>
      <c r="Y72" s="28">
        <f>IF(Q72="",0,1)</f>
        <v>1</v>
      </c>
      <c r="Z72" s="28">
        <f>IF(R72+U72=2,3,IF(R72+U72=1,1,0))</f>
        <v>3</v>
      </c>
      <c r="AA72" s="28">
        <f>IF(Z72=3,3,IF(X72+Z72=2,2,IF(Z72=1,1,0)))</f>
        <v>3</v>
      </c>
      <c r="AB72" s="28">
        <f>Q72+T72</f>
        <v>12</v>
      </c>
      <c r="AC72" s="28">
        <f>R72+U72+X72</f>
        <v>2</v>
      </c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7"/>
      <c r="AI73" s="28"/>
      <c r="AJ73" s="28"/>
      <c r="AK73" s="28"/>
      <c r="AL73" s="28"/>
      <c r="AM73" s="28"/>
      <c r="AN73" s="28"/>
    </row>
    <row r="74" ht="14.25" customHeight="1">
      <c r="A74" s="42" t="str">
        <f>AE52</f>
        <v>Daniele Privitera</v>
      </c>
      <c r="B74" s="43">
        <v>6.0</v>
      </c>
      <c r="C74" s="44">
        <f>IF(B74&gt;B76,1,0)</f>
        <v>1</v>
      </c>
      <c r="D74" s="45"/>
      <c r="E74" s="43">
        <v>6.0</v>
      </c>
      <c r="F74" s="44">
        <f>IF(E74&gt;E76,1,0)</f>
        <v>1</v>
      </c>
      <c r="G74" s="45"/>
      <c r="H74" s="46"/>
      <c r="I74" s="28">
        <f>IF(H74&gt;H76,1,0)</f>
        <v>0</v>
      </c>
      <c r="J74" s="28">
        <f>IF(B74="",0,1)</f>
        <v>1</v>
      </c>
      <c r="K74" s="28">
        <f>IF(C74+F74=2,3,IF(C74+F74=1,1,0))</f>
        <v>3</v>
      </c>
      <c r="L74" s="28">
        <f>IF(K74=3,3,IF(I74+K74=2,2,IF(K74=1,1,0)))</f>
        <v>3</v>
      </c>
      <c r="M74" s="28">
        <f>B74+E74</f>
        <v>12</v>
      </c>
      <c r="N74" s="28">
        <f>C74+F74+I74</f>
        <v>2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4.25" customHeight="1">
      <c r="A75" s="50" t="s">
        <v>82</v>
      </c>
      <c r="H75" s="51"/>
      <c r="I75" s="52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4.25" customHeight="1">
      <c r="A76" s="53" t="str">
        <f>AE54</f>
        <v>Kevin Sciberras</v>
      </c>
      <c r="B76" s="43">
        <v>0.0</v>
      </c>
      <c r="C76" s="54">
        <f>IF(B76&gt;B74,1,0)</f>
        <v>0</v>
      </c>
      <c r="D76" s="55"/>
      <c r="E76" s="43">
        <v>2.0</v>
      </c>
      <c r="F76" s="54">
        <f>IF(E76&gt;E74,1,0)</f>
        <v>0</v>
      </c>
      <c r="G76" s="55"/>
      <c r="H76" s="46"/>
      <c r="I76" s="28">
        <f>IF(H76&gt;H74,1,0)</f>
        <v>0</v>
      </c>
      <c r="J76" s="28">
        <f>IF(B76="",0,1)</f>
        <v>1</v>
      </c>
      <c r="K76" s="28">
        <f>IF(C76+F76=2,3,IF(C76+F76=1,1,0))</f>
        <v>0</v>
      </c>
      <c r="L76" s="28">
        <f>IF(K76=3,3,IF(I76+K76=2,2,IF(K76=1,1,0)))</f>
        <v>0</v>
      </c>
      <c r="M76" s="28">
        <f>B76+E76</f>
        <v>2</v>
      </c>
      <c r="N76" s="28">
        <f>C76+F76+I76</f>
        <v>0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87" t="s">
        <v>89</v>
      </c>
      <c r="Q80" s="31"/>
      <c r="R80" s="31"/>
      <c r="S80" s="31"/>
      <c r="T80" s="31"/>
      <c r="U80" s="31"/>
      <c r="V80" s="31"/>
      <c r="W80" s="8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89" t="s">
        <v>62</v>
      </c>
      <c r="Q82" s="87" t="s">
        <v>63</v>
      </c>
      <c r="R82" s="31"/>
      <c r="S82" s="31"/>
      <c r="T82" s="32"/>
      <c r="U82" s="90"/>
      <c r="V82" s="91"/>
      <c r="W82" s="89" t="s">
        <v>64</v>
      </c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4.25" hidden="1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38" t="s">
        <v>70</v>
      </c>
      <c r="R83" s="38" t="s">
        <v>71</v>
      </c>
      <c r="S83" s="38"/>
      <c r="T83" s="38" t="s">
        <v>70</v>
      </c>
      <c r="U83" s="38" t="s">
        <v>72</v>
      </c>
      <c r="V83" s="38"/>
      <c r="W83" s="38" t="s">
        <v>70</v>
      </c>
      <c r="X83" s="38" t="s">
        <v>73</v>
      </c>
      <c r="Y83" s="38" t="s">
        <v>74</v>
      </c>
      <c r="Z83" s="38" t="s">
        <v>75</v>
      </c>
      <c r="AA83" s="38" t="s">
        <v>76</v>
      </c>
      <c r="AB83" s="38" t="s">
        <v>77</v>
      </c>
      <c r="AC83" s="38" t="s">
        <v>78</v>
      </c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42" t="str">
        <f>AE22</f>
        <v/>
      </c>
      <c r="Q84" s="46"/>
      <c r="R84" s="44">
        <f>IF(Q84&gt;Q86,1,0)</f>
        <v>0</v>
      </c>
      <c r="S84" s="45"/>
      <c r="T84" s="46"/>
      <c r="U84" s="44">
        <f>IF(T84&gt;T86,1,0)</f>
        <v>0</v>
      </c>
      <c r="V84" s="45"/>
      <c r="W84" s="46"/>
      <c r="X84" s="28">
        <f>IF(W84&gt;W86,1,0)</f>
        <v>0</v>
      </c>
      <c r="Y84" s="28">
        <f>IF(Q84="",0,1)</f>
        <v>0</v>
      </c>
      <c r="Z84" s="28">
        <f>IF(R84+U84=2,3,IF(R84+U84=1,1,0))</f>
        <v>0</v>
      </c>
      <c r="AA84" s="28">
        <f>IF(Z84=3,3,IF(X84+Z84=2,2,IF(Z84=1,1,0)))</f>
        <v>0</v>
      </c>
      <c r="AB84" s="28">
        <f>Q84+T84</f>
        <v>0</v>
      </c>
      <c r="AC84" s="28">
        <f>R84+U84+X84</f>
        <v>0</v>
      </c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50" t="s">
        <v>82</v>
      </c>
      <c r="W85" s="51"/>
      <c r="X85" s="52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53" t="str">
        <f>AE59</f>
        <v/>
      </c>
      <c r="Q86" s="46"/>
      <c r="R86" s="54">
        <f>IF(Q86&gt;Q84,1,0)</f>
        <v>0</v>
      </c>
      <c r="S86" s="55"/>
      <c r="T86" s="46"/>
      <c r="U86" s="54">
        <f>IF(T86&gt;T84,1,0)</f>
        <v>0</v>
      </c>
      <c r="V86" s="55"/>
      <c r="W86" s="46"/>
      <c r="X86" s="28">
        <f>IF(W86&gt;W84,1,0)</f>
        <v>0</v>
      </c>
      <c r="Y86" s="28">
        <f>IF(Q86="",0,1)</f>
        <v>0</v>
      </c>
      <c r="Z86" s="28">
        <f>IF(R86+U86=2,3,IF(R86+U86=1,1,0))</f>
        <v>0</v>
      </c>
      <c r="AA86" s="28">
        <f>IF(Z86=3,3,IF(X86+Z86=2,2,IF(Z86=1,1,0)))</f>
        <v>0</v>
      </c>
      <c r="AB86" s="28">
        <f>Q86+T86</f>
        <v>0</v>
      </c>
      <c r="AC86" s="28">
        <f>R86+U86+X86</f>
        <v>0</v>
      </c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87" t="s">
        <v>90</v>
      </c>
      <c r="Q88" s="31"/>
      <c r="R88" s="31"/>
      <c r="S88" s="31"/>
      <c r="T88" s="31"/>
      <c r="U88" s="31"/>
      <c r="V88" s="31"/>
      <c r="W88" s="32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92" t="str">
        <f>IF(AA84&gt;AA86,P84,P86)</f>
        <v/>
      </c>
      <c r="Q89" s="93"/>
      <c r="R89" s="93"/>
      <c r="S89" s="93"/>
      <c r="T89" s="93"/>
      <c r="U89" s="93"/>
      <c r="V89" s="93"/>
      <c r="W89" s="94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87" t="s">
        <v>91</v>
      </c>
      <c r="Q92" s="31"/>
      <c r="R92" s="31"/>
      <c r="S92" s="31"/>
      <c r="T92" s="31"/>
      <c r="U92" s="31"/>
      <c r="V92" s="31"/>
      <c r="W92" s="32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92" t="str">
        <f>IF(AA84&lt;AA86,P84,P86)</f>
        <v/>
      </c>
      <c r="Q93" s="93"/>
      <c r="R93" s="93"/>
      <c r="S93" s="93"/>
      <c r="T93" s="93"/>
      <c r="U93" s="93"/>
      <c r="V93" s="93"/>
      <c r="W93" s="94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37"/>
      <c r="R103" s="37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</sheetData>
  <mergeCells count="48">
    <mergeCell ref="A1:AI3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2:AI42"/>
    <mergeCell ref="Q44:T44"/>
    <mergeCell ref="P47:W47"/>
    <mergeCell ref="P51:W51"/>
    <mergeCell ref="P55:W55"/>
    <mergeCell ref="AE58:AI58"/>
    <mergeCell ref="P59:W59"/>
    <mergeCell ref="AE59:AI59"/>
    <mergeCell ref="A67:H67"/>
    <mergeCell ref="A71:H71"/>
    <mergeCell ref="A75:H75"/>
    <mergeCell ref="A38:H38"/>
    <mergeCell ref="B44:E44"/>
    <mergeCell ref="A47:H47"/>
    <mergeCell ref="A51:H51"/>
    <mergeCell ref="A55:H55"/>
    <mergeCell ref="A59:H59"/>
    <mergeCell ref="A63:H63"/>
    <mergeCell ref="P89:W89"/>
    <mergeCell ref="P92:W92"/>
    <mergeCell ref="P93:W93"/>
    <mergeCell ref="P63:W63"/>
    <mergeCell ref="P67:W67"/>
    <mergeCell ref="P71:W71"/>
    <mergeCell ref="P80:W80"/>
    <mergeCell ref="Q82:T82"/>
    <mergeCell ref="P85:W85"/>
    <mergeCell ref="P88:W88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4.75"/>
    <col customWidth="1" hidden="1" min="13" max="13" width="5.13"/>
    <col customWidth="1" hidden="1" min="14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5.38"/>
    <col customWidth="1" hidden="1" min="26" max="26" width="7.38"/>
    <col customWidth="1" hidden="1" min="27" max="27" width="5.75"/>
    <col customWidth="1" hidden="1" min="28" max="28" width="5.25"/>
    <col customWidth="1" hidden="1" min="29" max="29" width="6.13"/>
    <col customWidth="1" min="30" max="30" width="8.75"/>
    <col customWidth="1" min="31" max="31" width="39.88"/>
    <col customWidth="1" min="32" max="32" width="10.0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5.0" customHeight="1">
      <c r="AJ3" s="4"/>
      <c r="AK3" s="4"/>
      <c r="AL3" s="4"/>
      <c r="AM3" s="4"/>
      <c r="A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118" t="s">
        <v>53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  <c r="AM5" s="28"/>
      <c r="AN5" s="28"/>
    </row>
    <row r="6" ht="14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>
      <c r="A7" s="119" t="s">
        <v>62</v>
      </c>
      <c r="B7" s="120" t="s">
        <v>63</v>
      </c>
      <c r="C7" s="31"/>
      <c r="D7" s="31"/>
      <c r="E7" s="32"/>
      <c r="F7" s="121"/>
      <c r="G7" s="122"/>
      <c r="H7" s="119" t="s">
        <v>64</v>
      </c>
      <c r="I7" s="28"/>
      <c r="J7" s="28"/>
      <c r="K7" s="28"/>
      <c r="L7" s="28"/>
      <c r="M7" s="37"/>
      <c r="N7" s="37"/>
      <c r="O7" s="28"/>
      <c r="P7" s="119" t="s">
        <v>62</v>
      </c>
      <c r="Q7" s="120" t="s">
        <v>63</v>
      </c>
      <c r="R7" s="31"/>
      <c r="S7" s="31"/>
      <c r="T7" s="32"/>
      <c r="U7" s="121"/>
      <c r="V7" s="122"/>
      <c r="W7" s="119" t="s">
        <v>64</v>
      </c>
      <c r="X7" s="28"/>
      <c r="Y7" s="37"/>
      <c r="Z7" s="37"/>
      <c r="AA7" s="37"/>
      <c r="AB7" s="37"/>
      <c r="AC7" s="37"/>
      <c r="AD7" s="28"/>
      <c r="AE7" s="119" t="s">
        <v>65</v>
      </c>
      <c r="AF7" s="119" t="s">
        <v>66</v>
      </c>
      <c r="AG7" s="119" t="s">
        <v>67</v>
      </c>
      <c r="AH7" s="119" t="s">
        <v>68</v>
      </c>
      <c r="AI7" s="119" t="s">
        <v>69</v>
      </c>
      <c r="AJ7" s="61"/>
      <c r="AK7" s="28"/>
      <c r="AL7" s="37"/>
      <c r="AM7" s="28"/>
      <c r="AN7" s="28"/>
    </row>
    <row r="8" ht="41.25" hidden="1" customHeight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28"/>
      <c r="AK8" s="28"/>
      <c r="AL8" s="28"/>
      <c r="AM8" s="28"/>
      <c r="AN8" s="28"/>
    </row>
    <row r="9" ht="14.25" customHeight="1">
      <c r="A9" s="42" t="str">
        <f>AE9</f>
        <v>Twesigye Twekye</v>
      </c>
      <c r="B9" s="43">
        <v>2.0</v>
      </c>
      <c r="C9" s="44">
        <f>IF(B9&gt;B11,1,0)</f>
        <v>0</v>
      </c>
      <c r="D9" s="45"/>
      <c r="E9" s="43">
        <v>1.0</v>
      </c>
      <c r="F9" s="44">
        <f>IF(E9&gt;E11,1,0)</f>
        <v>0</v>
      </c>
      <c r="G9" s="45"/>
      <c r="H9" s="46"/>
      <c r="I9" s="28">
        <f>IF(H9&gt;H11,1,0)</f>
        <v>0</v>
      </c>
      <c r="J9" s="28">
        <f>IF(B9="",0,1)</f>
        <v>1</v>
      </c>
      <c r="K9" s="28">
        <f>IF(C9+F9=2,3,IF(C9+F9=1,1,0))</f>
        <v>0</v>
      </c>
      <c r="L9" s="28">
        <f>IF(K9=3,3,IF(I9+K9=2,2,IF(K9=1,1,0)))</f>
        <v>0</v>
      </c>
      <c r="M9" s="28">
        <f>B9+E9</f>
        <v>3</v>
      </c>
      <c r="N9" s="28">
        <f>C9+F9+I9</f>
        <v>0</v>
      </c>
      <c r="O9" s="28"/>
      <c r="P9" s="42" t="str">
        <f>AE9</f>
        <v>Twesigye Twekye</v>
      </c>
      <c r="Q9" s="46"/>
      <c r="R9" s="44">
        <f>IF(Q9&gt;Q11,1,0)</f>
        <v>0</v>
      </c>
      <c r="S9" s="45"/>
      <c r="T9" s="46"/>
      <c r="U9" s="44">
        <f>IF(T9&gt;T11,1,0)</f>
        <v>0</v>
      </c>
      <c r="V9" s="45"/>
      <c r="W9" s="46"/>
      <c r="X9" s="28">
        <f>IF(W9&gt;W11,1,0)</f>
        <v>0</v>
      </c>
      <c r="Y9" s="28">
        <f>IF(Q9="",0,1)</f>
        <v>0</v>
      </c>
      <c r="Z9" s="28">
        <f>IF(R9+U9=2,3,IF(R9+U9=1,1,0))</f>
        <v>0</v>
      </c>
      <c r="AA9" s="28">
        <f>IF(Z9=3,3,IF(X9+Z9=2,2,IF(Z9=1,1,0)))</f>
        <v>0</v>
      </c>
      <c r="AB9" s="28">
        <f>Q9+T9</f>
        <v>0</v>
      </c>
      <c r="AC9" s="28">
        <f>R9+U9+X9</f>
        <v>0</v>
      </c>
      <c r="AD9" s="28"/>
      <c r="AE9" s="123" t="str">
        <f>'Players - Men'!B42</f>
        <v>Twesigye Twekye</v>
      </c>
      <c r="AF9" s="48">
        <f>J9+Y9+J13+Y13+J17+J49</f>
        <v>5</v>
      </c>
      <c r="AG9" s="48">
        <f t="shared" ref="AG9:AI9" si="1">L9+AA9+L13+AA13+L17+L49</f>
        <v>5</v>
      </c>
      <c r="AH9" s="48">
        <f t="shared" si="1"/>
        <v>37</v>
      </c>
      <c r="AI9" s="49">
        <f t="shared" si="1"/>
        <v>4</v>
      </c>
      <c r="AJ9" s="28"/>
      <c r="AK9" s="28"/>
      <c r="AL9" s="28"/>
      <c r="AM9" s="28"/>
      <c r="AN9" s="28"/>
    </row>
    <row r="10" ht="14.25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ht="14.25" customHeight="1">
      <c r="A11" s="53" t="str">
        <f>AE11</f>
        <v>Justin Scicluna</v>
      </c>
      <c r="B11" s="43">
        <v>6.0</v>
      </c>
      <c r="C11" s="54">
        <f>IF(B11&gt;B9,1,0)</f>
        <v>1</v>
      </c>
      <c r="D11" s="55"/>
      <c r="E11" s="43">
        <v>6.0</v>
      </c>
      <c r="F11" s="54">
        <f>IF(E11&gt;E9,1,0)</f>
        <v>1</v>
      </c>
      <c r="G11" s="55"/>
      <c r="H11" s="46"/>
      <c r="I11" s="28">
        <f>IF(H11&gt;H9,1,0)</f>
        <v>0</v>
      </c>
      <c r="J11" s="28">
        <f>IF(B11="",0,1)</f>
        <v>1</v>
      </c>
      <c r="K11" s="28">
        <f>IF(C11+F11=2,3,IF(C11+F11=1,1,0))</f>
        <v>3</v>
      </c>
      <c r="L11" s="28">
        <f>IF(K11=3,3,IF(I11+K11=2,2,IF(K11=1,1,0)))</f>
        <v>3</v>
      </c>
      <c r="M11" s="28">
        <f>B11+E11</f>
        <v>12</v>
      </c>
      <c r="N11" s="28">
        <f>C11+F11+I11</f>
        <v>2</v>
      </c>
      <c r="O11" s="28"/>
      <c r="P11" s="53" t="str">
        <f>AE13</f>
        <v>Frank Agius</v>
      </c>
      <c r="Q11" s="46"/>
      <c r="R11" s="54">
        <f>IF(Q11&gt;Q9,1,0)</f>
        <v>0</v>
      </c>
      <c r="S11" s="55"/>
      <c r="T11" s="46"/>
      <c r="U11" s="54">
        <f>IF(T11&gt;T9,1,0)</f>
        <v>0</v>
      </c>
      <c r="V11" s="55"/>
      <c r="W11" s="46"/>
      <c r="X11" s="28">
        <f>IF(W11&gt;W9,1,0)</f>
        <v>0</v>
      </c>
      <c r="Y11" s="28">
        <f>IF(Q11="",0,1)</f>
        <v>0</v>
      </c>
      <c r="Z11" s="28">
        <f>IF(R11+U11=2,3,IF(R11+U11=1,1,0))</f>
        <v>0</v>
      </c>
      <c r="AA11" s="28">
        <f>IF(Z11=3,3,IF(X11+Z11=2,2,IF(Z11=1,1,0)))</f>
        <v>0</v>
      </c>
      <c r="AB11" s="28">
        <f>Q11+T11</f>
        <v>0</v>
      </c>
      <c r="AC11" s="28">
        <f>R11+U11+X11</f>
        <v>0</v>
      </c>
      <c r="AD11" s="28"/>
      <c r="AE11" s="123" t="str">
        <f>'Players - Men'!B43</f>
        <v>Justin Scicluna</v>
      </c>
      <c r="AF11" s="48">
        <f>J11+Y25+J25+Y21+J21+Y45</f>
        <v>4</v>
      </c>
      <c r="AG11" s="48">
        <f t="shared" ref="AG11:AI11" si="2">L11+AA25+L25+AA21+L21+AA45</f>
        <v>8</v>
      </c>
      <c r="AH11" s="48">
        <f t="shared" si="2"/>
        <v>41</v>
      </c>
      <c r="AI11" s="49">
        <f t="shared" si="2"/>
        <v>6</v>
      </c>
      <c r="AJ11" s="28"/>
      <c r="AK11" s="28"/>
      <c r="AL11" s="28"/>
      <c r="AM11" s="28"/>
      <c r="AN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61"/>
      <c r="AK12" s="28"/>
      <c r="AL12" s="28"/>
      <c r="AM12" s="28"/>
      <c r="AN12" s="37"/>
    </row>
    <row r="13" ht="14.25" customHeight="1">
      <c r="A13" s="42" t="str">
        <f>AE9</f>
        <v>Twesigye Twekye</v>
      </c>
      <c r="B13" s="43">
        <v>6.0</v>
      </c>
      <c r="C13" s="44">
        <f>IF(B13&gt;B15,1,0)</f>
        <v>1</v>
      </c>
      <c r="D13" s="45"/>
      <c r="E13" s="43">
        <v>6.0</v>
      </c>
      <c r="F13" s="44">
        <f>IF(E13&gt;E15,1,0)</f>
        <v>1</v>
      </c>
      <c r="G13" s="45"/>
      <c r="H13" s="46"/>
      <c r="I13" s="28">
        <f>IF(H13&gt;H15,1,0)</f>
        <v>0</v>
      </c>
      <c r="J13" s="28">
        <f>IF(B13="",0,1)</f>
        <v>1</v>
      </c>
      <c r="K13" s="28">
        <f>IF(C13+F13=2,3,IF(C13+F13=1,1,0))</f>
        <v>3</v>
      </c>
      <c r="L13" s="28">
        <f>IF(K13=3,3,IF(I13+K13=2,2,IF(K13=1,1,0)))</f>
        <v>3</v>
      </c>
      <c r="M13" s="28">
        <f>B13+E13</f>
        <v>12</v>
      </c>
      <c r="N13" s="28">
        <f>C13+F13+I13</f>
        <v>2</v>
      </c>
      <c r="O13" s="28"/>
      <c r="P13" s="42" t="str">
        <f>AE9</f>
        <v>Twesigye Twekye</v>
      </c>
      <c r="Q13" s="43">
        <v>3.0</v>
      </c>
      <c r="R13" s="44">
        <f>IF(Q13&gt;Q15,1,0)</f>
        <v>0</v>
      </c>
      <c r="S13" s="45"/>
      <c r="T13" s="43">
        <v>4.0</v>
      </c>
      <c r="U13" s="44">
        <f>IF(T13&gt;T15,1,0)</f>
        <v>0</v>
      </c>
      <c r="V13" s="45"/>
      <c r="W13" s="46"/>
      <c r="X13" s="28">
        <f>IF(W13&gt;W15,1,0)</f>
        <v>0</v>
      </c>
      <c r="Y13" s="28">
        <f>IF(Q13="",0,1)</f>
        <v>1</v>
      </c>
      <c r="Z13" s="28">
        <f>IF(R13+U13=2,3,IF(R13+U13=1,1,0))</f>
        <v>0</v>
      </c>
      <c r="AA13" s="28">
        <f>IF(Z13=3,3,IF(X13+Z13=2,2,IF(Z13=1,1,0)))</f>
        <v>0</v>
      </c>
      <c r="AB13" s="28">
        <f>Q13+T13</f>
        <v>7</v>
      </c>
      <c r="AC13" s="28">
        <f>R13+U13+X13</f>
        <v>0</v>
      </c>
      <c r="AD13" s="28"/>
      <c r="AE13" s="123" t="str">
        <f>'Players - Men'!B44</f>
        <v>Frank Agius</v>
      </c>
      <c r="AF13" s="48">
        <f>Y29+Y11+Y33+J33+J23+J45</f>
        <v>3</v>
      </c>
      <c r="AG13" s="48">
        <f t="shared" ref="AG13:AI13" si="3">AA29+AA11+AA33+L33+L23+L45</f>
        <v>6</v>
      </c>
      <c r="AH13" s="48">
        <f t="shared" si="3"/>
        <v>31</v>
      </c>
      <c r="AI13" s="49">
        <f t="shared" si="3"/>
        <v>4</v>
      </c>
      <c r="AJ13" s="28"/>
      <c r="AK13" s="28"/>
      <c r="AL13" s="28"/>
      <c r="AM13" s="28"/>
      <c r="AN13" s="28"/>
    </row>
    <row r="14" ht="14.25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28"/>
      <c r="AK14" s="28"/>
      <c r="AL14" s="28"/>
      <c r="AM14" s="28"/>
      <c r="AN14" s="28"/>
    </row>
    <row r="15" ht="14.25" customHeight="1">
      <c r="A15" s="53" t="str">
        <f>AE15</f>
        <v>Chris Boot</v>
      </c>
      <c r="B15" s="43">
        <v>3.0</v>
      </c>
      <c r="C15" s="54">
        <f>IF(B15&gt;B13,1,0)</f>
        <v>0</v>
      </c>
      <c r="D15" s="55"/>
      <c r="E15" s="43">
        <v>2.0</v>
      </c>
      <c r="F15" s="54">
        <f>IF(E15&gt;E13,1,0)</f>
        <v>0</v>
      </c>
      <c r="G15" s="55"/>
      <c r="H15" s="46"/>
      <c r="I15" s="28">
        <f>IF(H15&gt;H13,1,0)</f>
        <v>0</v>
      </c>
      <c r="J15" s="28">
        <f>IF(B15="",0,1)</f>
        <v>1</v>
      </c>
      <c r="K15" s="28">
        <f>IF(C15+F15=2,3,IF(C15+F15=1,1,0))</f>
        <v>0</v>
      </c>
      <c r="L15" s="28">
        <f>IF(K15=3,3,IF(I15+K15=2,2,IF(K15=1,1,0)))</f>
        <v>0</v>
      </c>
      <c r="M15" s="28">
        <f>B15+E15</f>
        <v>5</v>
      </c>
      <c r="N15" s="28">
        <f>C15+F15+I15</f>
        <v>0</v>
      </c>
      <c r="O15" s="28"/>
      <c r="P15" s="53" t="str">
        <f>AE17</f>
        <v>Oliver Brincat</v>
      </c>
      <c r="Q15" s="43">
        <v>6.0</v>
      </c>
      <c r="R15" s="54">
        <f>IF(Q15&gt;Q13,1,0)</f>
        <v>1</v>
      </c>
      <c r="S15" s="55"/>
      <c r="T15" s="43">
        <v>6.0</v>
      </c>
      <c r="U15" s="54">
        <f>IF(T15&gt;T13,1,0)</f>
        <v>1</v>
      </c>
      <c r="V15" s="55"/>
      <c r="W15" s="46"/>
      <c r="X15" s="28">
        <f>IF(W15&gt;W13,1,0)</f>
        <v>0</v>
      </c>
      <c r="Y15" s="28">
        <f>IF(Q15="",0,1)</f>
        <v>1</v>
      </c>
      <c r="Z15" s="28">
        <f>IF(R15+U15=2,3,IF(R15+U15=1,1,0))</f>
        <v>3</v>
      </c>
      <c r="AA15" s="28">
        <f>IF(Z15=3,3,IF(X15+Z15=2,2,IF(Z15=1,1,0)))</f>
        <v>3</v>
      </c>
      <c r="AB15" s="28">
        <f>Q15+T15</f>
        <v>12</v>
      </c>
      <c r="AC15" s="28">
        <f>R15+U15+X15</f>
        <v>2</v>
      </c>
      <c r="AD15" s="28"/>
      <c r="AE15" s="123" t="str">
        <f>'Players - Men'!B45</f>
        <v>Chris Boot</v>
      </c>
      <c r="AF15" s="48">
        <f>Y31+J37+J15+Y23+J29+J43</f>
        <v>5</v>
      </c>
      <c r="AG15" s="48">
        <f t="shared" ref="AG15:AI15" si="4">AA31+L37+L15+AA23+L29+L43</f>
        <v>7</v>
      </c>
      <c r="AH15" s="48">
        <f t="shared" si="4"/>
        <v>44</v>
      </c>
      <c r="AI15" s="49">
        <f t="shared" si="4"/>
        <v>7</v>
      </c>
      <c r="AJ15" s="28"/>
      <c r="AK15" s="28"/>
      <c r="AL15" s="28"/>
      <c r="AM15" s="28"/>
      <c r="AN15" s="28"/>
    </row>
    <row r="16" ht="14.25" customHeight="1">
      <c r="A16" s="28"/>
      <c r="B16" s="3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28"/>
      <c r="AK16" s="37"/>
      <c r="AL16" s="28"/>
      <c r="AM16" s="28"/>
      <c r="AN16" s="28"/>
    </row>
    <row r="17" ht="14.25" customHeight="1">
      <c r="A17" s="42" t="str">
        <f>AE9</f>
        <v>Twesigye Twekye</v>
      </c>
      <c r="B17" s="43">
        <v>1.0</v>
      </c>
      <c r="C17" s="44">
        <f>IF(B17&gt;B19,1,0)</f>
        <v>0</v>
      </c>
      <c r="D17" s="45"/>
      <c r="E17" s="43">
        <v>4.0</v>
      </c>
      <c r="F17" s="44">
        <f>IF(E17&gt;E19,1,0)</f>
        <v>0</v>
      </c>
      <c r="G17" s="45"/>
      <c r="H17" s="46"/>
      <c r="I17" s="28">
        <f>IF(H17&gt;H19,1,0)</f>
        <v>0</v>
      </c>
      <c r="J17" s="28">
        <f>IF(B17="",0,1)</f>
        <v>1</v>
      </c>
      <c r="K17" s="28">
        <f>IF(C17+F17=2,3,IF(C17+F17=1,1,0))</f>
        <v>0</v>
      </c>
      <c r="L17" s="28">
        <f>IF(K17=3,3,IF(I17+K17=2,2,IF(K17=1,1,0)))</f>
        <v>0</v>
      </c>
      <c r="M17" s="28">
        <f>B17+E17</f>
        <v>5</v>
      </c>
      <c r="N17" s="28">
        <f>C17+F17+I17</f>
        <v>0</v>
      </c>
      <c r="O17" s="28"/>
      <c r="P17" s="42" t="str">
        <f>AE17</f>
        <v>Oliver Brincat</v>
      </c>
      <c r="Q17" s="46"/>
      <c r="R17" s="44">
        <f>IF(Q17&gt;Q19,1,0)</f>
        <v>0</v>
      </c>
      <c r="S17" s="45"/>
      <c r="T17" s="46"/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0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0</v>
      </c>
      <c r="AC17" s="28">
        <f>R17+U17+X17</f>
        <v>0</v>
      </c>
      <c r="AD17" s="28"/>
      <c r="AE17" s="123" t="str">
        <f>'Players - Men'!B46</f>
        <v>Oliver Brincat</v>
      </c>
      <c r="AF17" s="48">
        <f>Y17+J39+J27+Y15+J35+Y41</f>
        <v>4</v>
      </c>
      <c r="AG17" s="48">
        <f t="shared" ref="AG17:AI17" si="5">AA17+L39+L27+AA15+L35+AA41</f>
        <v>4</v>
      </c>
      <c r="AH17" s="48">
        <f t="shared" si="5"/>
        <v>29</v>
      </c>
      <c r="AI17" s="49">
        <f t="shared" si="5"/>
        <v>3</v>
      </c>
      <c r="AJ17" s="28"/>
      <c r="AK17" s="28"/>
      <c r="AL17" s="28"/>
      <c r="AM17" s="28"/>
      <c r="AN17" s="28"/>
    </row>
    <row r="18" ht="14.25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28"/>
      <c r="AK18" s="28"/>
      <c r="AL18" s="28"/>
      <c r="AM18" s="28"/>
      <c r="AN18" s="28"/>
    </row>
    <row r="19" ht="14.25" customHeight="1">
      <c r="A19" s="53" t="str">
        <f>AE19</f>
        <v>Mark Napier</v>
      </c>
      <c r="B19" s="43">
        <v>6.0</v>
      </c>
      <c r="C19" s="54">
        <f>IF(B19&gt;B17,1,0)</f>
        <v>1</v>
      </c>
      <c r="D19" s="55"/>
      <c r="E19" s="43">
        <v>6.0</v>
      </c>
      <c r="F19" s="54">
        <f>IF(E19&gt;E17,1,0)</f>
        <v>1</v>
      </c>
      <c r="G19" s="55"/>
      <c r="H19" s="46"/>
      <c r="I19" s="28">
        <f>IF(H19&gt;H17,1,0)</f>
        <v>0</v>
      </c>
      <c r="J19" s="28">
        <f>IF(B19="",0,1)</f>
        <v>1</v>
      </c>
      <c r="K19" s="28">
        <f>IF(C19+F19=2,3,IF(C19+F19=1,1,0))</f>
        <v>3</v>
      </c>
      <c r="L19" s="28">
        <f>IF(K19=3,3,IF(I19+K19=2,2,IF(K19=1,1,0)))</f>
        <v>3</v>
      </c>
      <c r="M19" s="28">
        <f>B19+E19</f>
        <v>12</v>
      </c>
      <c r="N19" s="28">
        <f>C19+F19+I19</f>
        <v>2</v>
      </c>
      <c r="O19" s="28"/>
      <c r="P19" s="53" t="str">
        <f>AE19</f>
        <v>Mark Napier</v>
      </c>
      <c r="Q19" s="46"/>
      <c r="R19" s="54">
        <f>IF(Q19&gt;Q17,1,0)</f>
        <v>0</v>
      </c>
      <c r="S19" s="55"/>
      <c r="T19" s="46"/>
      <c r="U19" s="54">
        <f>IF(T19&gt;T17,1,0)</f>
        <v>0</v>
      </c>
      <c r="V19" s="55"/>
      <c r="W19" s="46"/>
      <c r="X19" s="28">
        <f>IF(W19&gt;W17,1,0)</f>
        <v>0</v>
      </c>
      <c r="Y19" s="28">
        <f>IF(Q19="",0,1)</f>
        <v>0</v>
      </c>
      <c r="Z19" s="28">
        <f>IF(R19+U19=2,3,IF(R19+U19=1,1,0))</f>
        <v>0</v>
      </c>
      <c r="AA19" s="28">
        <f>IF(Z19=3,3,IF(X19+Z19=2,2,IF(Z19=1,1,0)))</f>
        <v>0</v>
      </c>
      <c r="AB19" s="28">
        <f>Q19+T19</f>
        <v>0</v>
      </c>
      <c r="AC19" s="28">
        <f>R19+U19+X19</f>
        <v>0</v>
      </c>
      <c r="AD19" s="28"/>
      <c r="AE19" s="123" t="str">
        <f>'Players - Men'!B47</f>
        <v>Mark Napier</v>
      </c>
      <c r="AF19" s="48">
        <f>Y19+Y27+Y35+J19+J31+Y39</f>
        <v>4</v>
      </c>
      <c r="AG19" s="48">
        <f>AA19+AA35+L31+AA27+L19+AA39</f>
        <v>10</v>
      </c>
      <c r="AH19" s="48">
        <f t="shared" ref="AH19:AI19" si="6">AB19+AB27+AB35+M19+M31+AB39</f>
        <v>45</v>
      </c>
      <c r="AI19" s="49">
        <f t="shared" si="6"/>
        <v>7</v>
      </c>
      <c r="AJ19" s="28"/>
      <c r="AK19" s="28"/>
      <c r="AL19" s="28"/>
      <c r="AM19" s="28"/>
      <c r="AN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</row>
    <row r="21" ht="14.25" customHeight="1">
      <c r="A21" s="42" t="str">
        <f>AE11</f>
        <v>Justin Scicluna</v>
      </c>
      <c r="B21" s="46"/>
      <c r="C21" s="44">
        <f>IF(B21&gt;B23,1,0)</f>
        <v>0</v>
      </c>
      <c r="D21" s="45"/>
      <c r="E21" s="46"/>
      <c r="F21" s="44">
        <f>IF(E21&gt;E23,1,0)</f>
        <v>0</v>
      </c>
      <c r="G21" s="45"/>
      <c r="H21" s="46"/>
      <c r="I21" s="28">
        <f>IF(H21&gt;H23,1,0)</f>
        <v>0</v>
      </c>
      <c r="J21" s="28">
        <f>IF(B21="",0,1)</f>
        <v>0</v>
      </c>
      <c r="K21" s="28">
        <f>IF(C21+F21=2,3,IF(C21+F21=1,1,0))</f>
        <v>0</v>
      </c>
      <c r="L21" s="28">
        <f>IF(K21=3,3,IF(I21+K21=2,2,IF(K21=1,1,0)))</f>
        <v>0</v>
      </c>
      <c r="M21" s="28">
        <f>B21+E21</f>
        <v>0</v>
      </c>
      <c r="N21" s="28">
        <f>C21+F21+I21</f>
        <v>0</v>
      </c>
      <c r="O21" s="28"/>
      <c r="P21" s="42" t="str">
        <f>AE11</f>
        <v>Justin Scicluna</v>
      </c>
      <c r="Q21" s="43">
        <v>6.0</v>
      </c>
      <c r="R21" s="44">
        <f>IF(Q21&gt;Q23,1,0)</f>
        <v>1</v>
      </c>
      <c r="S21" s="45"/>
      <c r="T21" s="43">
        <v>5.0</v>
      </c>
      <c r="U21" s="44">
        <f>IF(T21&gt;T23,1,0)</f>
        <v>0</v>
      </c>
      <c r="V21" s="45"/>
      <c r="W21" s="43">
        <v>10.0</v>
      </c>
      <c r="X21" s="28">
        <f>IF(W21&gt;W23,1,0)</f>
        <v>1</v>
      </c>
      <c r="Y21" s="28">
        <f>IF(Q21="",0,1)</f>
        <v>1</v>
      </c>
      <c r="Z21" s="28">
        <f>IF(R21+U21=2,3,IF(R21+U21=1,1,0))</f>
        <v>1</v>
      </c>
      <c r="AA21" s="28">
        <f>IF(Z21=3,3,IF(X21+Z21=2,2,IF(Z21=1,1,0)))</f>
        <v>2</v>
      </c>
      <c r="AB21" s="28">
        <f>Q21+T21</f>
        <v>11</v>
      </c>
      <c r="AC21" s="28">
        <f>R21+U21+X21</f>
        <v>2</v>
      </c>
      <c r="AD21" s="28"/>
      <c r="AE21" s="123" t="str">
        <f>'Players - Men'!B48</f>
        <v>Antoine Bugeja</v>
      </c>
      <c r="AF21" s="48">
        <f>J41+J47+J51+Y37+Y43+Y47</f>
        <v>3</v>
      </c>
      <c r="AG21" s="48">
        <f t="shared" ref="AG21:AI21" si="7">L41+L47+L51+AA37+AA43+AA47</f>
        <v>3</v>
      </c>
      <c r="AH21" s="48">
        <f t="shared" si="7"/>
        <v>31</v>
      </c>
      <c r="AI21" s="49">
        <f t="shared" si="7"/>
        <v>3</v>
      </c>
      <c r="AJ21" s="28"/>
      <c r="AK21" s="28"/>
      <c r="AL21" s="28"/>
      <c r="AM21" s="28"/>
      <c r="AN21" s="28"/>
    </row>
    <row r="22" ht="14.25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J22" s="28"/>
      <c r="AK22" s="28"/>
      <c r="AL22" s="28"/>
      <c r="AM22" s="28"/>
      <c r="AN22" s="28"/>
    </row>
    <row r="23" ht="14.25" customHeight="1">
      <c r="A23" s="53" t="str">
        <f>AE13</f>
        <v>Frank Agius</v>
      </c>
      <c r="B23" s="46"/>
      <c r="C23" s="54">
        <f>IF(B23&gt;B21,1,0)</f>
        <v>0</v>
      </c>
      <c r="D23" s="55"/>
      <c r="E23" s="46"/>
      <c r="F23" s="54">
        <f>IF(E23&gt;E21,1,0)</f>
        <v>0</v>
      </c>
      <c r="G23" s="55"/>
      <c r="H23" s="46"/>
      <c r="I23" s="28">
        <f>IF(H23&gt;H21,1,0)</f>
        <v>0</v>
      </c>
      <c r="J23" s="28">
        <f>IF(B23="",0,1)</f>
        <v>0</v>
      </c>
      <c r="K23" s="28">
        <f>IF(C23+F23=2,3,IF(C23+F23=1,1,0))</f>
        <v>0</v>
      </c>
      <c r="L23" s="28">
        <f>IF(K23=3,3,IF(I23+K23=2,2,IF(K23=1,1,0)))</f>
        <v>0</v>
      </c>
      <c r="M23" s="28">
        <f>B23+E23</f>
        <v>0</v>
      </c>
      <c r="N23" s="28">
        <f>C23+F23+I23</f>
        <v>0</v>
      </c>
      <c r="O23" s="28"/>
      <c r="P23" s="53" t="str">
        <f>AE15</f>
        <v>Chris Boot</v>
      </c>
      <c r="Q23" s="43">
        <v>2.0</v>
      </c>
      <c r="R23" s="54">
        <f>IF(Q23&gt;Q21,1,0)</f>
        <v>0</v>
      </c>
      <c r="S23" s="55"/>
      <c r="T23" s="43">
        <v>7.0</v>
      </c>
      <c r="U23" s="54">
        <f>IF(T23&gt;T21,1,0)</f>
        <v>1</v>
      </c>
      <c r="V23" s="55"/>
      <c r="W23" s="43">
        <v>7.0</v>
      </c>
      <c r="X23" s="28">
        <f>IF(W23&gt;W21,1,0)</f>
        <v>0</v>
      </c>
      <c r="Y23" s="28">
        <f>IF(Q23="",0,1)</f>
        <v>1</v>
      </c>
      <c r="Z23" s="28">
        <f>IF(R23+U23=2,3,IF(R23+U23=1,1,0))</f>
        <v>1</v>
      </c>
      <c r="AA23" s="28">
        <f>IF(Z23=3,3,IF(X23+Z23=2,2,IF(Z23=1,1,0)))</f>
        <v>1</v>
      </c>
      <c r="AB23" s="28">
        <f>Q23+T23</f>
        <v>9</v>
      </c>
      <c r="AC23" s="28">
        <f>R23+U23+X23</f>
        <v>1</v>
      </c>
      <c r="AD23" s="28"/>
      <c r="AJ23" s="28"/>
      <c r="AK23" s="28"/>
      <c r="AL23" s="28"/>
      <c r="AM23" s="28"/>
      <c r="AN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120" t="s">
        <v>90</v>
      </c>
      <c r="AF24" s="31"/>
      <c r="AG24" s="31"/>
      <c r="AH24" s="31"/>
      <c r="AI24" s="32"/>
      <c r="AJ24" s="28"/>
      <c r="AK24" s="28"/>
      <c r="AL24" s="28"/>
      <c r="AM24" s="28"/>
      <c r="AN24" s="28"/>
    </row>
    <row r="25" ht="14.25" customHeight="1">
      <c r="A25" s="42" t="str">
        <f>AE11</f>
        <v>Justin Scicluna</v>
      </c>
      <c r="B25" s="43">
        <v>6.0</v>
      </c>
      <c r="C25" s="44">
        <f>IF(B25&gt;B27,1,0)</f>
        <v>1</v>
      </c>
      <c r="D25" s="45"/>
      <c r="E25" s="43">
        <v>6.0</v>
      </c>
      <c r="F25" s="44">
        <f>IF(E25&gt;E27,1,0)</f>
        <v>1</v>
      </c>
      <c r="G25" s="45"/>
      <c r="H25" s="46"/>
      <c r="I25" s="28">
        <f>IF(H25&gt;H27,1,0)</f>
        <v>0</v>
      </c>
      <c r="J25" s="28">
        <f>IF(B25="",0,1)</f>
        <v>1</v>
      </c>
      <c r="K25" s="28">
        <f>IF(C25+F25=2,3,IF(C25+F25=1,1,0))</f>
        <v>3</v>
      </c>
      <c r="L25" s="28">
        <f>IF(K25=3,3,IF(I25+K25=2,2,IF(K25=1,1,0)))</f>
        <v>3</v>
      </c>
      <c r="M25" s="28">
        <f>B25+E25</f>
        <v>12</v>
      </c>
      <c r="N25" s="28">
        <f>C25+F25+I25</f>
        <v>2</v>
      </c>
      <c r="O25" s="28"/>
      <c r="P25" s="42" t="str">
        <f>AE11</f>
        <v>Justin Scicluna</v>
      </c>
      <c r="Q25" s="43">
        <v>2.0</v>
      </c>
      <c r="R25" s="44">
        <f>IF(Q25&gt;Q27,1,0)</f>
        <v>0</v>
      </c>
      <c r="S25" s="45"/>
      <c r="T25" s="43">
        <v>4.0</v>
      </c>
      <c r="U25" s="44">
        <f>IF(T25&gt;T27,1,0)</f>
        <v>0</v>
      </c>
      <c r="V25" s="45"/>
      <c r="W25" s="46"/>
      <c r="X25" s="28">
        <f>IF(W25&gt;W27,1,0)</f>
        <v>0</v>
      </c>
      <c r="Y25" s="28">
        <f>IF(Q25="",0,1)</f>
        <v>1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6</v>
      </c>
      <c r="AC25" s="28">
        <f>R25+U25+X25</f>
        <v>0</v>
      </c>
      <c r="AD25" s="28"/>
      <c r="AE25" s="59"/>
      <c r="AF25" s="31"/>
      <c r="AG25" s="31"/>
      <c r="AH25" s="31"/>
      <c r="AI25" s="32"/>
      <c r="AJ25" s="28"/>
      <c r="AK25" s="28"/>
      <c r="AL25" s="28"/>
      <c r="AM25" s="28"/>
      <c r="AN25" s="28"/>
    </row>
    <row r="26" ht="14.25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ht="14.25" customHeight="1">
      <c r="A27" s="53" t="str">
        <f>AE17</f>
        <v>Oliver Brincat</v>
      </c>
      <c r="B27" s="43">
        <v>1.0</v>
      </c>
      <c r="C27" s="54">
        <f>IF(B27&gt;B25,1,0)</f>
        <v>0</v>
      </c>
      <c r="D27" s="55"/>
      <c r="E27" s="43">
        <v>4.0</v>
      </c>
      <c r="F27" s="54">
        <f>IF(E27&gt;E25,1,0)</f>
        <v>0</v>
      </c>
      <c r="G27" s="55"/>
      <c r="H27" s="46"/>
      <c r="I27" s="28">
        <f>IF(H27&gt;H25,1,0)</f>
        <v>0</v>
      </c>
      <c r="J27" s="28">
        <f>IF(B27="",0,1)</f>
        <v>1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5</v>
      </c>
      <c r="N27" s="28">
        <f>C27+F27+I27</f>
        <v>0</v>
      </c>
      <c r="O27" s="28"/>
      <c r="P27" s="53" t="str">
        <f>AE19</f>
        <v>Mark Napier</v>
      </c>
      <c r="Q27" s="43">
        <v>6.0</v>
      </c>
      <c r="R27" s="54">
        <f>IF(Q27&gt;Q25,1,0)</f>
        <v>1</v>
      </c>
      <c r="S27" s="55"/>
      <c r="T27" s="43">
        <v>6.0</v>
      </c>
      <c r="U27" s="54">
        <f>IF(T27&gt;T25,1,0)</f>
        <v>1</v>
      </c>
      <c r="V27" s="55"/>
      <c r="W27" s="46"/>
      <c r="X27" s="28">
        <f>IF(W27&gt;W25,1,0)</f>
        <v>0</v>
      </c>
      <c r="Y27" s="28">
        <f>IF(Q27="",0,1)</f>
        <v>1</v>
      </c>
      <c r="Z27" s="28">
        <f>IF(R27+U27=2,3,IF(R27+U27=1,1,0))</f>
        <v>3</v>
      </c>
      <c r="AA27" s="28">
        <f>IF(Z27=3,3,IF(X27+Z27=2,2,IF(Z27=1,1,0)))</f>
        <v>3</v>
      </c>
      <c r="AB27" s="28">
        <f>Q27+T27</f>
        <v>12</v>
      </c>
      <c r="AC27" s="28">
        <f>R27+U27+X27</f>
        <v>2</v>
      </c>
      <c r="AD27" s="28"/>
      <c r="AE27" s="120" t="s">
        <v>91</v>
      </c>
      <c r="AF27" s="31"/>
      <c r="AG27" s="31"/>
      <c r="AH27" s="31"/>
      <c r="AI27" s="32"/>
      <c r="AJ27" s="28"/>
      <c r="AK27" s="28"/>
      <c r="AL27" s="28"/>
      <c r="AM27" s="28"/>
      <c r="AN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59"/>
      <c r="AF28" s="124"/>
      <c r="AG28" s="124"/>
      <c r="AH28" s="124"/>
      <c r="AI28" s="125"/>
      <c r="AJ28" s="28"/>
      <c r="AK28" s="28"/>
      <c r="AL28" s="28"/>
      <c r="AM28" s="28"/>
      <c r="AN28" s="28"/>
    </row>
    <row r="29" ht="14.25" customHeight="1">
      <c r="A29" s="42" t="str">
        <f>AE15</f>
        <v>Chris Boot</v>
      </c>
      <c r="B29" s="43">
        <v>6.0</v>
      </c>
      <c r="C29" s="44">
        <f>IF(B29&gt;B31,1,0)</f>
        <v>1</v>
      </c>
      <c r="D29" s="45"/>
      <c r="E29" s="43">
        <v>3.0</v>
      </c>
      <c r="F29" s="44">
        <f>IF(E29&gt;E31,1,0)</f>
        <v>0</v>
      </c>
      <c r="G29" s="45"/>
      <c r="H29" s="43">
        <v>10.0</v>
      </c>
      <c r="I29" s="28">
        <f>IF(H29&gt;H31,1,0)</f>
        <v>1</v>
      </c>
      <c r="J29" s="28">
        <f>IF(B29="",0,1)</f>
        <v>1</v>
      </c>
      <c r="K29" s="28">
        <f>IF(C29+F29=2,3,IF(C29+F29=1,1,0))</f>
        <v>1</v>
      </c>
      <c r="L29" s="28">
        <f>IF(K29=3,3,IF(I29+K29=2,2,IF(K29=1,1,0)))</f>
        <v>2</v>
      </c>
      <c r="M29" s="28">
        <f>B29+E29</f>
        <v>9</v>
      </c>
      <c r="N29" s="28">
        <f>C29+F29+I29</f>
        <v>2</v>
      </c>
      <c r="O29" s="28"/>
      <c r="P29" s="42" t="str">
        <f>AE13</f>
        <v>Frank Agius</v>
      </c>
      <c r="Q29" s="46"/>
      <c r="R29" s="44">
        <f>IF(Q29&gt;Q31,1,0)</f>
        <v>0</v>
      </c>
      <c r="S29" s="45"/>
      <c r="T29" s="46"/>
      <c r="U29" s="44">
        <f>IF(T29&gt;T31,1,0)</f>
        <v>0</v>
      </c>
      <c r="V29" s="45"/>
      <c r="W29" s="46"/>
      <c r="X29" s="28">
        <f>IF(W29&gt;W31,1,0)</f>
        <v>0</v>
      </c>
      <c r="Y29" s="28">
        <f>IF(Q29="",0,1)</f>
        <v>0</v>
      </c>
      <c r="Z29" s="28">
        <f>IF(R29+U29=2,3,IF(R29+U29=1,1,0))</f>
        <v>0</v>
      </c>
      <c r="AA29" s="28">
        <f>IF(Z29=3,3,IF(X29+Z29=2,2,IF(Z29=1,1,0)))</f>
        <v>0</v>
      </c>
      <c r="AB29" s="28">
        <f>Q29+T29</f>
        <v>0</v>
      </c>
      <c r="AC29" s="28">
        <f>R29+U29+X29</f>
        <v>0</v>
      </c>
      <c r="AD29" s="28"/>
      <c r="AJ29" s="28"/>
      <c r="AK29" s="28"/>
      <c r="AL29" s="28"/>
      <c r="AM29" s="28"/>
      <c r="AN29" s="28"/>
    </row>
    <row r="30" ht="14.25" customHeight="1">
      <c r="A30" s="50" t="s">
        <v>82</v>
      </c>
      <c r="H30" s="51"/>
      <c r="I30" s="52"/>
      <c r="J30" s="28"/>
      <c r="K30" s="28"/>
      <c r="L30" s="28"/>
      <c r="M30" s="28"/>
      <c r="N30" s="28"/>
      <c r="O30" s="28"/>
      <c r="P30" s="50" t="s">
        <v>82</v>
      </c>
      <c r="W30" s="51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</row>
    <row r="31" ht="14.25" customHeight="1">
      <c r="A31" s="53" t="str">
        <f>AE19</f>
        <v>Mark Napier</v>
      </c>
      <c r="B31" s="43">
        <v>3.0</v>
      </c>
      <c r="C31" s="54">
        <f>IF(B31&gt;B29,1,0)</f>
        <v>0</v>
      </c>
      <c r="D31" s="55"/>
      <c r="E31" s="43">
        <v>6.0</v>
      </c>
      <c r="F31" s="54">
        <f>IF(E31&gt;E29,1,0)</f>
        <v>1</v>
      </c>
      <c r="G31" s="55"/>
      <c r="H31" s="43">
        <v>5.0</v>
      </c>
      <c r="I31" s="28">
        <f>IF(H31&gt;H29,1,0)</f>
        <v>0</v>
      </c>
      <c r="J31" s="28">
        <f>IF(B31="",0,1)</f>
        <v>1</v>
      </c>
      <c r="K31" s="28">
        <f>IF(C31+F31=2,3,IF(C31+F31=1,1,0))</f>
        <v>1</v>
      </c>
      <c r="L31" s="28">
        <f>IF(K31=3,3,IF(I31+K31=2,2,IF(K31=1,1,0)))</f>
        <v>1</v>
      </c>
      <c r="M31" s="28">
        <f>B31+E31</f>
        <v>9</v>
      </c>
      <c r="N31" s="28">
        <f>C31+F31+I31</f>
        <v>1</v>
      </c>
      <c r="O31" s="28"/>
      <c r="P31" s="53" t="str">
        <f>AE15</f>
        <v>Chris Boot</v>
      </c>
      <c r="Q31" s="46"/>
      <c r="R31" s="54">
        <f>IF(Q31&gt;Q29,1,0)</f>
        <v>0</v>
      </c>
      <c r="S31" s="55"/>
      <c r="T31" s="46"/>
      <c r="U31" s="54">
        <f>IF(T31&gt;T29,1,0)</f>
        <v>0</v>
      </c>
      <c r="V31" s="55"/>
      <c r="W31" s="46"/>
      <c r="X31" s="28">
        <f>IF(W31&gt;W29,1,0)</f>
        <v>0</v>
      </c>
      <c r="Y31" s="28">
        <f>IF(Q31="",0,1)</f>
        <v>0</v>
      </c>
      <c r="Z31" s="28">
        <f>IF(R31+U31=2,3,IF(R31+U31=1,1,0))</f>
        <v>0</v>
      </c>
      <c r="AA31" s="28">
        <f>IF(Z31=3,3,IF(X31+Z31=2,2,IF(Z31=1,1,0)))</f>
        <v>0</v>
      </c>
      <c r="AB31" s="28">
        <f>Q31+T31</f>
        <v>0</v>
      </c>
      <c r="AC31" s="28">
        <f>R31+U31+X31</f>
        <v>0</v>
      </c>
      <c r="AD31" s="28"/>
      <c r="AJ31" s="28"/>
      <c r="AK31" s="28"/>
      <c r="AL31" s="28"/>
      <c r="AM31" s="28"/>
      <c r="AN31" s="28"/>
    </row>
    <row r="32" ht="14.25" customHeight="1">
      <c r="A32" s="28"/>
      <c r="B32" s="28"/>
      <c r="C32" s="28"/>
      <c r="D32" s="28"/>
      <c r="E32" s="37"/>
      <c r="F32" s="28"/>
      <c r="G32" s="28"/>
      <c r="H32" s="37"/>
      <c r="I32" s="28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7"/>
      <c r="Z32" s="28"/>
      <c r="AA32" s="28"/>
      <c r="AB32" s="28"/>
      <c r="AC32" s="28"/>
      <c r="AD32" s="28"/>
      <c r="AJ32" s="28"/>
      <c r="AK32" s="28"/>
      <c r="AL32" s="28"/>
      <c r="AM32" s="28"/>
      <c r="AN32" s="28"/>
    </row>
    <row r="33" ht="14.25" customHeight="1">
      <c r="A33" s="42" t="str">
        <f>AE13</f>
        <v>Frank Agius</v>
      </c>
      <c r="B33" s="43">
        <v>6.0</v>
      </c>
      <c r="C33" s="44">
        <f>IF(B33&gt;B35,1,0)</f>
        <v>1</v>
      </c>
      <c r="D33" s="45"/>
      <c r="E33" s="43">
        <v>6.0</v>
      </c>
      <c r="F33" s="44">
        <f>IF(E33&gt;E35,1,0)</f>
        <v>1</v>
      </c>
      <c r="G33" s="45"/>
      <c r="H33" s="46"/>
      <c r="I33" s="28">
        <f>IF(H33&gt;H35,1,0)</f>
        <v>0</v>
      </c>
      <c r="J33" s="28">
        <f>IF(B33="",0,1)</f>
        <v>1</v>
      </c>
      <c r="K33" s="28">
        <f>IF(C33+F33=2,3,IF(C33+F33=1,1,0))</f>
        <v>3</v>
      </c>
      <c r="L33" s="28">
        <f>IF(K33=3,3,IF(I33+K33=2,2,IF(K33=1,1,0)))</f>
        <v>3</v>
      </c>
      <c r="M33" s="28">
        <f>B33+E33</f>
        <v>12</v>
      </c>
      <c r="N33" s="28">
        <f>C33+F33+I33</f>
        <v>2</v>
      </c>
      <c r="O33" s="28"/>
      <c r="P33" s="42" t="str">
        <f>AE13</f>
        <v>Frank Agius</v>
      </c>
      <c r="Q33" s="43">
        <v>2.0</v>
      </c>
      <c r="R33" s="44"/>
      <c r="S33" s="45"/>
      <c r="T33" s="43">
        <v>4.0</v>
      </c>
      <c r="U33" s="44">
        <f>IF(T33&gt;T35,1,0)</f>
        <v>0</v>
      </c>
      <c r="V33" s="45"/>
      <c r="W33" s="46"/>
      <c r="X33" s="28">
        <f>IF(W33&gt;W35,1,0)</f>
        <v>0</v>
      </c>
      <c r="Y33" s="28">
        <f>IF(Q33="",0,1)</f>
        <v>1</v>
      </c>
      <c r="Z33" s="28">
        <f>IF(R33+U33=2,3,IF(R33+U33=1,1,0))</f>
        <v>0</v>
      </c>
      <c r="AA33" s="28">
        <f>IF(Z33=3,3,IF(X33+Z33=2,2,IF(Z33=1,1,0)))</f>
        <v>0</v>
      </c>
      <c r="AB33" s="28">
        <f>Q33+T33</f>
        <v>6</v>
      </c>
      <c r="AC33" s="28">
        <f>R33+U33+X33</f>
        <v>0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4.25" customHeight="1">
      <c r="A34" s="50" t="s">
        <v>82</v>
      </c>
      <c r="H34" s="51"/>
      <c r="I34" s="52"/>
      <c r="J34" s="28"/>
      <c r="K34" s="28"/>
      <c r="L34" s="28"/>
      <c r="M34" s="28"/>
      <c r="N34" s="28"/>
      <c r="O34" s="28"/>
      <c r="P34" s="50" t="s">
        <v>82</v>
      </c>
      <c r="W34" s="51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4.25" customHeight="1">
      <c r="A35" s="53" t="str">
        <f>AE17</f>
        <v>Oliver Brincat</v>
      </c>
      <c r="B35" s="43">
        <v>1.0</v>
      </c>
      <c r="C35" s="54">
        <f>IF(B35&gt;B33,1,0)</f>
        <v>0</v>
      </c>
      <c r="D35" s="55"/>
      <c r="E35" s="43">
        <v>2.0</v>
      </c>
      <c r="F35" s="54">
        <f>IF(E35&gt;E33,1,0)</f>
        <v>0</v>
      </c>
      <c r="G35" s="55"/>
      <c r="H35" s="46"/>
      <c r="I35" s="28">
        <f>IF(H35&gt;H33,1,0)</f>
        <v>0</v>
      </c>
      <c r="J35" s="28">
        <f>IF(B35="",0,1)</f>
        <v>1</v>
      </c>
      <c r="K35" s="28">
        <f>IF(C35+F35=2,3,IF(C35+F35=1,1,0))</f>
        <v>0</v>
      </c>
      <c r="L35" s="28">
        <f>IF(K35=3,3,IF(I35+K35=2,2,IF(K35=1,1,0)))</f>
        <v>0</v>
      </c>
      <c r="M35" s="28">
        <f>B35+E35</f>
        <v>3</v>
      </c>
      <c r="N35" s="28">
        <f>C35+F35+I35</f>
        <v>0</v>
      </c>
      <c r="O35" s="28"/>
      <c r="P35" s="53" t="str">
        <f>AE19</f>
        <v>Mark Napier</v>
      </c>
      <c r="Q35" s="43">
        <v>6.0</v>
      </c>
      <c r="R35" s="54">
        <f>IF(Q35&gt;Q33,1,0)</f>
        <v>1</v>
      </c>
      <c r="S35" s="55"/>
      <c r="T35" s="43">
        <v>6.0</v>
      </c>
      <c r="U35" s="54">
        <f>IF(T35&gt;T33,1,0)</f>
        <v>1</v>
      </c>
      <c r="V35" s="55"/>
      <c r="W35" s="46"/>
      <c r="X35" s="28">
        <f>IF(W35&gt;W33,1,0)</f>
        <v>0</v>
      </c>
      <c r="Y35" s="28">
        <f>IF(Q35="",0,1)</f>
        <v>1</v>
      </c>
      <c r="Z35" s="28">
        <f>IF(R35+U35=2,3,IF(R35+U35=1,1,0))</f>
        <v>3</v>
      </c>
      <c r="AA35" s="28">
        <f>IF(Z35=3,3,IF(X35+Z35=2,2,IF(Z35=1,1,0)))</f>
        <v>3</v>
      </c>
      <c r="AB35" s="28">
        <f>Q35+T35</f>
        <v>12</v>
      </c>
      <c r="AC35" s="28">
        <f>R35+U35+X35</f>
        <v>2</v>
      </c>
      <c r="AD35" s="28"/>
      <c r="AE35" s="126"/>
      <c r="AF35" s="28"/>
      <c r="AG35" s="28"/>
      <c r="AH35" s="28"/>
      <c r="AI35" s="28"/>
      <c r="AJ35" s="28"/>
      <c r="AK35" s="28"/>
      <c r="AL35" s="28"/>
      <c r="AM35" s="28"/>
      <c r="AN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28"/>
      <c r="AL36" s="28"/>
      <c r="AM36" s="28"/>
      <c r="AN36" s="28"/>
    </row>
    <row r="37" ht="14.25" customHeight="1">
      <c r="A37" s="42" t="str">
        <f>AE15</f>
        <v>Chris Boot</v>
      </c>
      <c r="B37" s="43">
        <v>6.0</v>
      </c>
      <c r="C37" s="44">
        <f>IF(B37&gt;B39,1,0)</f>
        <v>1</v>
      </c>
      <c r="D37" s="45"/>
      <c r="E37" s="43">
        <v>3.0</v>
      </c>
      <c r="F37" s="44">
        <f>IF(E37&gt;E39,1,0)</f>
        <v>0</v>
      </c>
      <c r="G37" s="45"/>
      <c r="H37" s="43">
        <v>10.0</v>
      </c>
      <c r="I37" s="28">
        <f>IF(H37&gt;H39,1,0)</f>
        <v>1</v>
      </c>
      <c r="J37" s="28">
        <f>IF(B37="",0,1)</f>
        <v>1</v>
      </c>
      <c r="K37" s="28">
        <f>IF(C37+F37=2,3,IF(C37+F37=1,1,0))</f>
        <v>1</v>
      </c>
      <c r="L37" s="28">
        <f>IF(K37=3,3,IF(I37+K37=2,2,IF(K37=1,1,0)))</f>
        <v>2</v>
      </c>
      <c r="M37" s="28">
        <f>B37+E37</f>
        <v>9</v>
      </c>
      <c r="N37" s="28">
        <f>C37+F37+I37</f>
        <v>2</v>
      </c>
      <c r="O37" s="28"/>
      <c r="P37" s="42" t="str">
        <f>AE21</f>
        <v>Antoine Bugeja</v>
      </c>
      <c r="Q37" s="46"/>
      <c r="R37" s="44">
        <f>IF(Q37&gt;Q39,1,0)</f>
        <v>0</v>
      </c>
      <c r="S37" s="45"/>
      <c r="T37" s="46"/>
      <c r="U37" s="44">
        <f>IF(T37&gt;T39,1,0)</f>
        <v>0</v>
      </c>
      <c r="V37" s="45"/>
      <c r="W37" s="46"/>
      <c r="X37" s="28">
        <f>IF(W37&gt;W35,1,0)</f>
        <v>0</v>
      </c>
      <c r="Y37" s="28">
        <f>IF(Q37="",0,1)</f>
        <v>0</v>
      </c>
      <c r="Z37" s="28">
        <f>IF(R37+U37=2,3,IF(R37+U37=1,1,0))</f>
        <v>0</v>
      </c>
      <c r="AA37" s="28">
        <f>IF(Z37=3,3,IF(X37+Z37=2,2,IF(Z37=1,1,0)))</f>
        <v>0</v>
      </c>
      <c r="AB37" s="28">
        <f>Q37+T37</f>
        <v>0</v>
      </c>
      <c r="AC37" s="28">
        <f>R37+U37+X37</f>
        <v>0</v>
      </c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</row>
    <row r="38" ht="14.25" customHeight="1">
      <c r="A38" s="50" t="s">
        <v>82</v>
      </c>
      <c r="H38" s="51"/>
      <c r="I38" s="52"/>
      <c r="J38" s="28"/>
      <c r="K38" s="28"/>
      <c r="L38" s="28"/>
      <c r="M38" s="28"/>
      <c r="N38" s="28"/>
      <c r="O38" s="28"/>
      <c r="P38" s="50" t="s">
        <v>82</v>
      </c>
      <c r="W38" s="51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ht="14.25" customHeight="1">
      <c r="A39" s="53" t="str">
        <f>AE17</f>
        <v>Oliver Brincat</v>
      </c>
      <c r="B39" s="43">
        <v>3.0</v>
      </c>
      <c r="C39" s="54">
        <f>IF(B39&gt;B37,1,0)</f>
        <v>0</v>
      </c>
      <c r="D39" s="55"/>
      <c r="E39" s="43">
        <v>6.0</v>
      </c>
      <c r="F39" s="54">
        <f>IF(E39&gt;E37,1,0)</f>
        <v>1</v>
      </c>
      <c r="G39" s="55"/>
      <c r="H39" s="43">
        <v>8.0</v>
      </c>
      <c r="I39" s="28">
        <f>IF(H39&gt;H37,1,0)</f>
        <v>0</v>
      </c>
      <c r="J39" s="28">
        <f>IF(B39="",0,1)</f>
        <v>1</v>
      </c>
      <c r="K39" s="28">
        <f>IF(C39+F39=2,3,IF(C39+F39=1,1,0))</f>
        <v>1</v>
      </c>
      <c r="L39" s="28">
        <f>IF(K39=3,3,IF(I39+K39=2,2,IF(K39=1,1,0)))</f>
        <v>1</v>
      </c>
      <c r="M39" s="28">
        <f>B39+E39</f>
        <v>9</v>
      </c>
      <c r="N39" s="28">
        <f>C39+F39+I39</f>
        <v>1</v>
      </c>
      <c r="O39" s="28"/>
      <c r="P39" s="53" t="str">
        <f>AE19</f>
        <v>Mark Napier</v>
      </c>
      <c r="Q39" s="46"/>
      <c r="R39" s="54">
        <f>IF(Q39&gt;Q37,1,0)</f>
        <v>0</v>
      </c>
      <c r="S39" s="55"/>
      <c r="T39" s="46"/>
      <c r="U39" s="54">
        <f>IF(T39&gt;T37,1,0)</f>
        <v>0</v>
      </c>
      <c r="V39" s="55"/>
      <c r="W39" s="46"/>
      <c r="X39" s="28">
        <f>IF(W39&gt;W37,1,0)</f>
        <v>0</v>
      </c>
      <c r="Y39" s="28">
        <f>IF(Q39="",0,1)</f>
        <v>0</v>
      </c>
      <c r="Z39" s="28">
        <f>IF(R39+U39=2,3,IF(R39+U39=1,1,0))</f>
        <v>0</v>
      </c>
      <c r="AA39" s="28">
        <f>IF(Z39=3,3,IF(X39+Z39=2,2,IF(Z39=1,1,0)))</f>
        <v>0</v>
      </c>
      <c r="AB39" s="28">
        <f>Q39+T39</f>
        <v>0</v>
      </c>
      <c r="AC39" s="28">
        <f>R39+U39+X39</f>
        <v>0</v>
      </c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4.25" customHeight="1">
      <c r="A41" s="42" t="str">
        <f>AE21</f>
        <v>Antoine Bugeja</v>
      </c>
      <c r="B41" s="43">
        <v>7.0</v>
      </c>
      <c r="C41" s="44">
        <f>IF(B41&gt;B43,1,0)</f>
        <v>1</v>
      </c>
      <c r="D41" s="45"/>
      <c r="E41" s="43">
        <v>3.0</v>
      </c>
      <c r="F41" s="44">
        <f>IF(E41&gt;E43,1,0)</f>
        <v>0</v>
      </c>
      <c r="G41" s="45"/>
      <c r="H41" s="43">
        <v>9.0</v>
      </c>
      <c r="I41" s="28">
        <f>IF(H41&gt;H39,1,0)</f>
        <v>1</v>
      </c>
      <c r="J41" s="28">
        <f>IF(B41="",0,1)</f>
        <v>1</v>
      </c>
      <c r="K41" s="28">
        <f>IF(C41+F41=2,3,IF(C41+F41=1,1,0))</f>
        <v>1</v>
      </c>
      <c r="L41" s="28">
        <f>IF(K41=3,3,IF(I41+K41=2,2,IF(K41=1,1,0)))</f>
        <v>2</v>
      </c>
      <c r="M41" s="28">
        <f>B41+E41</f>
        <v>10</v>
      </c>
      <c r="N41" s="28">
        <f>C41+F41+I41</f>
        <v>2</v>
      </c>
      <c r="O41" s="28"/>
      <c r="P41" s="42" t="str">
        <f>AE17</f>
        <v>Oliver Brincat</v>
      </c>
      <c r="Q41" s="46"/>
      <c r="R41" s="44">
        <f>IF(Q41&gt;Q43,1,0)</f>
        <v>0</v>
      </c>
      <c r="S41" s="45"/>
      <c r="T41" s="46"/>
      <c r="U41" s="44">
        <f>IF(T41&gt;T43,1,0)</f>
        <v>0</v>
      </c>
      <c r="V41" s="45"/>
      <c r="W41" s="46"/>
      <c r="X41" s="28">
        <f>IF(W41&gt;W39,1,0)</f>
        <v>0</v>
      </c>
      <c r="Y41" s="28">
        <f>IF(Q41="",0,1)</f>
        <v>0</v>
      </c>
      <c r="Z41" s="28">
        <f>IF(R41+U41=2,3,IF(R41+U41=1,1,0))</f>
        <v>0</v>
      </c>
      <c r="AA41" s="28">
        <f>IF(Z41=3,3,IF(X41+Z41=2,2,IF(Z41=1,1,0)))</f>
        <v>0</v>
      </c>
      <c r="AB41" s="28">
        <f>Q41+T41</f>
        <v>0</v>
      </c>
      <c r="AC41" s="28">
        <f>R41+U41+X41</f>
        <v>0</v>
      </c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ht="14.25" customHeight="1">
      <c r="A42" s="50" t="s">
        <v>82</v>
      </c>
      <c r="H42" s="51"/>
      <c r="I42" s="28"/>
      <c r="J42" s="28"/>
      <c r="K42" s="28"/>
      <c r="L42" s="28"/>
      <c r="M42" s="28"/>
      <c r="N42" s="28"/>
      <c r="O42" s="28"/>
      <c r="P42" s="50" t="s">
        <v>82</v>
      </c>
      <c r="W42" s="51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ht="14.25" customHeight="1">
      <c r="A43" s="53" t="str">
        <f>P23</f>
        <v>Chris Boot</v>
      </c>
      <c r="B43" s="43">
        <v>6.0</v>
      </c>
      <c r="C43" s="54">
        <f>IF(B43&gt;B41,1,0)</f>
        <v>0</v>
      </c>
      <c r="D43" s="55"/>
      <c r="E43" s="43">
        <v>6.0</v>
      </c>
      <c r="F43" s="54">
        <f>IF(E43&gt;E41,1,0)</f>
        <v>1</v>
      </c>
      <c r="G43" s="55"/>
      <c r="H43" s="43">
        <v>11.0</v>
      </c>
      <c r="I43" s="28">
        <f>IF(H43&gt;H41,1,0)</f>
        <v>1</v>
      </c>
      <c r="J43" s="28">
        <f>IF(B43="",0,1)</f>
        <v>1</v>
      </c>
      <c r="K43" s="28">
        <f>IF(C43+F43=2,3,IF(C43+F43=1,1,0))</f>
        <v>1</v>
      </c>
      <c r="L43" s="28">
        <f>IF(K43=3,3,IF(I43+K43=2,2,IF(K43=1,1,0)))</f>
        <v>2</v>
      </c>
      <c r="M43" s="28">
        <f>B43+E43</f>
        <v>12</v>
      </c>
      <c r="N43" s="28">
        <f>C43+F43+I43</f>
        <v>2</v>
      </c>
      <c r="O43" s="28"/>
      <c r="P43" s="53" t="str">
        <f>AE21</f>
        <v>Antoine Bugeja</v>
      </c>
      <c r="Q43" s="46"/>
      <c r="R43" s="54">
        <f>IF(Q43&gt;Q41,1,0)</f>
        <v>0</v>
      </c>
      <c r="S43" s="55"/>
      <c r="T43" s="46"/>
      <c r="U43" s="54">
        <f>IF(T43&gt;T41,1,0)</f>
        <v>0</v>
      </c>
      <c r="V43" s="55"/>
      <c r="W43" s="46"/>
      <c r="X43" s="28">
        <f>IF(W43&gt;W41,1,0)</f>
        <v>0</v>
      </c>
      <c r="Y43" s="28">
        <f>IF(Q43="",0,1)</f>
        <v>0</v>
      </c>
      <c r="Z43" s="28">
        <f>IF(R43+U43=2,3,IF(R43+U43=1,1,0))</f>
        <v>0</v>
      </c>
      <c r="AA43" s="28">
        <f>IF(Z43=3,3,IF(X43+Z43=2,2,IF(Z43=1,1,0)))</f>
        <v>0</v>
      </c>
      <c r="AB43" s="28">
        <f>Q43+T43</f>
        <v>0</v>
      </c>
      <c r="AC43" s="28">
        <f>R43+U43+X43</f>
        <v>0</v>
      </c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ht="14.25" customHeight="1">
      <c r="A45" s="42" t="str">
        <f>AE13</f>
        <v>Frank Agius</v>
      </c>
      <c r="B45" s="43">
        <v>7.0</v>
      </c>
      <c r="C45" s="44">
        <f>IF(B45&gt;B47,1,0)</f>
        <v>1</v>
      </c>
      <c r="D45" s="45"/>
      <c r="E45" s="43">
        <v>6.0</v>
      </c>
      <c r="F45" s="44">
        <f>IF(E45&gt;E47,1,0)</f>
        <v>1</v>
      </c>
      <c r="G45" s="45"/>
      <c r="H45" s="46"/>
      <c r="I45" s="28">
        <f>IF(H45&gt;H43,1,0)</f>
        <v>0</v>
      </c>
      <c r="J45" s="28">
        <f>IF(B45="",0,1)</f>
        <v>1</v>
      </c>
      <c r="K45" s="28">
        <f>IF(C45+F45=2,3,IF(C45+F45=1,1,0))</f>
        <v>3</v>
      </c>
      <c r="L45" s="28">
        <f>IF(K45=3,3,IF(I45+K45=2,2,IF(K45=1,1,0)))</f>
        <v>3</v>
      </c>
      <c r="M45" s="28">
        <f>B45+E45</f>
        <v>13</v>
      </c>
      <c r="N45" s="28">
        <f>C45+F45+I45</f>
        <v>2</v>
      </c>
      <c r="O45" s="28"/>
      <c r="P45" s="42" t="str">
        <f>AE11</f>
        <v>Justin Scicluna</v>
      </c>
      <c r="Q45" s="46"/>
      <c r="R45" s="44">
        <f>IF(Q45&gt;Q47,1,0)</f>
        <v>0</v>
      </c>
      <c r="S45" s="45"/>
      <c r="T45" s="46"/>
      <c r="U45" s="44">
        <f>IF(T45&gt;T47,1,0)</f>
        <v>0</v>
      </c>
      <c r="V45" s="45"/>
      <c r="W45" s="46"/>
      <c r="X45" s="28">
        <f>IF(W45&gt;W43,1,0)</f>
        <v>0</v>
      </c>
      <c r="Y45" s="28">
        <f>IF(Q45="",0,1)</f>
        <v>0</v>
      </c>
      <c r="Z45" s="28">
        <f>IF(R45+U45=2,3,IF(R45+U45=1,1,0))</f>
        <v>0</v>
      </c>
      <c r="AA45" s="28">
        <f>IF(Z45=3,3,IF(X45+Z45=2,2,IF(Z45=1,1,0)))</f>
        <v>0</v>
      </c>
      <c r="AB45" s="28">
        <f>Q45+T45</f>
        <v>0</v>
      </c>
      <c r="AC45" s="28">
        <f>R45+U45+X45</f>
        <v>0</v>
      </c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ht="14.25" customHeight="1">
      <c r="A46" s="50" t="s">
        <v>82</v>
      </c>
      <c r="H46" s="51"/>
      <c r="I46" s="28"/>
      <c r="J46" s="28"/>
      <c r="K46" s="28"/>
      <c r="L46" s="28"/>
      <c r="M46" s="28"/>
      <c r="N46" s="28"/>
      <c r="O46" s="28"/>
      <c r="P46" s="50" t="s">
        <v>82</v>
      </c>
      <c r="W46" s="51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</row>
    <row r="47" ht="14.25" customHeight="1">
      <c r="A47" s="53" t="str">
        <f>AE21</f>
        <v>Antoine Bugeja</v>
      </c>
      <c r="B47" s="43">
        <v>6.0</v>
      </c>
      <c r="C47" s="54">
        <f>IF(B47&gt;B45,1,0)</f>
        <v>0</v>
      </c>
      <c r="D47" s="55"/>
      <c r="E47" s="43">
        <v>3.0</v>
      </c>
      <c r="F47" s="54">
        <f>IF(E47&gt;E45,1,0)</f>
        <v>0</v>
      </c>
      <c r="G47" s="55"/>
      <c r="H47" s="46"/>
      <c r="I47" s="28">
        <f>IF(H47&gt;H45,1,0)</f>
        <v>0</v>
      </c>
      <c r="J47" s="28">
        <f>IF(B47="",0,1)</f>
        <v>1</v>
      </c>
      <c r="K47" s="28">
        <f>IF(C47+F47=2,3,IF(C47+F47=1,1,0))</f>
        <v>0</v>
      </c>
      <c r="L47" s="28">
        <f>IF(K47=3,3,IF(I47+K47=2,2,IF(K47=1,1,0)))</f>
        <v>0</v>
      </c>
      <c r="M47" s="28">
        <f>B47+E47</f>
        <v>9</v>
      </c>
      <c r="N47" s="28">
        <f>C47+F47+I47</f>
        <v>0</v>
      </c>
      <c r="O47" s="28"/>
      <c r="P47" s="53" t="str">
        <f>AE21</f>
        <v>Antoine Bugeja</v>
      </c>
      <c r="Q47" s="46"/>
      <c r="R47" s="54">
        <f>IF(Q47&gt;Q45,1,0)</f>
        <v>0</v>
      </c>
      <c r="S47" s="55"/>
      <c r="T47" s="46"/>
      <c r="U47" s="54">
        <f>IF(T47&gt;T45,1,0)</f>
        <v>0</v>
      </c>
      <c r="V47" s="55"/>
      <c r="W47" s="46"/>
      <c r="X47" s="28">
        <f>IF(W47&gt;W45,1,0)</f>
        <v>0</v>
      </c>
      <c r="Y47" s="28">
        <f>IF(Q47="",0,1)</f>
        <v>0</v>
      </c>
      <c r="Z47" s="28">
        <f>IF(R47+U47=2,3,IF(R47+U47=1,1,0))</f>
        <v>0</v>
      </c>
      <c r="AA47" s="28">
        <f>IF(Z47=3,3,IF(X47+Z47=2,2,IF(Z47=1,1,0)))</f>
        <v>0</v>
      </c>
      <c r="AB47" s="28">
        <f>Q47+T47</f>
        <v>0</v>
      </c>
      <c r="AC47" s="28">
        <f>R47+U47+X47</f>
        <v>0</v>
      </c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37"/>
      <c r="R48" s="37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ht="14.25" customHeight="1">
      <c r="A49" s="62" t="s">
        <v>54</v>
      </c>
      <c r="B49" s="43">
        <v>3.0</v>
      </c>
      <c r="C49" s="44">
        <f>IF(B49&gt;B51,1,0)</f>
        <v>0</v>
      </c>
      <c r="D49" s="45"/>
      <c r="E49" s="43">
        <v>7.0</v>
      </c>
      <c r="F49" s="44">
        <f>IF(E49&gt;E51,1,0)</f>
        <v>1</v>
      </c>
      <c r="G49" s="45"/>
      <c r="H49" s="43">
        <v>10.0</v>
      </c>
      <c r="I49" s="28">
        <f>IF(H49&gt;H47,1,0)</f>
        <v>1</v>
      </c>
      <c r="J49" s="28">
        <f>IF(B49="",0,1)</f>
        <v>1</v>
      </c>
      <c r="K49" s="28">
        <f>IF(C49+F49=2,3,IF(C49+F49=1,1,0))</f>
        <v>1</v>
      </c>
      <c r="L49" s="28">
        <f>IF(K49=3,3,IF(I49+K49=2,2,IF(K49=1,1,0)))</f>
        <v>2</v>
      </c>
      <c r="M49" s="28">
        <f>B49+E49</f>
        <v>10</v>
      </c>
      <c r="N49" s="28">
        <f>C49+F49+I49</f>
        <v>2</v>
      </c>
      <c r="O49" s="28"/>
      <c r="P49" s="104"/>
      <c r="Q49" s="127"/>
      <c r="R49" s="28"/>
      <c r="S49" s="37"/>
      <c r="T49" s="127"/>
      <c r="U49" s="28"/>
      <c r="V49" s="37"/>
      <c r="W49" s="127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ht="14.25" customHeight="1">
      <c r="A50" s="50" t="s">
        <v>82</v>
      </c>
      <c r="H50" s="51"/>
      <c r="I50" s="28"/>
      <c r="J50" s="28"/>
      <c r="K50" s="28"/>
      <c r="L50" s="28"/>
      <c r="M50" s="28"/>
      <c r="N50" s="28"/>
      <c r="O50" s="28"/>
      <c r="P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ht="14.25" customHeight="1">
      <c r="A51" s="53" t="str">
        <f>AE21</f>
        <v>Antoine Bugeja</v>
      </c>
      <c r="B51" s="43">
        <v>6.0</v>
      </c>
      <c r="C51" s="54">
        <f>IF(B51&gt;B49,1,0)</f>
        <v>1</v>
      </c>
      <c r="D51" s="55"/>
      <c r="E51" s="43">
        <v>6.0</v>
      </c>
      <c r="F51" s="54">
        <f>IF(E51&gt;E49,1,0)</f>
        <v>0</v>
      </c>
      <c r="G51" s="55"/>
      <c r="H51" s="43">
        <v>8.0</v>
      </c>
      <c r="I51" s="28">
        <f>IF(H51&gt;H49,1,0)</f>
        <v>0</v>
      </c>
      <c r="J51" s="28">
        <f>IF(B51="",0,1)</f>
        <v>1</v>
      </c>
      <c r="K51" s="28">
        <f>IF(C51+F51=2,3,IF(C51+F51=1,1,0))</f>
        <v>1</v>
      </c>
      <c r="L51" s="28">
        <f>IF(K51=3,3,IF(I51+K51=2,2,IF(K51=1,1,0)))</f>
        <v>1</v>
      </c>
      <c r="M51" s="28">
        <f>B51+E51</f>
        <v>12</v>
      </c>
      <c r="N51" s="28">
        <f>C51+F51+I51</f>
        <v>1</v>
      </c>
      <c r="O51" s="28"/>
      <c r="P51" s="104"/>
      <c r="Q51" s="127"/>
      <c r="R51" s="28"/>
      <c r="S51" s="37"/>
      <c r="T51" s="127"/>
      <c r="U51" s="28"/>
      <c r="V51" s="37"/>
      <c r="W51" s="127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">
    <mergeCell ref="A1:AI3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22:H22"/>
    <mergeCell ref="P22:W22"/>
    <mergeCell ref="AE24:AI24"/>
    <mergeCell ref="AE25:AI25"/>
    <mergeCell ref="A38:H38"/>
    <mergeCell ref="P38:W38"/>
    <mergeCell ref="A42:H42"/>
    <mergeCell ref="P42:W42"/>
    <mergeCell ref="A46:H46"/>
    <mergeCell ref="P46:W46"/>
    <mergeCell ref="A50:H50"/>
    <mergeCell ref="P50:W50"/>
    <mergeCell ref="A26:H26"/>
    <mergeCell ref="P26:W26"/>
    <mergeCell ref="AE27:AI27"/>
    <mergeCell ref="A30:H30"/>
    <mergeCell ref="P30:W30"/>
    <mergeCell ref="A34:H34"/>
    <mergeCell ref="P34:W34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64.63"/>
    <col customWidth="1" min="3" max="3" width="9.13"/>
    <col customWidth="1" min="4" max="4" width="24.75"/>
    <col customWidth="1" min="5" max="8" width="9.13"/>
    <col customWidth="1" min="9" max="36" width="8.63"/>
  </cols>
  <sheetData>
    <row r="1" ht="15.0" customHeight="1">
      <c r="A1" s="1" t="s">
        <v>0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ht="15.0" customHeight="1"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ht="15.0" customHeight="1"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ht="15.0" customHeight="1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15.0" customHeight="1">
      <c r="A5" s="129"/>
      <c r="B5" s="12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30"/>
      <c r="B6" s="131" t="s">
        <v>98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15.0" customHeight="1">
      <c r="A7" s="7">
        <v>1.0</v>
      </c>
      <c r="B7" s="8" t="s">
        <v>99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15.0" customHeight="1">
      <c r="A8" s="7">
        <v>2.0</v>
      </c>
      <c r="B8" s="15" t="s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15.0" customHeight="1">
      <c r="A9" s="7">
        <v>3.0</v>
      </c>
      <c r="B9" s="9" t="s">
        <v>101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15.0" customHeight="1">
      <c r="A10" s="7">
        <v>4.0</v>
      </c>
      <c r="B10" s="9" t="s">
        <v>102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15.0" customHeight="1">
      <c r="A11" s="7">
        <v>5.0</v>
      </c>
      <c r="B11" s="9" t="s">
        <v>103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15.0" customHeight="1">
      <c r="A12" s="130"/>
      <c r="B12" s="13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130"/>
      <c r="B13" s="132" t="s">
        <v>104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15.0" customHeight="1">
      <c r="A14" s="7">
        <v>1.0</v>
      </c>
      <c r="B14" s="8" t="s">
        <v>105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15.0" customHeight="1">
      <c r="A15" s="7">
        <v>2.0</v>
      </c>
      <c r="B15" s="8" t="s">
        <v>106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15.0" customHeight="1">
      <c r="A16" s="7">
        <v>3.0</v>
      </c>
      <c r="B16" s="8" t="s">
        <v>107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5.0" customHeight="1">
      <c r="A17" s="7">
        <v>4.0</v>
      </c>
      <c r="B17" s="8" t="s">
        <v>108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15.0" customHeight="1">
      <c r="A18" s="7">
        <v>5.0</v>
      </c>
      <c r="B18" s="8" t="s">
        <v>109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15.0" customHeight="1">
      <c r="A19" s="130"/>
      <c r="B19" s="13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30"/>
      <c r="B20" s="133" t="s">
        <v>110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15.0" customHeight="1">
      <c r="A21" s="7">
        <v>1.0</v>
      </c>
      <c r="B21" s="8" t="s">
        <v>111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15.0" customHeight="1">
      <c r="A22" s="7">
        <v>2.0</v>
      </c>
      <c r="B22" s="8" t="s">
        <v>112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15.0" customHeight="1">
      <c r="A23" s="7">
        <v>3.0</v>
      </c>
      <c r="B23" s="8" t="s">
        <v>113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15.0" customHeight="1">
      <c r="A24" s="7">
        <v>4.0</v>
      </c>
      <c r="B24" s="8" t="s">
        <v>114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5.0" customHeight="1">
      <c r="A25" s="7">
        <v>5.0</v>
      </c>
      <c r="B25" s="8" t="s">
        <v>115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5.0" customHeight="1">
      <c r="A26" s="130"/>
      <c r="B26" s="13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</sheetData>
  <mergeCells count="1">
    <mergeCell ref="A1:E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6.63"/>
    <col customWidth="1" hidden="1" min="13" max="13" width="5.38"/>
    <col customWidth="1" hidden="1" min="14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4.63"/>
    <col customWidth="1" hidden="1" min="26" max="26" width="5.0"/>
    <col customWidth="1" hidden="1" min="27" max="27" width="5.88"/>
    <col customWidth="1" hidden="1" min="28" max="28" width="8.0"/>
    <col customWidth="1" hidden="1" min="29" max="29" width="6.13"/>
    <col customWidth="1" min="30" max="30" width="8.75"/>
    <col customWidth="1" min="31" max="31" width="39.88"/>
    <col customWidth="1" min="32" max="32" width="10.0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134"/>
      <c r="AK1" s="134"/>
      <c r="AL1" s="134"/>
      <c r="AM1" s="134"/>
      <c r="AN1" s="134"/>
    </row>
    <row r="2" ht="21.0" customHeight="1">
      <c r="AJ2" s="134"/>
      <c r="AK2" s="134"/>
      <c r="AL2" s="134"/>
      <c r="AM2" s="134"/>
      <c r="AN2" s="134"/>
    </row>
    <row r="3" ht="14.25" customHeight="1"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135" t="s">
        <v>98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136"/>
      <c r="AK5" s="136"/>
      <c r="AL5" s="136"/>
      <c r="AM5" s="136"/>
      <c r="AN5" s="136"/>
    </row>
    <row r="6" ht="14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30.75" customHeight="1">
      <c r="A7" s="137" t="s">
        <v>62</v>
      </c>
      <c r="B7" s="138" t="s">
        <v>63</v>
      </c>
      <c r="C7" s="31"/>
      <c r="D7" s="31"/>
      <c r="E7" s="32"/>
      <c r="F7" s="139"/>
      <c r="G7" s="67"/>
      <c r="H7" s="137" t="s">
        <v>64</v>
      </c>
      <c r="I7" s="35"/>
      <c r="J7" s="35"/>
      <c r="K7" s="35"/>
      <c r="L7" s="35"/>
      <c r="M7" s="36"/>
      <c r="N7" s="36"/>
      <c r="O7" s="35"/>
      <c r="P7" s="137" t="s">
        <v>62</v>
      </c>
      <c r="Q7" s="138" t="s">
        <v>63</v>
      </c>
      <c r="R7" s="31"/>
      <c r="S7" s="31"/>
      <c r="T7" s="32"/>
      <c r="U7" s="139"/>
      <c r="V7" s="67"/>
      <c r="W7" s="137" t="s">
        <v>64</v>
      </c>
      <c r="X7" s="35"/>
      <c r="Y7" s="36"/>
      <c r="Z7" s="36"/>
      <c r="AA7" s="36"/>
      <c r="AB7" s="36"/>
      <c r="AC7" s="36"/>
      <c r="AD7" s="35"/>
      <c r="AE7" s="137" t="s">
        <v>65</v>
      </c>
      <c r="AF7" s="137" t="s">
        <v>66</v>
      </c>
      <c r="AG7" s="137" t="s">
        <v>67</v>
      </c>
      <c r="AH7" s="137" t="s">
        <v>68</v>
      </c>
      <c r="AI7" s="137" t="s">
        <v>69</v>
      </c>
      <c r="AJ7" s="37"/>
      <c r="AK7" s="37"/>
      <c r="AL7" s="37"/>
      <c r="AM7" s="28"/>
      <c r="AN7" s="28"/>
    </row>
    <row r="8" ht="14.25" hidden="1" customHeight="1">
      <c r="A8" s="28"/>
      <c r="B8" s="38" t="s">
        <v>70</v>
      </c>
      <c r="C8" s="38" t="s">
        <v>71</v>
      </c>
      <c r="D8" s="38"/>
      <c r="E8" s="38" t="s">
        <v>70</v>
      </c>
      <c r="F8" s="38" t="s">
        <v>72</v>
      </c>
      <c r="G8" s="38"/>
      <c r="H8" s="38" t="s">
        <v>70</v>
      </c>
      <c r="I8" s="38" t="s">
        <v>73</v>
      </c>
      <c r="J8" s="38" t="s">
        <v>74</v>
      </c>
      <c r="K8" s="38" t="s">
        <v>75</v>
      </c>
      <c r="L8" s="38" t="s">
        <v>76</v>
      </c>
      <c r="M8" s="38" t="s">
        <v>77</v>
      </c>
      <c r="N8" s="38" t="s">
        <v>78</v>
      </c>
      <c r="O8" s="28"/>
      <c r="P8" s="28"/>
      <c r="Q8" s="38" t="s">
        <v>70</v>
      </c>
      <c r="R8" s="38" t="s">
        <v>71</v>
      </c>
      <c r="S8" s="38"/>
      <c r="T8" s="38" t="s">
        <v>70</v>
      </c>
      <c r="U8" s="38" t="s">
        <v>72</v>
      </c>
      <c r="V8" s="38"/>
      <c r="W8" s="38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38" t="s">
        <v>79</v>
      </c>
      <c r="AK8" s="38" t="s">
        <v>92</v>
      </c>
      <c r="AL8" s="40" t="s">
        <v>80</v>
      </c>
      <c r="AM8" s="41" t="s">
        <v>81</v>
      </c>
      <c r="AN8" s="41" t="s">
        <v>93</v>
      </c>
    </row>
    <row r="9" ht="14.25" customHeight="1">
      <c r="A9" s="42" t="str">
        <f>AE9</f>
        <v>Alison Muscat</v>
      </c>
      <c r="B9" s="43">
        <v>7.0</v>
      </c>
      <c r="C9" s="44">
        <f>IF(B9&gt;B11,1,0)</f>
        <v>1</v>
      </c>
      <c r="D9" s="45"/>
      <c r="E9" s="43">
        <v>5.0</v>
      </c>
      <c r="F9" s="44">
        <f>IF(E9&gt;E11,1,0)</f>
        <v>0</v>
      </c>
      <c r="G9" s="45"/>
      <c r="H9" s="43">
        <v>6.0</v>
      </c>
      <c r="I9" s="28">
        <f>IF(H9&gt;H11,1,0)</f>
        <v>0</v>
      </c>
      <c r="J9" s="28">
        <f>IF(B9="",0,1)</f>
        <v>1</v>
      </c>
      <c r="K9" s="28">
        <f>IF(C9+F9=2,3,IF(C9+F9=1,1,0))</f>
        <v>1</v>
      </c>
      <c r="L9" s="28">
        <f>IF(K9=3,3,IF(I9+K9=2,2,IF(K9=1,1,0)))</f>
        <v>1</v>
      </c>
      <c r="M9" s="28">
        <f>B9+E9</f>
        <v>12</v>
      </c>
      <c r="N9" s="28">
        <f>C9+F9+I9</f>
        <v>1</v>
      </c>
      <c r="O9" s="28"/>
      <c r="P9" s="42" t="str">
        <f>AE9</f>
        <v>Alison Muscat</v>
      </c>
      <c r="Q9" s="43">
        <v>1.0</v>
      </c>
      <c r="R9" s="44">
        <f>IF(Q9&gt;Q11,1,0)</f>
        <v>0</v>
      </c>
      <c r="S9" s="45"/>
      <c r="T9" s="43">
        <v>4.0</v>
      </c>
      <c r="U9" s="44">
        <f>IF(T9&gt;T11,1,0)</f>
        <v>0</v>
      </c>
      <c r="V9" s="45"/>
      <c r="W9" s="46"/>
      <c r="X9" s="28">
        <f>IF(W9&gt;W11,1,0)</f>
        <v>0</v>
      </c>
      <c r="Y9" s="28">
        <f>IF(Q9="",0,1)</f>
        <v>1</v>
      </c>
      <c r="Z9" s="28">
        <f>IF(R9+U9=2,3,IF(R9+U9=1,1,0))</f>
        <v>0</v>
      </c>
      <c r="AA9" s="28">
        <f>IF(Z9=3,3,IF(X9+Z9=2,2,IF(Z9=1,1,0)))</f>
        <v>0</v>
      </c>
      <c r="AB9" s="28">
        <f>Q9+T9</f>
        <v>5</v>
      </c>
      <c r="AC9" s="28">
        <f>R9+U9+X9</f>
        <v>0</v>
      </c>
      <c r="AD9" s="28"/>
      <c r="AE9" s="140" t="str">
        <f>'Players - Ladies'!B7</f>
        <v>Alison Muscat</v>
      </c>
      <c r="AF9" s="48">
        <f>J9+Y9+J13+Y13</f>
        <v>3</v>
      </c>
      <c r="AG9" s="48">
        <f t="shared" ref="AG9:AI9" si="1">L9+AA9+L13+AA13</f>
        <v>1</v>
      </c>
      <c r="AH9" s="48">
        <f t="shared" si="1"/>
        <v>17</v>
      </c>
      <c r="AI9" s="49">
        <f t="shared" si="1"/>
        <v>1</v>
      </c>
      <c r="AJ9" s="28">
        <f>MAX(AG9:AG18)</f>
        <v>9</v>
      </c>
      <c r="AK9" s="28">
        <f>LARGE(AG9:AG18, 2)</f>
        <v>6</v>
      </c>
      <c r="AL9" s="28">
        <f>SUM(AF9:AF18)</f>
        <v>14</v>
      </c>
      <c r="AM9" s="28" t="str">
        <f>IF(AG9=$AJ$9,AE9,IF(AG11=$AJ$9,AE11,IF(AG13=$AJ$9,AE13,IF(AG15=$AJ$9,AE15,IF(AG17=$AJ$9,AE17,"")))))</f>
        <v>Amanda Falzon</v>
      </c>
      <c r="AN9" s="28" t="str">
        <f>IF(AG9=$AK$9,AE9,IF(AG11=$AK$9,AE11,IF(AG13=$AK$9,AE13,IF(AG15=$AK$9,AE15,IF(AG17=$AK$9,AE17,"")))))</f>
        <v>Dawn Azzopardi</v>
      </c>
    </row>
    <row r="10" ht="14.25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37"/>
      <c r="AM10" s="28"/>
      <c r="AN10" s="28"/>
    </row>
    <row r="11" ht="14.25" customHeight="1">
      <c r="A11" s="53" t="str">
        <f>AE11</f>
        <v>Giada Sciberras</v>
      </c>
      <c r="B11" s="43">
        <v>6.0</v>
      </c>
      <c r="C11" s="54">
        <f>IF(B11&gt;B9,1,0)</f>
        <v>0</v>
      </c>
      <c r="D11" s="55"/>
      <c r="E11" s="43">
        <v>7.0</v>
      </c>
      <c r="F11" s="54">
        <f>IF(E11&gt;E9,1,0)</f>
        <v>1</v>
      </c>
      <c r="G11" s="55"/>
      <c r="H11" s="43">
        <v>10.0</v>
      </c>
      <c r="I11" s="28">
        <f>IF(H11&gt;H9,1,0)</f>
        <v>1</v>
      </c>
      <c r="J11" s="28">
        <f>IF(B11="",0,1)</f>
        <v>1</v>
      </c>
      <c r="K11" s="28">
        <f>IF(C11+F11=2,3,IF(C11+F11=1,1,0))</f>
        <v>1</v>
      </c>
      <c r="L11" s="28">
        <f>IF(K11=3,3,IF(I11+K11=2,2,IF(K11=1,1,0)))</f>
        <v>2</v>
      </c>
      <c r="M11" s="28">
        <f>B11+E11</f>
        <v>13</v>
      </c>
      <c r="N11" s="28">
        <f>C11+F11+I11</f>
        <v>2</v>
      </c>
      <c r="O11" s="28"/>
      <c r="P11" s="53" t="str">
        <f>AE13</f>
        <v>Amanda Falzon</v>
      </c>
      <c r="Q11" s="43">
        <v>6.0</v>
      </c>
      <c r="R11" s="54">
        <f>IF(Q11&gt;Q9,1,0)</f>
        <v>1</v>
      </c>
      <c r="S11" s="55"/>
      <c r="T11" s="43">
        <v>6.0</v>
      </c>
      <c r="U11" s="54">
        <f>IF(T11&gt;T9,1,0)</f>
        <v>1</v>
      </c>
      <c r="V11" s="55"/>
      <c r="W11" s="46"/>
      <c r="X11" s="28">
        <f>IF(W11&gt;W9,1,0)</f>
        <v>0</v>
      </c>
      <c r="Y11" s="28">
        <f>IF(Q11="",0,1)</f>
        <v>1</v>
      </c>
      <c r="Z11" s="28">
        <f>IF(R11+U11=2,3,IF(R11+U11=1,1,0))</f>
        <v>3</v>
      </c>
      <c r="AA11" s="28">
        <f>IF(Z11=3,3,IF(X11+Z11=2,2,IF(Z11=1,1,0)))</f>
        <v>3</v>
      </c>
      <c r="AB11" s="28">
        <f>Q11+T11</f>
        <v>12</v>
      </c>
      <c r="AC11" s="28">
        <f>R11+U11+X11</f>
        <v>2</v>
      </c>
      <c r="AD11" s="28"/>
      <c r="AE11" s="140" t="str">
        <f>'Players - Ladies'!B8</f>
        <v>Giada Sciberras</v>
      </c>
      <c r="AF11" s="48">
        <f>J11+J21+Y21+Y17</f>
        <v>3</v>
      </c>
      <c r="AG11" s="48">
        <f t="shared" ref="AG11:AI11" si="2">L11+L21+AA21+AA17</f>
        <v>2</v>
      </c>
      <c r="AH11" s="48">
        <f t="shared" si="2"/>
        <v>22</v>
      </c>
      <c r="AI11" s="49">
        <f t="shared" si="2"/>
        <v>2</v>
      </c>
      <c r="AJ11" s="37"/>
      <c r="AK11" s="37"/>
      <c r="AL11" s="37"/>
      <c r="AM11" s="28"/>
      <c r="AN11" s="28"/>
    </row>
    <row r="12" ht="14.25" customHeight="1">
      <c r="A12" s="28"/>
      <c r="B12" s="28"/>
      <c r="C12" s="28"/>
      <c r="D12" s="28"/>
      <c r="E12" s="28"/>
      <c r="F12" s="28"/>
      <c r="G12" s="28"/>
      <c r="H12" s="5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54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37"/>
      <c r="AM12" s="28"/>
      <c r="AN12" s="28"/>
    </row>
    <row r="13" ht="14.25" customHeight="1">
      <c r="A13" s="42" t="str">
        <f>AE9</f>
        <v>Alison Muscat</v>
      </c>
      <c r="B13" s="43">
        <v>0.0</v>
      </c>
      <c r="C13" s="44">
        <f>IF(B13&gt;B15,1,0)</f>
        <v>0</v>
      </c>
      <c r="D13" s="45"/>
      <c r="E13" s="43">
        <v>0.0</v>
      </c>
      <c r="F13" s="44">
        <f>IF(E13&gt;E15,1,0)</f>
        <v>0</v>
      </c>
      <c r="G13" s="45"/>
      <c r="H13" s="46"/>
      <c r="I13" s="28">
        <f>IF(H13&gt;H15,1,0)</f>
        <v>0</v>
      </c>
      <c r="J13" s="28">
        <f>IF(B13="",0,1)</f>
        <v>1</v>
      </c>
      <c r="K13" s="28">
        <f>IF(C13+F13=2,3,IF(C13+F13=1,1,0))</f>
        <v>0</v>
      </c>
      <c r="L13" s="28">
        <f>IF(K13=3,3,IF(I13+K13=2,2,IF(K13=1,1,0)))</f>
        <v>0</v>
      </c>
      <c r="M13" s="28">
        <f>B13+E13</f>
        <v>0</v>
      </c>
      <c r="N13" s="28">
        <f>C13+F13+I13</f>
        <v>0</v>
      </c>
      <c r="O13" s="28"/>
      <c r="P13" s="42" t="str">
        <f>AE9</f>
        <v>Alison Muscat</v>
      </c>
      <c r="Q13" s="46"/>
      <c r="R13" s="44">
        <f>IF(Q13&gt;Q15,1,0)</f>
        <v>0</v>
      </c>
      <c r="S13" s="45"/>
      <c r="T13" s="46"/>
      <c r="U13" s="44">
        <f>IF(T13&gt;T15,1,0)</f>
        <v>0</v>
      </c>
      <c r="V13" s="45"/>
      <c r="W13" s="46"/>
      <c r="X13" s="28">
        <f>IF(W13&gt;W15,1,0)</f>
        <v>0</v>
      </c>
      <c r="Y13" s="28">
        <f>IF(Q13="",0,1)</f>
        <v>0</v>
      </c>
      <c r="Z13" s="28">
        <f>IF(R13+U13=2,3,IF(R13+U13=1,1,0))</f>
        <v>0</v>
      </c>
      <c r="AA13" s="28">
        <f>IF(Z13=3,3,IF(X13+Z13=2,2,IF(Z13=1,1,0)))</f>
        <v>0</v>
      </c>
      <c r="AB13" s="28">
        <f>Q13+T13</f>
        <v>0</v>
      </c>
      <c r="AC13" s="28">
        <f>R13+U13+X13</f>
        <v>0</v>
      </c>
      <c r="AD13" s="28"/>
      <c r="AE13" s="140" t="str">
        <f>'Players - Ladies'!B9</f>
        <v>Amanda Falzon</v>
      </c>
      <c r="AF13" s="48">
        <f>Y25+Y11+J25+Y19</f>
        <v>3</v>
      </c>
      <c r="AG13" s="48">
        <f t="shared" ref="AG13:AI13" si="3">AA25+AA11+L25+AA19</f>
        <v>9</v>
      </c>
      <c r="AH13" s="48">
        <f t="shared" si="3"/>
        <v>36</v>
      </c>
      <c r="AI13" s="49">
        <f t="shared" si="3"/>
        <v>6</v>
      </c>
      <c r="AJ13" s="37"/>
      <c r="AK13" s="37"/>
      <c r="AL13" s="37"/>
      <c r="AM13" s="28"/>
      <c r="AN13" s="28"/>
    </row>
    <row r="14" ht="14.25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37"/>
      <c r="AM14" s="28"/>
      <c r="AN14" s="28"/>
    </row>
    <row r="15" ht="14.25" customHeight="1">
      <c r="A15" s="53" t="str">
        <f>AE15</f>
        <v>Dawn Azzopardi</v>
      </c>
      <c r="B15" s="43">
        <v>6.0</v>
      </c>
      <c r="C15" s="54">
        <f>IF(B15&gt;B13,1,0)</f>
        <v>1</v>
      </c>
      <c r="D15" s="55"/>
      <c r="E15" s="43">
        <v>6.0</v>
      </c>
      <c r="F15" s="54">
        <f>IF(E15&gt;E13,1,0)</f>
        <v>1</v>
      </c>
      <c r="G15" s="55"/>
      <c r="H15" s="46"/>
      <c r="I15" s="28">
        <f>IF(H15&gt;H13,1,0)</f>
        <v>0</v>
      </c>
      <c r="J15" s="28">
        <f>IF(B15="",0,1)</f>
        <v>1</v>
      </c>
      <c r="K15" s="28">
        <f>IF(C15+F15=2,3,IF(C15+F15=1,1,0))</f>
        <v>3</v>
      </c>
      <c r="L15" s="28">
        <f>IF(K15=3,3,IF(I15+K15=2,2,IF(K15=1,1,0)))</f>
        <v>3</v>
      </c>
      <c r="M15" s="28">
        <f>B15+E15</f>
        <v>12</v>
      </c>
      <c r="N15" s="28">
        <f>C15+F15+I15</f>
        <v>2</v>
      </c>
      <c r="O15" s="28"/>
      <c r="P15" s="53" t="str">
        <f>AE17</f>
        <v>Yanika Pace</v>
      </c>
      <c r="Q15" s="46"/>
      <c r="R15" s="54">
        <f>IF(Q15&gt;Q13,1,0)</f>
        <v>0</v>
      </c>
      <c r="S15" s="55"/>
      <c r="T15" s="46"/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0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0</v>
      </c>
      <c r="AC15" s="28">
        <f>R15+U15+X15</f>
        <v>0</v>
      </c>
      <c r="AD15" s="28"/>
      <c r="AE15" s="140" t="str">
        <f>'Players - Ladies'!B10</f>
        <v>Dawn Azzopardi</v>
      </c>
      <c r="AF15" s="48">
        <f>Y27+J17+J15+Y23</f>
        <v>2</v>
      </c>
      <c r="AG15" s="48">
        <f t="shared" ref="AG15:AI15" si="4">AA27+L17+L15+AA23</f>
        <v>6</v>
      </c>
      <c r="AH15" s="48">
        <f t="shared" si="4"/>
        <v>24</v>
      </c>
      <c r="AI15" s="49">
        <f t="shared" si="4"/>
        <v>4</v>
      </c>
      <c r="AJ15" s="37"/>
      <c r="AK15" s="37"/>
      <c r="AL15" s="37"/>
      <c r="AM15" s="28"/>
      <c r="AN15" s="28"/>
    </row>
    <row r="16" ht="14.25" customHeight="1">
      <c r="A16" s="28"/>
      <c r="B16" s="37"/>
      <c r="C16" s="28"/>
      <c r="D16" s="28"/>
      <c r="E16" s="28"/>
      <c r="F16" s="28"/>
      <c r="G16" s="28"/>
      <c r="H16" s="54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4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37"/>
      <c r="AM16" s="28"/>
      <c r="AN16" s="28"/>
    </row>
    <row r="17" ht="14.25" customHeight="1">
      <c r="A17" s="42" t="str">
        <f>AE15</f>
        <v>Dawn Azzopardi</v>
      </c>
      <c r="B17" s="43">
        <v>6.0</v>
      </c>
      <c r="C17" s="44">
        <f>IF(B17&gt;B19,1,0)</f>
        <v>1</v>
      </c>
      <c r="D17" s="45"/>
      <c r="E17" s="43">
        <v>6.0</v>
      </c>
      <c r="F17" s="44">
        <f>IF(E17&gt;E19,1,0)</f>
        <v>1</v>
      </c>
      <c r="G17" s="45"/>
      <c r="H17" s="46"/>
      <c r="I17" s="28">
        <f>IF(H17&gt;H19,1,0)</f>
        <v>0</v>
      </c>
      <c r="J17" s="28">
        <f>IF(B17="",0,1)</f>
        <v>1</v>
      </c>
      <c r="K17" s="28">
        <f>IF(C17+F17=2,3,IF(C17+F17=1,1,0))</f>
        <v>3</v>
      </c>
      <c r="L17" s="28">
        <f>IF(K17=3,3,IF(I17+K17=2,2,IF(K17=1,1,0)))</f>
        <v>3</v>
      </c>
      <c r="M17" s="28">
        <f>B17+E17</f>
        <v>12</v>
      </c>
      <c r="N17" s="28">
        <f>C17+F17+I17</f>
        <v>2</v>
      </c>
      <c r="O17" s="28"/>
      <c r="P17" s="42" t="str">
        <f>AE11</f>
        <v>Giada Sciberras</v>
      </c>
      <c r="Q17" s="43">
        <v>1.0</v>
      </c>
      <c r="R17" s="44">
        <f>IF(Q17&gt;Q19,1,0)</f>
        <v>0</v>
      </c>
      <c r="S17" s="45"/>
      <c r="T17" s="43">
        <v>3.0</v>
      </c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4</v>
      </c>
      <c r="AC17" s="28">
        <f>R17+U17+X17</f>
        <v>0</v>
      </c>
      <c r="AD17" s="28"/>
      <c r="AE17" s="140" t="str">
        <f>'Players - Ladies'!B11</f>
        <v>Yanika Pace</v>
      </c>
      <c r="AF17" s="48">
        <f>J19+J23+Y15+J27</f>
        <v>3</v>
      </c>
      <c r="AG17" s="48">
        <f t="shared" ref="AG17:AI17" si="5">L19+L23+AA15+L27</f>
        <v>3</v>
      </c>
      <c r="AH17" s="48">
        <f t="shared" si="5"/>
        <v>16</v>
      </c>
      <c r="AI17" s="49">
        <f t="shared" si="5"/>
        <v>2</v>
      </c>
      <c r="AJ17" s="37"/>
      <c r="AK17" s="37"/>
      <c r="AL17" s="37"/>
      <c r="AM17" s="28"/>
      <c r="AN17" s="28"/>
    </row>
    <row r="18" ht="14.25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37"/>
      <c r="AM18" s="28"/>
      <c r="AN18" s="28"/>
    </row>
    <row r="19" ht="14.25" customHeight="1">
      <c r="A19" s="53" t="str">
        <f>AE17</f>
        <v>Yanika Pace</v>
      </c>
      <c r="B19" s="43">
        <v>0.0</v>
      </c>
      <c r="C19" s="54">
        <f>IF(B19&gt;B17,1,0)</f>
        <v>0</v>
      </c>
      <c r="D19" s="55"/>
      <c r="E19" s="43">
        <v>0.0</v>
      </c>
      <c r="F19" s="54">
        <f>IF(E19&gt;E17,1,0)</f>
        <v>0</v>
      </c>
      <c r="G19" s="55"/>
      <c r="H19" s="46"/>
      <c r="I19" s="28">
        <f>IF(H19&gt;H17,1,0)</f>
        <v>0</v>
      </c>
      <c r="J19" s="28">
        <f>IF(B19="",0,1)</f>
        <v>1</v>
      </c>
      <c r="K19" s="28">
        <f>IF(C19+F19=2,3,IF(C19+F19=1,1,0))</f>
        <v>0</v>
      </c>
      <c r="L19" s="28">
        <f>IF(K19=3,3,IF(I19+K19=2,2,IF(K19=1,1,0)))</f>
        <v>0</v>
      </c>
      <c r="M19" s="28">
        <f>B19+E19</f>
        <v>0</v>
      </c>
      <c r="N19" s="28">
        <f>C19+F19+I19</f>
        <v>0</v>
      </c>
      <c r="O19" s="28"/>
      <c r="P19" s="53" t="str">
        <f>AE13</f>
        <v>Amanda Falzon</v>
      </c>
      <c r="Q19" s="43">
        <v>6.0</v>
      </c>
      <c r="R19" s="54">
        <f>IF(Q19&gt;Q17,1,0)</f>
        <v>1</v>
      </c>
      <c r="S19" s="55"/>
      <c r="T19" s="43">
        <v>6.0</v>
      </c>
      <c r="U19" s="54">
        <f>IF(T19&gt;T17,1,0)</f>
        <v>1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3</v>
      </c>
      <c r="AA19" s="28">
        <f>IF(Z19=3,3,IF(X19+Z19=2,2,IF(Z19=1,1,0)))</f>
        <v>3</v>
      </c>
      <c r="AB19" s="28">
        <f>Q19+T19</f>
        <v>12</v>
      </c>
      <c r="AC19" s="28">
        <f>R19+U19+X19</f>
        <v>2</v>
      </c>
      <c r="AD19" s="28"/>
      <c r="AE19" s="141" t="s">
        <v>90</v>
      </c>
      <c r="AF19" s="31"/>
      <c r="AG19" s="31"/>
      <c r="AH19" s="31"/>
      <c r="AI19" s="32"/>
      <c r="AJ19" s="28"/>
      <c r="AK19" s="37"/>
      <c r="AL19" s="37"/>
      <c r="AM19" s="28"/>
      <c r="AN19" s="28"/>
    </row>
    <row r="20" ht="14.25" customHeight="1">
      <c r="A20" s="28"/>
      <c r="B20" s="28"/>
      <c r="C20" s="28"/>
      <c r="D20" s="28"/>
      <c r="E20" s="28"/>
      <c r="F20" s="28"/>
      <c r="G20" s="28"/>
      <c r="H20" s="5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54"/>
      <c r="X20" s="28"/>
      <c r="Y20" s="28"/>
      <c r="Z20" s="28"/>
      <c r="AA20" s="28"/>
      <c r="AB20" s="28"/>
      <c r="AC20" s="28"/>
      <c r="AD20" s="28"/>
      <c r="AE20" s="59"/>
      <c r="AF20" s="31"/>
      <c r="AG20" s="31"/>
      <c r="AH20" s="31"/>
      <c r="AI20" s="32"/>
      <c r="AJ20" s="28"/>
      <c r="AK20" s="37"/>
      <c r="AL20" s="28"/>
      <c r="AM20" s="28"/>
      <c r="AN20" s="28"/>
    </row>
    <row r="21" ht="14.25" customHeight="1">
      <c r="A21" s="42" t="str">
        <f>AE11</f>
        <v>Giada Sciberras</v>
      </c>
      <c r="B21" s="43">
        <v>3.0</v>
      </c>
      <c r="C21" s="44">
        <f>IF(B21&gt;B23,1,0)</f>
        <v>0</v>
      </c>
      <c r="D21" s="45"/>
      <c r="E21" s="43">
        <v>2.0</v>
      </c>
      <c r="F21" s="44">
        <f>IF(E21&gt;E23,1,0)</f>
        <v>0</v>
      </c>
      <c r="G21" s="45"/>
      <c r="H21" s="46"/>
      <c r="I21" s="28">
        <f>IF(H21&gt;H23,1,0)</f>
        <v>0</v>
      </c>
      <c r="J21" s="28">
        <f>IF(B21="",0,1)</f>
        <v>1</v>
      </c>
      <c r="K21" s="28">
        <f>IF(C21+F21=2,3,IF(C21+F21=1,1,0))</f>
        <v>0</v>
      </c>
      <c r="L21" s="28">
        <f>IF(K21=3,3,IF(I21+K21=2,2,IF(K21=1,1,0)))</f>
        <v>0</v>
      </c>
      <c r="M21" s="28">
        <f>B21+E21</f>
        <v>5</v>
      </c>
      <c r="N21" s="28">
        <f>C21+F21+I21</f>
        <v>0</v>
      </c>
      <c r="O21" s="28"/>
      <c r="P21" s="42" t="str">
        <f>AE11</f>
        <v>Giada Sciberras</v>
      </c>
      <c r="Q21" s="46"/>
      <c r="R21" s="44">
        <f>IF(Q21&gt;Q23,1,0)</f>
        <v>0</v>
      </c>
      <c r="S21" s="45"/>
      <c r="T21" s="46"/>
      <c r="U21" s="44">
        <f>IF(T21&gt;T23,1,0)</f>
        <v>0</v>
      </c>
      <c r="V21" s="45"/>
      <c r="W21" s="46"/>
      <c r="X21" s="28">
        <f>IF(W21&gt;W23,1,0)</f>
        <v>0</v>
      </c>
      <c r="Y21" s="28">
        <f>IF(Q21="",0,1)</f>
        <v>0</v>
      </c>
      <c r="Z21" s="28">
        <f>IF(R21+U21=2,3,IF(R21+U21=1,1,0))</f>
        <v>0</v>
      </c>
      <c r="AA21" s="28">
        <f>IF(Z21=3,3,IF(X21+Z21=2,2,IF(Z21=1,1,0)))</f>
        <v>0</v>
      </c>
      <c r="AB21" s="28">
        <f>Q21+T21</f>
        <v>0</v>
      </c>
      <c r="AC21" s="28">
        <f>R21+U21+X21</f>
        <v>0</v>
      </c>
      <c r="AD21" s="28"/>
      <c r="AJ21" s="28"/>
      <c r="AK21" s="28"/>
      <c r="AL21" s="28"/>
      <c r="AM21" s="28"/>
      <c r="AN21" s="28"/>
    </row>
    <row r="22" ht="14.25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E22" s="141" t="s">
        <v>91</v>
      </c>
      <c r="AF22" s="31"/>
      <c r="AG22" s="31"/>
      <c r="AH22" s="31"/>
      <c r="AI22" s="32"/>
      <c r="AJ22" s="28"/>
      <c r="AK22" s="37"/>
      <c r="AL22" s="28"/>
      <c r="AM22" s="28"/>
      <c r="AN22" s="28"/>
    </row>
    <row r="23" ht="14.25" customHeight="1">
      <c r="A23" s="53" t="str">
        <f>AE17</f>
        <v>Yanika Pace</v>
      </c>
      <c r="B23" s="43">
        <v>6.0</v>
      </c>
      <c r="C23" s="54">
        <f>IF(B23&gt;B21,1,0)</f>
        <v>1</v>
      </c>
      <c r="D23" s="55"/>
      <c r="E23" s="43">
        <v>6.0</v>
      </c>
      <c r="F23" s="54">
        <f>IF(E23&gt;E21,1,0)</f>
        <v>1</v>
      </c>
      <c r="G23" s="55"/>
      <c r="H23" s="46"/>
      <c r="I23" s="28">
        <f>IF(H23&gt;H21,1,0)</f>
        <v>0</v>
      </c>
      <c r="J23" s="28">
        <f>IF(B23="",0,1)</f>
        <v>1</v>
      </c>
      <c r="K23" s="28">
        <f>IF(C23+F23=2,3,IF(C23+F23=1,1,0))</f>
        <v>3</v>
      </c>
      <c r="L23" s="28">
        <f>IF(K23=3,3,IF(I23+K23=2,2,IF(K23=1,1,0)))</f>
        <v>3</v>
      </c>
      <c r="M23" s="28">
        <f>B23+E23</f>
        <v>12</v>
      </c>
      <c r="N23" s="28">
        <f>C23+F23+I23</f>
        <v>2</v>
      </c>
      <c r="O23" s="28"/>
      <c r="P23" s="53" t="str">
        <f>AE15</f>
        <v>Dawn Azzopardi</v>
      </c>
      <c r="Q23" s="46"/>
      <c r="R23" s="54">
        <f>IF(Q23&gt;Q21,1,0)</f>
        <v>0</v>
      </c>
      <c r="S23" s="55"/>
      <c r="T23" s="46"/>
      <c r="U23" s="54">
        <f>IF(T23&gt;T21,1,0)</f>
        <v>0</v>
      </c>
      <c r="V23" s="55"/>
      <c r="W23" s="46"/>
      <c r="X23" s="28">
        <f>IF(W23&gt;W21,1,0)</f>
        <v>0</v>
      </c>
      <c r="Y23" s="28">
        <f>IF(Q23="",0,1)</f>
        <v>0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0</v>
      </c>
      <c r="AC23" s="28">
        <f>R23+U23+X23</f>
        <v>0</v>
      </c>
      <c r="AD23" s="28"/>
      <c r="AE23" s="59"/>
      <c r="AF23" s="31"/>
      <c r="AG23" s="31"/>
      <c r="AH23" s="31"/>
      <c r="AI23" s="32"/>
      <c r="AJ23" s="28"/>
      <c r="AK23" s="28"/>
      <c r="AL23" s="28"/>
      <c r="AM23" s="28"/>
      <c r="AN23" s="28"/>
    </row>
    <row r="24" ht="14.25" customHeight="1">
      <c r="A24" s="28"/>
      <c r="B24" s="28"/>
      <c r="C24" s="28"/>
      <c r="D24" s="28"/>
      <c r="E24" s="28"/>
      <c r="F24" s="28"/>
      <c r="G24" s="28"/>
      <c r="H24" s="54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54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ht="14.25" customHeight="1">
      <c r="A25" s="42" t="str">
        <f>AE13</f>
        <v>Amanda Falzon</v>
      </c>
      <c r="B25" s="43">
        <v>6.0</v>
      </c>
      <c r="C25" s="44">
        <f>IF(B25&gt;B27,1,0)</f>
        <v>1</v>
      </c>
      <c r="D25" s="45"/>
      <c r="E25" s="43">
        <v>6.0</v>
      </c>
      <c r="F25" s="44">
        <f>IF(E25&gt;E27,1,0)</f>
        <v>1</v>
      </c>
      <c r="G25" s="45"/>
      <c r="H25" s="46"/>
      <c r="I25" s="28">
        <f>IF(H25&gt;H27,1,0)</f>
        <v>0</v>
      </c>
      <c r="J25" s="28">
        <f>IF(B25="",0,1)</f>
        <v>1</v>
      </c>
      <c r="K25" s="28">
        <f>IF(C25+F25=2,3,IF(C25+F25=1,1,0))</f>
        <v>3</v>
      </c>
      <c r="L25" s="28">
        <f>IF(K25=3,3,IF(I25+K25=2,2,IF(K25=1,1,0)))</f>
        <v>3</v>
      </c>
      <c r="M25" s="28">
        <f>B25+E25</f>
        <v>12</v>
      </c>
      <c r="N25" s="28">
        <f>C25+F25+I25</f>
        <v>2</v>
      </c>
      <c r="O25" s="28"/>
      <c r="P25" s="42" t="str">
        <f>AE13</f>
        <v>Amanda Falzon</v>
      </c>
      <c r="Q25" s="46"/>
      <c r="R25" s="44">
        <f>IF(Q25&gt;Q27,1,0)</f>
        <v>0</v>
      </c>
      <c r="S25" s="45"/>
      <c r="T25" s="46"/>
      <c r="U25" s="44">
        <f>IF(T25&gt;T27,1,0)</f>
        <v>0</v>
      </c>
      <c r="V25" s="45"/>
      <c r="W25" s="46"/>
      <c r="X25" s="28">
        <f>IF(W25&gt;W27,1,0)</f>
        <v>0</v>
      </c>
      <c r="Y25" s="28">
        <f>IF(Q25="",0,1)</f>
        <v>0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0</v>
      </c>
      <c r="AC25" s="28">
        <f>R25+U25+X25</f>
        <v>0</v>
      </c>
      <c r="AD25" s="28"/>
      <c r="AJ25" s="28"/>
      <c r="AK25" s="28"/>
      <c r="AL25" s="28"/>
      <c r="AM25" s="28"/>
      <c r="AN25" s="28"/>
    </row>
    <row r="26" ht="14.25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J26" s="28"/>
      <c r="AK26" s="28"/>
      <c r="AL26" s="28"/>
      <c r="AM26" s="28"/>
      <c r="AN26" s="28"/>
    </row>
    <row r="27" ht="14.25" customHeight="1">
      <c r="A27" s="53" t="str">
        <f>AE17</f>
        <v>Yanika Pace</v>
      </c>
      <c r="B27" s="43">
        <v>2.0</v>
      </c>
      <c r="C27" s="54">
        <f>IF(B27&gt;B25,1,0)</f>
        <v>0</v>
      </c>
      <c r="D27" s="55"/>
      <c r="E27" s="43">
        <v>2.0</v>
      </c>
      <c r="F27" s="54">
        <f>IF(E27&gt;E25,1,0)</f>
        <v>0</v>
      </c>
      <c r="G27" s="55"/>
      <c r="H27" s="46"/>
      <c r="I27" s="28">
        <f>IF(H27&gt;H25,1,0)</f>
        <v>0</v>
      </c>
      <c r="J27" s="28">
        <f>IF(B27="",0,1)</f>
        <v>1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4</v>
      </c>
      <c r="N27" s="28">
        <f>C27+F27+I27</f>
        <v>0</v>
      </c>
      <c r="O27" s="28"/>
      <c r="P27" s="53" t="str">
        <f>AE15</f>
        <v>Dawn Azzopardi</v>
      </c>
      <c r="Q27" s="46"/>
      <c r="R27" s="54">
        <f>IF(Q27&gt;Q25,1,0)</f>
        <v>0</v>
      </c>
      <c r="S27" s="55"/>
      <c r="T27" s="46"/>
      <c r="U27" s="54">
        <f>IF(T27&gt;T25,1,0)</f>
        <v>0</v>
      </c>
      <c r="V27" s="55"/>
      <c r="W27" s="46"/>
      <c r="X27" s="28">
        <f>IF(W27&gt;W25,1,0)</f>
        <v>0</v>
      </c>
      <c r="Y27" s="28">
        <f>IF(Q27="",0,1)</f>
        <v>0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0</v>
      </c>
      <c r="AC27" s="28">
        <f>R27+U27+X27</f>
        <v>0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  <c r="AM28" s="28"/>
      <c r="AN28" s="28"/>
    </row>
    <row r="29" ht="14.25" customHeight="1">
      <c r="A29" s="28"/>
      <c r="B29" s="37"/>
      <c r="C29" s="28"/>
      <c r="D29" s="37"/>
      <c r="E29" s="37"/>
      <c r="F29" s="28"/>
      <c r="G29" s="37"/>
      <c r="H29" s="37"/>
      <c r="I29" s="28"/>
      <c r="J29" s="28"/>
      <c r="K29" s="28"/>
      <c r="L29" s="28"/>
      <c r="M29" s="28"/>
      <c r="N29" s="28"/>
      <c r="O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4.25" customHeight="1">
      <c r="A30" s="28"/>
      <c r="I30" s="52"/>
      <c r="J30" s="28"/>
      <c r="K30" s="28"/>
      <c r="L30" s="28"/>
      <c r="M30" s="28"/>
      <c r="N30" s="28"/>
      <c r="O30" s="28"/>
      <c r="AD30" s="28"/>
      <c r="AE30" s="28"/>
      <c r="AF30" s="28"/>
      <c r="AG30" s="28"/>
      <c r="AH30" s="28"/>
      <c r="AI30" s="28"/>
      <c r="AJ30" s="28"/>
      <c r="AK30" s="28"/>
      <c r="AL30" s="60"/>
      <c r="AM30" s="28"/>
      <c r="AN30" s="28"/>
    </row>
    <row r="31" ht="14.25" customHeight="1">
      <c r="A31" s="28"/>
      <c r="B31" s="37"/>
      <c r="C31" s="28"/>
      <c r="D31" s="37"/>
      <c r="E31" s="37"/>
      <c r="F31" s="28"/>
      <c r="G31" s="37"/>
      <c r="H31" s="37"/>
      <c r="I31" s="28"/>
      <c r="J31" s="28"/>
      <c r="K31" s="28"/>
      <c r="L31" s="28"/>
      <c r="M31" s="28"/>
      <c r="N31" s="28"/>
      <c r="O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7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60"/>
      <c r="AM32" s="28"/>
      <c r="AN32" s="28"/>
    </row>
    <row r="33" ht="14.25" customHeight="1">
      <c r="A33" s="28"/>
      <c r="B33" s="37"/>
      <c r="C33" s="28"/>
      <c r="D33" s="37"/>
      <c r="E33" s="37"/>
      <c r="F33" s="28"/>
      <c r="G33" s="37"/>
      <c r="H33" s="37"/>
      <c r="I33" s="28"/>
      <c r="J33" s="28"/>
      <c r="K33" s="28"/>
      <c r="L33" s="28"/>
      <c r="M33" s="28"/>
      <c r="N33" s="28"/>
      <c r="O33" s="28"/>
      <c r="P33" s="28"/>
      <c r="Q33" s="37"/>
      <c r="R33" s="28"/>
      <c r="S33" s="37"/>
      <c r="T33" s="37"/>
      <c r="U33" s="28"/>
      <c r="V33" s="37"/>
      <c r="W33" s="3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4.25" customHeight="1">
      <c r="A34" s="28"/>
      <c r="I34" s="52"/>
      <c r="J34" s="28"/>
      <c r="K34" s="28"/>
      <c r="L34" s="28"/>
      <c r="M34" s="28"/>
      <c r="N34" s="28"/>
      <c r="O34" s="28"/>
      <c r="P34" s="28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4.25" customHeight="1">
      <c r="A35" s="28"/>
      <c r="B35" s="37"/>
      <c r="C35" s="28"/>
      <c r="D35" s="37"/>
      <c r="E35" s="37"/>
      <c r="F35" s="28"/>
      <c r="G35" s="37"/>
      <c r="H35" s="37"/>
      <c r="I35" s="28"/>
      <c r="J35" s="28"/>
      <c r="K35" s="28"/>
      <c r="L35" s="28"/>
      <c r="M35" s="28"/>
      <c r="N35" s="28"/>
      <c r="O35" s="28"/>
      <c r="P35" s="28"/>
      <c r="Q35" s="37"/>
      <c r="R35" s="28"/>
      <c r="S35" s="37"/>
      <c r="T35" s="37"/>
      <c r="U35" s="28"/>
      <c r="V35" s="37"/>
      <c r="W35" s="3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37"/>
      <c r="AL36" s="28"/>
      <c r="AM36" s="28"/>
      <c r="AN36" s="28"/>
    </row>
    <row r="37" ht="14.25" customHeight="1"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7"/>
      <c r="AL37" s="28"/>
      <c r="AM37" s="28"/>
      <c r="AN37" s="28"/>
    </row>
    <row r="38" ht="14.25" customHeight="1"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  <c r="AM38" s="28"/>
      <c r="AN38" s="28"/>
    </row>
    <row r="39" ht="14.25" customHeight="1"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61"/>
      <c r="AK41" s="28"/>
      <c r="AL41" s="28"/>
      <c r="AM41" s="28"/>
      <c r="AN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61"/>
      <c r="AK46" s="28"/>
      <c r="AL46" s="37"/>
      <c r="AM46" s="28"/>
      <c r="AN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61"/>
      <c r="AK51" s="28"/>
      <c r="AL51" s="28"/>
      <c r="AM51" s="28"/>
      <c r="AN51" s="37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7"/>
      <c r="AI55" s="28"/>
      <c r="AJ55" s="28"/>
      <c r="AK55" s="37"/>
      <c r="AL55" s="28"/>
      <c r="AM55" s="28"/>
      <c r="AN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37"/>
      <c r="R105" s="37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</sheetData>
  <mergeCells count="21">
    <mergeCell ref="A1:AI3"/>
    <mergeCell ref="A5:AI5"/>
    <mergeCell ref="B7:E7"/>
    <mergeCell ref="Q7:T7"/>
    <mergeCell ref="A10:H10"/>
    <mergeCell ref="P10:W10"/>
    <mergeCell ref="P14:W14"/>
    <mergeCell ref="AE22:AI22"/>
    <mergeCell ref="AE23:AI23"/>
    <mergeCell ref="A26:H26"/>
    <mergeCell ref="P26:W26"/>
    <mergeCell ref="A30:H30"/>
    <mergeCell ref="A34:H34"/>
    <mergeCell ref="P34:W34"/>
    <mergeCell ref="A14:H14"/>
    <mergeCell ref="A18:H18"/>
    <mergeCell ref="P18:W18"/>
    <mergeCell ref="AE19:AI19"/>
    <mergeCell ref="AE20:AI20"/>
    <mergeCell ref="A22:H22"/>
    <mergeCell ref="P22:W22"/>
  </mergeCell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7.38"/>
    <col customWidth="1" hidden="1" min="12" max="12" width="5.38"/>
    <col customWidth="1" hidden="1" min="13" max="13" width="5.13"/>
    <col customWidth="1" hidden="1" min="14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5.5"/>
    <col customWidth="1" hidden="1" min="28" max="28" width="8.0"/>
    <col customWidth="1" hidden="1" min="29" max="29" width="6.13"/>
    <col customWidth="1" min="30" max="30" width="8.75"/>
    <col customWidth="1" min="31" max="31" width="39.88"/>
    <col customWidth="1" min="32" max="32" width="10.5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134"/>
      <c r="AK1" s="134"/>
      <c r="AL1" s="134"/>
      <c r="AM1" s="134"/>
      <c r="AN1" s="134"/>
    </row>
    <row r="2" ht="21.0" customHeight="1">
      <c r="AJ2" s="134"/>
      <c r="AK2" s="134"/>
      <c r="AL2" s="134"/>
      <c r="AM2" s="134"/>
      <c r="AN2" s="134"/>
    </row>
    <row r="3" ht="14.25" customHeight="1"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142" t="s">
        <v>104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  <c r="AM5" s="28"/>
      <c r="AN5" s="28"/>
    </row>
    <row r="6" ht="14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30.75" customHeight="1">
      <c r="A7" s="143" t="s">
        <v>62</v>
      </c>
      <c r="B7" s="144" t="s">
        <v>63</v>
      </c>
      <c r="C7" s="31"/>
      <c r="D7" s="31"/>
      <c r="E7" s="32"/>
      <c r="F7" s="145"/>
      <c r="G7" s="67"/>
      <c r="H7" s="143" t="s">
        <v>64</v>
      </c>
      <c r="I7" s="35"/>
      <c r="J7" s="35"/>
      <c r="K7" s="35"/>
      <c r="L7" s="35"/>
      <c r="M7" s="36"/>
      <c r="N7" s="36"/>
      <c r="O7" s="35"/>
      <c r="P7" s="143" t="s">
        <v>62</v>
      </c>
      <c r="Q7" s="144" t="s">
        <v>63</v>
      </c>
      <c r="R7" s="31"/>
      <c r="S7" s="31"/>
      <c r="T7" s="32"/>
      <c r="U7" s="145"/>
      <c r="V7" s="67"/>
      <c r="W7" s="143" t="s">
        <v>64</v>
      </c>
      <c r="X7" s="35"/>
      <c r="Y7" s="36"/>
      <c r="Z7" s="36"/>
      <c r="AA7" s="36"/>
      <c r="AB7" s="36"/>
      <c r="AC7" s="36"/>
      <c r="AD7" s="35"/>
      <c r="AE7" s="143" t="s">
        <v>65</v>
      </c>
      <c r="AF7" s="143" t="s">
        <v>66</v>
      </c>
      <c r="AG7" s="143" t="s">
        <v>67</v>
      </c>
      <c r="AH7" s="143" t="s">
        <v>68</v>
      </c>
      <c r="AI7" s="143" t="s">
        <v>69</v>
      </c>
      <c r="AJ7" s="37"/>
      <c r="AK7" s="37"/>
      <c r="AL7" s="37"/>
      <c r="AM7" s="28"/>
      <c r="AN7" s="28"/>
    </row>
    <row r="8" ht="14.25" hidden="1" customHeight="1">
      <c r="A8" s="28"/>
      <c r="B8" s="146" t="s">
        <v>70</v>
      </c>
      <c r="C8" s="146" t="s">
        <v>71</v>
      </c>
      <c r="D8" s="146"/>
      <c r="E8" s="146" t="s">
        <v>70</v>
      </c>
      <c r="F8" s="146" t="s">
        <v>72</v>
      </c>
      <c r="G8" s="146"/>
      <c r="H8" s="146" t="s">
        <v>70</v>
      </c>
      <c r="I8" s="146" t="s">
        <v>73</v>
      </c>
      <c r="J8" s="146" t="s">
        <v>74</v>
      </c>
      <c r="K8" s="146" t="s">
        <v>75</v>
      </c>
      <c r="L8" s="146" t="s">
        <v>76</v>
      </c>
      <c r="M8" s="146" t="s">
        <v>77</v>
      </c>
      <c r="N8" s="146" t="s">
        <v>78</v>
      </c>
      <c r="O8" s="28"/>
      <c r="P8" s="28"/>
      <c r="Q8" s="146" t="s">
        <v>70</v>
      </c>
      <c r="R8" s="146" t="s">
        <v>71</v>
      </c>
      <c r="S8" s="146"/>
      <c r="T8" s="146" t="s">
        <v>70</v>
      </c>
      <c r="U8" s="146" t="s">
        <v>72</v>
      </c>
      <c r="V8" s="146"/>
      <c r="W8" s="146" t="s">
        <v>70</v>
      </c>
      <c r="X8" s="38" t="s">
        <v>73</v>
      </c>
      <c r="Y8" s="38" t="s">
        <v>74</v>
      </c>
      <c r="Z8" s="38" t="s">
        <v>75</v>
      </c>
      <c r="AA8" s="38" t="s">
        <v>76</v>
      </c>
      <c r="AB8" s="38" t="s">
        <v>77</v>
      </c>
      <c r="AC8" s="38" t="s">
        <v>78</v>
      </c>
      <c r="AD8" s="28"/>
      <c r="AE8" s="37"/>
      <c r="AF8" s="37"/>
      <c r="AG8" s="37"/>
      <c r="AH8" s="37"/>
      <c r="AI8" s="37"/>
      <c r="AJ8" s="38" t="s">
        <v>79</v>
      </c>
      <c r="AK8" s="38" t="s">
        <v>92</v>
      </c>
      <c r="AL8" s="40" t="s">
        <v>80</v>
      </c>
      <c r="AM8" s="41" t="s">
        <v>81</v>
      </c>
      <c r="AN8" s="41" t="s">
        <v>93</v>
      </c>
    </row>
    <row r="9" ht="14.25" customHeight="1">
      <c r="A9" s="42" t="str">
        <f>AE9</f>
        <v>Nancy Wong</v>
      </c>
      <c r="B9" s="43">
        <v>6.0</v>
      </c>
      <c r="C9" s="44">
        <f>IF(B9&gt;B11,1,0)</f>
        <v>1</v>
      </c>
      <c r="D9" s="45"/>
      <c r="E9" s="43">
        <v>6.0</v>
      </c>
      <c r="F9" s="44">
        <f>IF(E9&gt;E11,1,0)</f>
        <v>1</v>
      </c>
      <c r="G9" s="45"/>
      <c r="H9" s="46"/>
      <c r="I9" s="28">
        <f>IF(H9&gt;H11,1,0)</f>
        <v>0</v>
      </c>
      <c r="J9" s="28">
        <f>IF(B9="",0,1)</f>
        <v>1</v>
      </c>
      <c r="K9" s="28">
        <f>IF(C9+F9=2,3,IF(C9+F9=1,1,0))</f>
        <v>3</v>
      </c>
      <c r="L9" s="28">
        <f>IF(K9=3,3,IF(I9+K9=2,2,IF(K9=1,1,0)))</f>
        <v>3</v>
      </c>
      <c r="M9" s="28">
        <f>B9+E9</f>
        <v>12</v>
      </c>
      <c r="N9" s="28">
        <f>C9+F9+I9</f>
        <v>2</v>
      </c>
      <c r="O9" s="28"/>
      <c r="P9" s="42" t="str">
        <f>AE9</f>
        <v>Nancy Wong</v>
      </c>
      <c r="Q9" s="43">
        <v>2.0</v>
      </c>
      <c r="R9" s="44">
        <f>IF(Q9&gt;Q11,1,0)</f>
        <v>0</v>
      </c>
      <c r="S9" s="45"/>
      <c r="T9" s="43">
        <v>0.0</v>
      </c>
      <c r="U9" s="44">
        <f>IF(T9&gt;T11,1,0)</f>
        <v>0</v>
      </c>
      <c r="V9" s="45"/>
      <c r="W9" s="46"/>
      <c r="X9" s="28">
        <f>IF(W9&gt;W11,1,0)</f>
        <v>0</v>
      </c>
      <c r="Y9" s="28">
        <f>IF(Q9="",0,1)</f>
        <v>1</v>
      </c>
      <c r="Z9" s="28">
        <f>IF(R9+U9=2,3,IF(R9+U9=1,1,0))</f>
        <v>0</v>
      </c>
      <c r="AA9" s="28">
        <f>IF(Z9=3,3,IF(X9+Z9=2,2,IF(Z9=1,1,0)))</f>
        <v>0</v>
      </c>
      <c r="AB9" s="28">
        <f>Q9+T9</f>
        <v>2</v>
      </c>
      <c r="AC9" s="28">
        <f>R9+U9+X9</f>
        <v>0</v>
      </c>
      <c r="AD9" s="28"/>
      <c r="AE9" s="147" t="str">
        <f>'Players - Ladies'!B14</f>
        <v>Nancy Wong</v>
      </c>
      <c r="AF9" s="48">
        <f>J9+Y9+J13+Y13</f>
        <v>3</v>
      </c>
      <c r="AG9" s="48">
        <f t="shared" ref="AG9:AI9" si="1">L9+AA9+L13+AA13</f>
        <v>5</v>
      </c>
      <c r="AH9" s="48">
        <f t="shared" si="1"/>
        <v>23</v>
      </c>
      <c r="AI9" s="49">
        <f t="shared" si="1"/>
        <v>4</v>
      </c>
      <c r="AJ9" s="28">
        <f>MAX(AG9:AG18)</f>
        <v>9</v>
      </c>
      <c r="AK9" s="28">
        <f>LARGE(AG9:AG18, 2)</f>
        <v>5</v>
      </c>
      <c r="AL9" s="28">
        <f>SUM(AF9:AF18)</f>
        <v>12</v>
      </c>
      <c r="AM9" s="28" t="str">
        <f>IF(AG9=$AJ$9,AE9,IF(AG11=$AJ$9,AE11,IF(AG13=$AJ$9,AE13,IF(AG15=$AJ$9,AE15,IF(AG17=$AJ$9,AE17,"")))))</f>
        <v>Maria Angela Gambin</v>
      </c>
      <c r="AN9" s="28" t="str">
        <f>IF(AG9=$AK$9,AE9,IF(AG11=$AK$9,AE11,IF(AG13=$AK$9,AE13,IF(AG15=$AK$9,AE15,IF(AG17=$AK$9,AE17,"")))))</f>
        <v>Nancy Wong</v>
      </c>
    </row>
    <row r="10" ht="14.25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37"/>
      <c r="AM10" s="28"/>
      <c r="AN10" s="28"/>
    </row>
    <row r="11" ht="14.25" customHeight="1">
      <c r="A11" s="53" t="str">
        <f>AE11</f>
        <v>Tiffany Fenech</v>
      </c>
      <c r="B11" s="43">
        <v>4.0</v>
      </c>
      <c r="C11" s="54">
        <f>IF(B11&gt;B9,1,0)</f>
        <v>0</v>
      </c>
      <c r="D11" s="55"/>
      <c r="E11" s="43">
        <v>4.0</v>
      </c>
      <c r="F11" s="54">
        <f>IF(E11&gt;E9,1,0)</f>
        <v>0</v>
      </c>
      <c r="G11" s="55"/>
      <c r="H11" s="46"/>
      <c r="I11" s="28">
        <f>IF(H11&gt;H9,1,0)</f>
        <v>0</v>
      </c>
      <c r="J11" s="28">
        <f>IF(B11="",0,1)</f>
        <v>1</v>
      </c>
      <c r="K11" s="28">
        <f>IF(C11+F11=2,3,IF(C11+F11=1,1,0))</f>
        <v>0</v>
      </c>
      <c r="L11" s="28">
        <f>IF(K11=3,3,IF(I11+K11=2,2,IF(K11=1,1,0)))</f>
        <v>0</v>
      </c>
      <c r="M11" s="28">
        <f>B11+E11</f>
        <v>8</v>
      </c>
      <c r="N11" s="28">
        <f>C11+F11+I11</f>
        <v>0</v>
      </c>
      <c r="O11" s="28"/>
      <c r="P11" s="53" t="str">
        <f>AE13</f>
        <v>Maria Angela Gambin</v>
      </c>
      <c r="Q11" s="43">
        <v>6.0</v>
      </c>
      <c r="R11" s="54">
        <f>IF(Q11&gt;Q9,1,0)</f>
        <v>1</v>
      </c>
      <c r="S11" s="55"/>
      <c r="T11" s="43">
        <v>6.0</v>
      </c>
      <c r="U11" s="54">
        <f>IF(T11&gt;T9,1,0)</f>
        <v>1</v>
      </c>
      <c r="V11" s="55"/>
      <c r="W11" s="46"/>
      <c r="X11" s="28">
        <f>IF(W11&gt;W9,1,0)</f>
        <v>0</v>
      </c>
      <c r="Y11" s="28">
        <f>IF(Q11="",0,1)</f>
        <v>1</v>
      </c>
      <c r="Z11" s="28">
        <f>IF(R11+U11=2,3,IF(R11+U11=1,1,0))</f>
        <v>3</v>
      </c>
      <c r="AA11" s="28">
        <f>IF(Z11=3,3,IF(X11+Z11=2,2,IF(Z11=1,1,0)))</f>
        <v>3</v>
      </c>
      <c r="AB11" s="28">
        <f>Q11+T11</f>
        <v>12</v>
      </c>
      <c r="AC11" s="28">
        <f>R11+U11+X11</f>
        <v>2</v>
      </c>
      <c r="AD11" s="28"/>
      <c r="AE11" s="147" t="str">
        <f>'Players - Ladies'!B15</f>
        <v>Tiffany Fenech</v>
      </c>
      <c r="AF11" s="48">
        <f>J11+J21+Y21+Y17</f>
        <v>3</v>
      </c>
      <c r="AG11" s="48">
        <f t="shared" ref="AG11:AI11" si="2">L11+L21+AA21+AA17</f>
        <v>1</v>
      </c>
      <c r="AH11" s="48">
        <f t="shared" si="2"/>
        <v>23</v>
      </c>
      <c r="AI11" s="49">
        <f t="shared" si="2"/>
        <v>1</v>
      </c>
      <c r="AJ11" s="37"/>
      <c r="AK11" s="37"/>
      <c r="AL11" s="37"/>
      <c r="AM11" s="28"/>
      <c r="AN11" s="28"/>
    </row>
    <row r="12" ht="14.25" customHeight="1">
      <c r="A12" s="28"/>
      <c r="B12" s="28"/>
      <c r="C12" s="28"/>
      <c r="D12" s="28"/>
      <c r="E12" s="28"/>
      <c r="F12" s="28"/>
      <c r="G12" s="28"/>
      <c r="H12" s="5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54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37"/>
      <c r="AM12" s="28"/>
      <c r="AN12" s="28"/>
    </row>
    <row r="13" ht="14.25" customHeight="1">
      <c r="A13" s="42" t="str">
        <f>AE9</f>
        <v>Nancy Wong</v>
      </c>
      <c r="B13" s="46"/>
      <c r="C13" s="44">
        <f>IF(B13&gt;B15,1,0)</f>
        <v>0</v>
      </c>
      <c r="D13" s="45"/>
      <c r="E13" s="46"/>
      <c r="F13" s="44">
        <f>IF(E13&gt;E15,1,0)</f>
        <v>0</v>
      </c>
      <c r="G13" s="45"/>
      <c r="H13" s="46"/>
      <c r="I13" s="28">
        <f>IF(H13&gt;H15,1,0)</f>
        <v>0</v>
      </c>
      <c r="J13" s="28">
        <f>IF(B13="",0,1)</f>
        <v>0</v>
      </c>
      <c r="K13" s="28">
        <f>IF(C13+F13=2,3,IF(C13+F13=1,1,0))</f>
        <v>0</v>
      </c>
      <c r="L13" s="28">
        <f>IF(K13=3,3,IF(I13+K13=2,2,IF(K13=1,1,0)))</f>
        <v>0</v>
      </c>
      <c r="M13" s="28">
        <f>B13+E13</f>
        <v>0</v>
      </c>
      <c r="N13" s="28">
        <f>C13+F13+I13</f>
        <v>0</v>
      </c>
      <c r="O13" s="28"/>
      <c r="P13" s="42" t="str">
        <f>AE9</f>
        <v>Nancy Wong</v>
      </c>
      <c r="Q13" s="43">
        <v>3.0</v>
      </c>
      <c r="R13" s="44">
        <f>IF(Q13&gt;Q15,1,0)</f>
        <v>0</v>
      </c>
      <c r="S13" s="45"/>
      <c r="T13" s="43">
        <v>6.0</v>
      </c>
      <c r="U13" s="44">
        <f>IF(T13&gt;T15,1,0)</f>
        <v>1</v>
      </c>
      <c r="V13" s="45"/>
      <c r="W13" s="43">
        <v>10.0</v>
      </c>
      <c r="X13" s="28">
        <f>IF(W13&gt;W15,1,0)</f>
        <v>1</v>
      </c>
      <c r="Y13" s="28">
        <f>IF(Q13="",0,1)</f>
        <v>1</v>
      </c>
      <c r="Z13" s="28">
        <f>IF(R13+U13=2,3,IF(R13+U13=1,1,0))</f>
        <v>1</v>
      </c>
      <c r="AA13" s="28">
        <f>IF(Z13=3,3,IF(X13+Z13=2,2,IF(Z13=1,1,0)))</f>
        <v>2</v>
      </c>
      <c r="AB13" s="28">
        <f>Q13+T13</f>
        <v>9</v>
      </c>
      <c r="AC13" s="28">
        <f>R13+U13+X13</f>
        <v>2</v>
      </c>
      <c r="AD13" s="28"/>
      <c r="AE13" s="147" t="str">
        <f>'Players - Ladies'!B16</f>
        <v>Maria Angela Gambin</v>
      </c>
      <c r="AF13" s="48">
        <f>Y25+Y11+J25+Y19</f>
        <v>3</v>
      </c>
      <c r="AG13" s="48">
        <f t="shared" ref="AG13:AI13" si="3">AA25+AA11+L25+AA19</f>
        <v>9</v>
      </c>
      <c r="AH13" s="48">
        <f t="shared" si="3"/>
        <v>36</v>
      </c>
      <c r="AI13" s="49">
        <f t="shared" si="3"/>
        <v>6</v>
      </c>
      <c r="AJ13" s="37"/>
      <c r="AK13" s="37"/>
      <c r="AL13" s="37"/>
      <c r="AM13" s="28"/>
      <c r="AN13" s="28"/>
    </row>
    <row r="14" ht="14.25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37"/>
      <c r="AM14" s="28"/>
      <c r="AN14" s="28"/>
    </row>
    <row r="15" ht="14.25" customHeight="1">
      <c r="A15" s="53" t="str">
        <f>AE15</f>
        <v>Maria Ellul</v>
      </c>
      <c r="B15" s="46"/>
      <c r="C15" s="54">
        <f>IF(B15&gt;B13,1,0)</f>
        <v>0</v>
      </c>
      <c r="D15" s="55"/>
      <c r="E15" s="46"/>
      <c r="F15" s="54">
        <f>IF(E15&gt;E13,1,0)</f>
        <v>0</v>
      </c>
      <c r="G15" s="55"/>
      <c r="H15" s="46"/>
      <c r="I15" s="28">
        <f>IF(H15&gt;H13,1,0)</f>
        <v>0</v>
      </c>
      <c r="J15" s="28">
        <f>IF(B15="",0,1)</f>
        <v>0</v>
      </c>
      <c r="K15" s="28">
        <f>IF(C15+F15=2,3,IF(C15+F15=1,1,0))</f>
        <v>0</v>
      </c>
      <c r="L15" s="28">
        <f>IF(K15=3,3,IF(I15+K15=2,2,IF(K15=1,1,0)))</f>
        <v>0</v>
      </c>
      <c r="M15" s="28">
        <f>B15+E15</f>
        <v>0</v>
      </c>
      <c r="N15" s="28">
        <f>C15+F15+I15</f>
        <v>0</v>
      </c>
      <c r="O15" s="28"/>
      <c r="P15" s="53" t="str">
        <f>AE17</f>
        <v>Alida Borg</v>
      </c>
      <c r="Q15" s="43">
        <v>6.0</v>
      </c>
      <c r="R15" s="54">
        <f>IF(Q15&gt;Q13,1,0)</f>
        <v>1</v>
      </c>
      <c r="S15" s="55"/>
      <c r="T15" s="43">
        <v>4.0</v>
      </c>
      <c r="U15" s="54">
        <f>IF(T15&gt;T13,1,0)</f>
        <v>0</v>
      </c>
      <c r="V15" s="55"/>
      <c r="W15" s="43">
        <v>5.0</v>
      </c>
      <c r="X15" s="28">
        <f>IF(W15&gt;W13,1,0)</f>
        <v>0</v>
      </c>
      <c r="Y15" s="28">
        <f>IF(Q15="",0,1)</f>
        <v>1</v>
      </c>
      <c r="Z15" s="28">
        <f>IF(R15+U15=2,3,IF(R15+U15=1,1,0))</f>
        <v>1</v>
      </c>
      <c r="AA15" s="28">
        <f>IF(Z15=3,3,IF(X15+Z15=2,2,IF(Z15=1,1,0)))</f>
        <v>1</v>
      </c>
      <c r="AB15" s="28">
        <f>Q15+T15</f>
        <v>10</v>
      </c>
      <c r="AC15" s="28">
        <f>R15+U15+X15</f>
        <v>1</v>
      </c>
      <c r="AD15" s="28"/>
      <c r="AE15" s="147" t="str">
        <f>'Players - Ladies'!B17</f>
        <v>Maria Ellul</v>
      </c>
      <c r="AF15" s="48">
        <f>Y27+J17+J15+Y23</f>
        <v>1</v>
      </c>
      <c r="AG15" s="48">
        <f t="shared" ref="AG15:AI15" si="4">AA27+L17+L15+AA23</f>
        <v>0</v>
      </c>
      <c r="AH15" s="48">
        <f t="shared" si="4"/>
        <v>3</v>
      </c>
      <c r="AI15" s="49">
        <f t="shared" si="4"/>
        <v>0</v>
      </c>
      <c r="AJ15" s="37"/>
      <c r="AK15" s="37"/>
      <c r="AL15" s="37"/>
      <c r="AM15" s="28"/>
      <c r="AN15" s="28"/>
    </row>
    <row r="16" ht="14.25" customHeight="1">
      <c r="A16" s="28"/>
      <c r="B16" s="37"/>
      <c r="C16" s="28"/>
      <c r="D16" s="28"/>
      <c r="E16" s="28"/>
      <c r="F16" s="28"/>
      <c r="G16" s="28"/>
      <c r="H16" s="54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4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37"/>
      <c r="AM16" s="28"/>
      <c r="AN16" s="28"/>
    </row>
    <row r="17" ht="14.25" customHeight="1">
      <c r="A17" s="42" t="str">
        <f>AE15</f>
        <v>Maria Ellul</v>
      </c>
      <c r="B17" s="46"/>
      <c r="C17" s="44">
        <f>IF(B17&gt;B19,1,0)</f>
        <v>0</v>
      </c>
      <c r="D17" s="45"/>
      <c r="E17" s="46"/>
      <c r="F17" s="44">
        <f>IF(E17&gt;E19,1,0)</f>
        <v>0</v>
      </c>
      <c r="G17" s="45"/>
      <c r="H17" s="46"/>
      <c r="I17" s="28">
        <f>IF(H17&gt;H19,1,0)</f>
        <v>0</v>
      </c>
      <c r="J17" s="28">
        <f>IF(B17="",0,1)</f>
        <v>0</v>
      </c>
      <c r="K17" s="28">
        <f>IF(C17+F17=2,3,IF(C17+F17=1,1,0))</f>
        <v>0</v>
      </c>
      <c r="L17" s="28">
        <f>IF(K17=3,3,IF(I17+K17=2,2,IF(K17=1,1,0)))</f>
        <v>0</v>
      </c>
      <c r="M17" s="28">
        <f>B17+E17</f>
        <v>0</v>
      </c>
      <c r="N17" s="28">
        <f>C17+F17+I17</f>
        <v>0</v>
      </c>
      <c r="O17" s="28"/>
      <c r="P17" s="42" t="str">
        <f>AE11</f>
        <v>Tiffany Fenech</v>
      </c>
      <c r="Q17" s="43">
        <v>3.0</v>
      </c>
      <c r="R17" s="44">
        <f>IF(Q17&gt;Q19,1,0)</f>
        <v>0</v>
      </c>
      <c r="S17" s="45"/>
      <c r="T17" s="43">
        <v>2.0</v>
      </c>
      <c r="U17" s="44">
        <f>IF(T17&gt;T19,1,0)</f>
        <v>0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0</v>
      </c>
      <c r="AA17" s="28">
        <f>IF(Z17=3,3,IF(X17+Z17=2,2,IF(Z17=1,1,0)))</f>
        <v>0</v>
      </c>
      <c r="AB17" s="28">
        <f>Q17+T17</f>
        <v>5</v>
      </c>
      <c r="AC17" s="28">
        <f>R17+U17+X17</f>
        <v>0</v>
      </c>
      <c r="AD17" s="28"/>
      <c r="AE17" s="147" t="str">
        <f>'Players - Ladies'!B18</f>
        <v>Alida Borg</v>
      </c>
      <c r="AF17" s="48">
        <f>J19+J23+Y15+J27</f>
        <v>2</v>
      </c>
      <c r="AG17" s="48">
        <f t="shared" ref="AG17:AI17" si="5">L19+L23+AA15+L27</f>
        <v>3</v>
      </c>
      <c r="AH17" s="48">
        <f t="shared" si="5"/>
        <v>21</v>
      </c>
      <c r="AI17" s="49">
        <f t="shared" si="5"/>
        <v>3</v>
      </c>
      <c r="AJ17" s="37"/>
      <c r="AK17" s="37"/>
      <c r="AL17" s="37"/>
      <c r="AM17" s="28"/>
      <c r="AN17" s="28"/>
    </row>
    <row r="18" ht="14.25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37"/>
      <c r="AM18" s="28"/>
      <c r="AN18" s="28"/>
    </row>
    <row r="19" ht="14.25" customHeight="1">
      <c r="A19" s="53" t="str">
        <f>AE17</f>
        <v>Alida Borg</v>
      </c>
      <c r="B19" s="46"/>
      <c r="C19" s="54">
        <f>IF(B19&gt;B17,1,0)</f>
        <v>0</v>
      </c>
      <c r="D19" s="55"/>
      <c r="E19" s="46"/>
      <c r="F19" s="54">
        <f>IF(E19&gt;E17,1,0)</f>
        <v>0</v>
      </c>
      <c r="G19" s="55"/>
      <c r="H19" s="46"/>
      <c r="I19" s="28">
        <f>IF(H19&gt;H17,1,0)</f>
        <v>0</v>
      </c>
      <c r="J19" s="28">
        <f>IF(B19="",0,1)</f>
        <v>0</v>
      </c>
      <c r="K19" s="28">
        <f>IF(C19+F19=2,3,IF(C19+F19=1,1,0))</f>
        <v>0</v>
      </c>
      <c r="L19" s="28">
        <f>IF(K19=3,3,IF(I19+K19=2,2,IF(K19=1,1,0)))</f>
        <v>0</v>
      </c>
      <c r="M19" s="28">
        <f>B19+E19</f>
        <v>0</v>
      </c>
      <c r="N19" s="28">
        <f>C19+F19+I19</f>
        <v>0</v>
      </c>
      <c r="O19" s="28"/>
      <c r="P19" s="53" t="str">
        <f>AE13</f>
        <v>Maria Angela Gambin</v>
      </c>
      <c r="Q19" s="43">
        <v>6.0</v>
      </c>
      <c r="R19" s="54">
        <f>IF(Q19&gt;Q17,1,0)</f>
        <v>1</v>
      </c>
      <c r="S19" s="55"/>
      <c r="T19" s="43">
        <v>6.0</v>
      </c>
      <c r="U19" s="54">
        <f>IF(T19&gt;T17,1,0)</f>
        <v>1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3</v>
      </c>
      <c r="AA19" s="28">
        <f>IF(Z19=3,3,IF(X19+Z19=2,2,IF(Z19=1,1,0)))</f>
        <v>3</v>
      </c>
      <c r="AB19" s="28">
        <f>Q19+T19</f>
        <v>12</v>
      </c>
      <c r="AC19" s="28">
        <f>R19+U19+X19</f>
        <v>2</v>
      </c>
      <c r="AD19" s="28"/>
      <c r="AE19" s="148" t="s">
        <v>90</v>
      </c>
      <c r="AF19" s="31"/>
      <c r="AG19" s="31"/>
      <c r="AH19" s="31"/>
      <c r="AI19" s="32"/>
      <c r="AJ19" s="28"/>
      <c r="AK19" s="37"/>
      <c r="AL19" s="37"/>
      <c r="AM19" s="28"/>
      <c r="AN19" s="28"/>
    </row>
    <row r="20" ht="14.25" customHeight="1">
      <c r="A20" s="28"/>
      <c r="B20" s="28"/>
      <c r="C20" s="28"/>
      <c r="D20" s="28"/>
      <c r="E20" s="28"/>
      <c r="F20" s="28"/>
      <c r="G20" s="28"/>
      <c r="H20" s="5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54"/>
      <c r="X20" s="28"/>
      <c r="Y20" s="28"/>
      <c r="Z20" s="28"/>
      <c r="AA20" s="28"/>
      <c r="AB20" s="28"/>
      <c r="AC20" s="28"/>
      <c r="AD20" s="28"/>
      <c r="AE20" s="59"/>
      <c r="AF20" s="31"/>
      <c r="AG20" s="31"/>
      <c r="AH20" s="31"/>
      <c r="AI20" s="32"/>
      <c r="AJ20" s="28"/>
      <c r="AK20" s="37"/>
      <c r="AL20" s="28"/>
      <c r="AM20" s="28"/>
      <c r="AN20" s="28"/>
    </row>
    <row r="21" ht="14.25" customHeight="1">
      <c r="A21" s="42" t="str">
        <f>AE11</f>
        <v>Tiffany Fenech</v>
      </c>
      <c r="B21" s="43">
        <v>6.0</v>
      </c>
      <c r="C21" s="44">
        <f>IF(B21&gt;B23,1,0)</f>
        <v>1</v>
      </c>
      <c r="D21" s="45"/>
      <c r="E21" s="43">
        <v>4.0</v>
      </c>
      <c r="F21" s="44">
        <f>IF(E21&gt;E23,1,0)</f>
        <v>0</v>
      </c>
      <c r="G21" s="45"/>
      <c r="H21" s="43">
        <v>5.0</v>
      </c>
      <c r="I21" s="28">
        <f>IF(H21&gt;H23,1,0)</f>
        <v>0</v>
      </c>
      <c r="J21" s="28">
        <f>IF(B21="",0,1)</f>
        <v>1</v>
      </c>
      <c r="K21" s="28">
        <f>IF(C21+F21=2,3,IF(C21+F21=1,1,0))</f>
        <v>1</v>
      </c>
      <c r="L21" s="28">
        <f>IF(K21=3,3,IF(I21+K21=2,2,IF(K21=1,1,0)))</f>
        <v>1</v>
      </c>
      <c r="M21" s="28">
        <f>B21+E21</f>
        <v>10</v>
      </c>
      <c r="N21" s="28">
        <f>C21+F21+I21</f>
        <v>1</v>
      </c>
      <c r="O21" s="28"/>
      <c r="P21" s="42" t="str">
        <f>AE11</f>
        <v>Tiffany Fenech</v>
      </c>
      <c r="Q21" s="46"/>
      <c r="R21" s="44">
        <f>IF(Q21&gt;Q23,1,0)</f>
        <v>0</v>
      </c>
      <c r="S21" s="45"/>
      <c r="T21" s="46"/>
      <c r="U21" s="44">
        <f>IF(T21&gt;T23,1,0)</f>
        <v>0</v>
      </c>
      <c r="V21" s="45"/>
      <c r="W21" s="46"/>
      <c r="X21" s="28">
        <f>IF(W21&gt;W23,1,0)</f>
        <v>0</v>
      </c>
      <c r="Y21" s="28">
        <f>IF(Q21="",0,1)</f>
        <v>0</v>
      </c>
      <c r="Z21" s="28">
        <f>IF(R21+U21=2,3,IF(R21+U21=1,1,0))</f>
        <v>0</v>
      </c>
      <c r="AA21" s="28">
        <f>IF(Z21=3,3,IF(X21+Z21=2,2,IF(Z21=1,1,0)))</f>
        <v>0</v>
      </c>
      <c r="AB21" s="28">
        <f>Q21+T21</f>
        <v>0</v>
      </c>
      <c r="AC21" s="28">
        <f>R21+U21+X21</f>
        <v>0</v>
      </c>
      <c r="AD21" s="56"/>
      <c r="AJ21" s="28"/>
      <c r="AK21" s="28"/>
      <c r="AL21" s="28"/>
      <c r="AM21" s="28"/>
      <c r="AN21" s="28"/>
    </row>
    <row r="22" ht="14.25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E22" s="148" t="s">
        <v>91</v>
      </c>
      <c r="AF22" s="31"/>
      <c r="AG22" s="31"/>
      <c r="AH22" s="31"/>
      <c r="AI22" s="32"/>
      <c r="AJ22" s="28"/>
      <c r="AK22" s="37"/>
      <c r="AL22" s="28"/>
      <c r="AM22" s="28"/>
      <c r="AN22" s="28"/>
    </row>
    <row r="23" ht="14.25" customHeight="1">
      <c r="A23" s="53" t="str">
        <f>AE17</f>
        <v>Alida Borg</v>
      </c>
      <c r="B23" s="43">
        <v>4.0</v>
      </c>
      <c r="C23" s="54">
        <f>IF(B23&gt;B21,1,0)</f>
        <v>0</v>
      </c>
      <c r="D23" s="55"/>
      <c r="E23" s="43">
        <v>7.0</v>
      </c>
      <c r="F23" s="54">
        <f>IF(E23&gt;E21,1,0)</f>
        <v>1</v>
      </c>
      <c r="G23" s="55"/>
      <c r="H23" s="43">
        <v>10.0</v>
      </c>
      <c r="I23" s="28">
        <f>IF(H23&gt;H21,1,0)</f>
        <v>1</v>
      </c>
      <c r="J23" s="28">
        <f>IF(B23="",0,1)</f>
        <v>1</v>
      </c>
      <c r="K23" s="28">
        <f>IF(C23+F23=2,3,IF(C23+F23=1,1,0))</f>
        <v>1</v>
      </c>
      <c r="L23" s="28">
        <f>IF(K23=3,3,IF(I23+K23=2,2,IF(K23=1,1,0)))</f>
        <v>2</v>
      </c>
      <c r="M23" s="28">
        <f>B23+E23</f>
        <v>11</v>
      </c>
      <c r="N23" s="28">
        <f>C23+F23+I23</f>
        <v>2</v>
      </c>
      <c r="O23" s="28"/>
      <c r="P23" s="53" t="str">
        <f>AE15</f>
        <v>Maria Ellul</v>
      </c>
      <c r="Q23" s="46"/>
      <c r="R23" s="54">
        <f>IF(Q23&gt;Q21,1,0)</f>
        <v>0</v>
      </c>
      <c r="S23" s="55"/>
      <c r="T23" s="46"/>
      <c r="U23" s="54">
        <f>IF(T23&gt;T21,1,0)</f>
        <v>0</v>
      </c>
      <c r="V23" s="55"/>
      <c r="W23" s="46"/>
      <c r="X23" s="28">
        <f>IF(W23&gt;W21,1,0)</f>
        <v>0</v>
      </c>
      <c r="Y23" s="28">
        <f>IF(Q23="",0,1)</f>
        <v>0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0</v>
      </c>
      <c r="AC23" s="28">
        <f>R23+U23+X23</f>
        <v>0</v>
      </c>
      <c r="AD23" s="28"/>
      <c r="AE23" s="59"/>
      <c r="AF23" s="31"/>
      <c r="AG23" s="31"/>
      <c r="AH23" s="31"/>
      <c r="AI23" s="32"/>
      <c r="AJ23" s="28"/>
      <c r="AK23" s="28"/>
      <c r="AL23" s="28"/>
      <c r="AM23" s="28"/>
      <c r="AN23" s="28"/>
    </row>
    <row r="24" ht="14.25" customHeight="1">
      <c r="A24" s="28"/>
      <c r="B24" s="28"/>
      <c r="C24" s="28"/>
      <c r="D24" s="28"/>
      <c r="E24" s="28"/>
      <c r="F24" s="28"/>
      <c r="G24" s="28"/>
      <c r="H24" s="54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54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ht="14.25" customHeight="1">
      <c r="A25" s="42" t="str">
        <f>AE13</f>
        <v>Maria Angela Gambin</v>
      </c>
      <c r="B25" s="46"/>
      <c r="C25" s="44">
        <f>IF(B25&gt;B27,1,0)</f>
        <v>0</v>
      </c>
      <c r="D25" s="45"/>
      <c r="E25" s="46"/>
      <c r="F25" s="44">
        <f>IF(E25&gt;E27,1,0)</f>
        <v>0</v>
      </c>
      <c r="G25" s="45"/>
      <c r="H25" s="46"/>
      <c r="I25" s="28">
        <f>IF(H25&gt;H27,1,0)</f>
        <v>0</v>
      </c>
      <c r="J25" s="28">
        <f>IF(B25="",0,1)</f>
        <v>0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0</v>
      </c>
      <c r="N25" s="28">
        <f>C25+F25+I25</f>
        <v>0</v>
      </c>
      <c r="O25" s="28"/>
      <c r="P25" s="42" t="str">
        <f>AE13</f>
        <v>Maria Angela Gambin</v>
      </c>
      <c r="Q25" s="43">
        <v>6.0</v>
      </c>
      <c r="R25" s="44">
        <f>IF(Q25&gt;Q27,1,0)</f>
        <v>1</v>
      </c>
      <c r="S25" s="45"/>
      <c r="T25" s="43">
        <v>6.0</v>
      </c>
      <c r="U25" s="44">
        <f>IF(T25&gt;T27,1,0)</f>
        <v>1</v>
      </c>
      <c r="V25" s="45"/>
      <c r="W25" s="46"/>
      <c r="X25" s="28">
        <f>IF(W25&gt;W27,1,0)</f>
        <v>0</v>
      </c>
      <c r="Y25" s="28">
        <f>IF(Q25="",0,1)</f>
        <v>1</v>
      </c>
      <c r="Z25" s="28">
        <f>IF(R25+U25=2,3,IF(R25+U25=1,1,0))</f>
        <v>3</v>
      </c>
      <c r="AA25" s="28">
        <f>IF(Z25=3,3,IF(X25+Z25=2,2,IF(Z25=1,1,0)))</f>
        <v>3</v>
      </c>
      <c r="AB25" s="28">
        <f>Q25+T25</f>
        <v>12</v>
      </c>
      <c r="AC25" s="28">
        <f>R25+U25+X25</f>
        <v>2</v>
      </c>
      <c r="AD25" s="28"/>
      <c r="AJ25" s="28"/>
      <c r="AK25" s="28"/>
      <c r="AL25" s="28"/>
      <c r="AM25" s="28"/>
      <c r="AN25" s="28"/>
    </row>
    <row r="26" ht="14.25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J26" s="28"/>
      <c r="AK26" s="28"/>
      <c r="AL26" s="28"/>
      <c r="AM26" s="28"/>
      <c r="AN26" s="28"/>
    </row>
    <row r="27" ht="14.25" customHeight="1">
      <c r="A27" s="53" t="str">
        <f>AE17</f>
        <v>Alida Borg</v>
      </c>
      <c r="B27" s="46"/>
      <c r="C27" s="54">
        <f>IF(B27&gt;B25,1,0)</f>
        <v>0</v>
      </c>
      <c r="D27" s="55"/>
      <c r="E27" s="46"/>
      <c r="F27" s="54">
        <f>IF(E27&gt;E25,1,0)</f>
        <v>0</v>
      </c>
      <c r="G27" s="55"/>
      <c r="H27" s="46"/>
      <c r="I27" s="28">
        <f>IF(H27&gt;H25,1,0)</f>
        <v>0</v>
      </c>
      <c r="J27" s="28">
        <f>IF(B27="",0,1)</f>
        <v>0</v>
      </c>
      <c r="K27" s="28">
        <f>IF(C27+F27=2,3,IF(C27+F27=1,1,0))</f>
        <v>0</v>
      </c>
      <c r="L27" s="28">
        <f>IF(K27=3,3,IF(I27+K27=2,2,IF(K27=1,1,0)))</f>
        <v>0</v>
      </c>
      <c r="M27" s="28">
        <f>B27+E27</f>
        <v>0</v>
      </c>
      <c r="N27" s="28">
        <f>C27+F27+I27</f>
        <v>0</v>
      </c>
      <c r="O27" s="28"/>
      <c r="P27" s="53" t="str">
        <f>AE15</f>
        <v>Maria Ellul</v>
      </c>
      <c r="Q27" s="43">
        <v>3.0</v>
      </c>
      <c r="R27" s="54">
        <f>IF(Q27&gt;Q25,1,0)</f>
        <v>0</v>
      </c>
      <c r="S27" s="55"/>
      <c r="T27" s="43">
        <v>0.0</v>
      </c>
      <c r="U27" s="54">
        <f>IF(T27&gt;T25,1,0)</f>
        <v>0</v>
      </c>
      <c r="V27" s="55"/>
      <c r="W27" s="46"/>
      <c r="X27" s="28">
        <f>IF(W27&gt;W25,1,0)</f>
        <v>0</v>
      </c>
      <c r="Y27" s="28">
        <f>IF(Q27="",0,1)</f>
        <v>1</v>
      </c>
      <c r="Z27" s="28">
        <f>IF(R27+U27=2,3,IF(R27+U27=1,1,0))</f>
        <v>0</v>
      </c>
      <c r="AA27" s="28">
        <f>IF(Z27=3,3,IF(X27+Z27=2,2,IF(Z27=1,1,0)))</f>
        <v>0</v>
      </c>
      <c r="AB27" s="28">
        <f>Q27+T27</f>
        <v>3</v>
      </c>
      <c r="AC27" s="28">
        <f>R27+U27+X27</f>
        <v>0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  <c r="AM28" s="28"/>
      <c r="AN28" s="28"/>
    </row>
    <row r="29" ht="14.25" customHeight="1">
      <c r="A29" s="28"/>
      <c r="B29" s="37"/>
      <c r="C29" s="28"/>
      <c r="D29" s="37"/>
      <c r="E29" s="37"/>
      <c r="F29" s="28"/>
      <c r="G29" s="37"/>
      <c r="H29" s="37"/>
      <c r="I29" s="28"/>
      <c r="J29" s="28"/>
      <c r="K29" s="28"/>
      <c r="L29" s="28"/>
      <c r="M29" s="28"/>
      <c r="N29" s="28"/>
      <c r="O29" s="28"/>
      <c r="P29" s="28"/>
      <c r="Q29" s="37"/>
      <c r="R29" s="28"/>
      <c r="S29" s="37"/>
      <c r="T29" s="37"/>
      <c r="U29" s="28"/>
      <c r="V29" s="37"/>
      <c r="W29" s="37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4.25" customHeight="1">
      <c r="A30" s="28"/>
      <c r="I30" s="52"/>
      <c r="J30" s="28"/>
      <c r="K30" s="28"/>
      <c r="L30" s="28"/>
      <c r="M30" s="28"/>
      <c r="N30" s="28"/>
      <c r="O30" s="28"/>
      <c r="P30" s="28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60"/>
      <c r="AM30" s="28"/>
      <c r="AN30" s="28"/>
    </row>
    <row r="31" ht="14.25" customHeight="1">
      <c r="A31" s="28"/>
      <c r="B31" s="37"/>
      <c r="C31" s="28"/>
      <c r="D31" s="37"/>
      <c r="E31" s="37"/>
      <c r="F31" s="28"/>
      <c r="G31" s="37"/>
      <c r="H31" s="37"/>
      <c r="I31" s="28"/>
      <c r="J31" s="28"/>
      <c r="K31" s="28"/>
      <c r="L31" s="28"/>
      <c r="M31" s="28"/>
      <c r="N31" s="28"/>
      <c r="O31" s="28"/>
      <c r="P31" s="28"/>
      <c r="Q31" s="37"/>
      <c r="R31" s="28"/>
      <c r="S31" s="37"/>
      <c r="T31" s="37"/>
      <c r="U31" s="28"/>
      <c r="V31" s="37"/>
      <c r="W31" s="37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7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60"/>
      <c r="AM32" s="28"/>
      <c r="AN32" s="28"/>
    </row>
    <row r="33" ht="14.25" customHeight="1">
      <c r="A33" s="28"/>
      <c r="B33" s="37"/>
      <c r="C33" s="28"/>
      <c r="D33" s="37"/>
      <c r="E33" s="37"/>
      <c r="F33" s="28"/>
      <c r="G33" s="37"/>
      <c r="H33" s="37"/>
      <c r="I33" s="28"/>
      <c r="J33" s="28"/>
      <c r="K33" s="28"/>
      <c r="L33" s="28"/>
      <c r="M33" s="28"/>
      <c r="N33" s="28"/>
      <c r="O33" s="28"/>
      <c r="P33" s="28"/>
      <c r="Q33" s="37"/>
      <c r="R33" s="28"/>
      <c r="S33" s="37"/>
      <c r="T33" s="37"/>
      <c r="U33" s="28"/>
      <c r="V33" s="37"/>
      <c r="W33" s="3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4.25" customHeight="1">
      <c r="A34" s="28"/>
      <c r="I34" s="52"/>
      <c r="J34" s="28"/>
      <c r="K34" s="28"/>
      <c r="L34" s="28"/>
      <c r="M34" s="28"/>
      <c r="N34" s="28"/>
      <c r="O34" s="28"/>
      <c r="P34" s="28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4.25" customHeight="1">
      <c r="A35" s="28"/>
      <c r="B35" s="37"/>
      <c r="C35" s="28"/>
      <c r="D35" s="37"/>
      <c r="E35" s="37"/>
      <c r="F35" s="28"/>
      <c r="G35" s="37"/>
      <c r="H35" s="37"/>
      <c r="I35" s="28"/>
      <c r="J35" s="28"/>
      <c r="K35" s="28"/>
      <c r="L35" s="28"/>
      <c r="M35" s="28"/>
      <c r="N35" s="28"/>
      <c r="O35" s="28"/>
      <c r="P35" s="28"/>
      <c r="Q35" s="37"/>
      <c r="R35" s="28"/>
      <c r="S35" s="37"/>
      <c r="T35" s="37"/>
      <c r="U35" s="28"/>
      <c r="V35" s="37"/>
      <c r="W35" s="3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37"/>
      <c r="AL36" s="28"/>
      <c r="AM36" s="28"/>
      <c r="AN36" s="28"/>
    </row>
    <row r="37" ht="14.25" customHeight="1">
      <c r="A37" s="28"/>
      <c r="B37" s="37"/>
      <c r="C37" s="28"/>
      <c r="D37" s="37"/>
      <c r="E37" s="37"/>
      <c r="F37" s="28"/>
      <c r="G37" s="37"/>
      <c r="H37" s="37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7"/>
      <c r="AL37" s="28"/>
      <c r="AM37" s="28"/>
      <c r="AN37" s="28"/>
    </row>
    <row r="38" ht="14.25" customHeight="1">
      <c r="A38" s="28"/>
      <c r="I38" s="52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  <c r="AM38" s="28"/>
      <c r="AN38" s="28"/>
    </row>
    <row r="39" ht="14.25" customHeight="1">
      <c r="A39" s="28"/>
      <c r="B39" s="37"/>
      <c r="C39" s="28"/>
      <c r="D39" s="37"/>
      <c r="E39" s="37"/>
      <c r="F39" s="28"/>
      <c r="G39" s="37"/>
      <c r="H39" s="37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61"/>
      <c r="AK41" s="28"/>
      <c r="AL41" s="28"/>
      <c r="AM41" s="28"/>
      <c r="AN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61"/>
      <c r="AK46" s="28"/>
      <c r="AL46" s="37"/>
      <c r="AM46" s="28"/>
      <c r="AN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61"/>
      <c r="AK51" s="28"/>
      <c r="AL51" s="28"/>
      <c r="AM51" s="28"/>
      <c r="AN51" s="37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7"/>
      <c r="AI55" s="28"/>
      <c r="AJ55" s="28"/>
      <c r="AK55" s="37"/>
      <c r="AL55" s="28"/>
      <c r="AM55" s="28"/>
      <c r="AN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37"/>
      <c r="R105" s="37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</sheetData>
  <mergeCells count="23">
    <mergeCell ref="A1:AI3"/>
    <mergeCell ref="A5:AI5"/>
    <mergeCell ref="B7:E7"/>
    <mergeCell ref="Q7:T7"/>
    <mergeCell ref="A10:H10"/>
    <mergeCell ref="P10:W10"/>
    <mergeCell ref="P14:W14"/>
    <mergeCell ref="AE22:AI22"/>
    <mergeCell ref="AE23:AI23"/>
    <mergeCell ref="A26:H26"/>
    <mergeCell ref="P26:W26"/>
    <mergeCell ref="A30:H30"/>
    <mergeCell ref="P30:W30"/>
    <mergeCell ref="A34:H34"/>
    <mergeCell ref="P34:W34"/>
    <mergeCell ref="A38:H38"/>
    <mergeCell ref="A14:H14"/>
    <mergeCell ref="A18:H18"/>
    <mergeCell ref="P18:W18"/>
    <mergeCell ref="AE19:AI19"/>
    <mergeCell ref="AE20:AI20"/>
    <mergeCell ref="A22:H22"/>
    <mergeCell ref="P22:W22"/>
  </mergeCell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9.88"/>
    <col customWidth="1" min="2" max="2" width="7.0"/>
    <col customWidth="1" hidden="1" min="3" max="3" width="6.13"/>
    <col customWidth="1" min="4" max="4" width="1.75"/>
    <col customWidth="1" min="5" max="5" width="7.0"/>
    <col customWidth="1" hidden="1" min="6" max="6" width="6.13"/>
    <col customWidth="1" min="7" max="7" width="1.75"/>
    <col customWidth="1" min="8" max="8" width="7.0"/>
    <col customWidth="1" hidden="1" min="9" max="9" width="6.13"/>
    <col customWidth="1" hidden="1" min="10" max="10" width="7.75"/>
    <col customWidth="1" hidden="1" min="11" max="11" width="5.25"/>
    <col customWidth="1" hidden="1" min="12" max="12" width="6.25"/>
    <col customWidth="1" hidden="1" min="13" max="13" width="8.0"/>
    <col customWidth="1" hidden="1" min="14" max="14" width="6.13"/>
    <col customWidth="1" min="15" max="15" width="8.75"/>
    <col customWidth="1" min="16" max="16" width="39.88"/>
    <col customWidth="1" min="17" max="17" width="7.0"/>
    <col customWidth="1" hidden="1" min="18" max="18" width="6.13"/>
    <col customWidth="1" min="19" max="19" width="1.75"/>
    <col customWidth="1" min="20" max="20" width="7.0"/>
    <col customWidth="1" hidden="1" min="21" max="21" width="6.13"/>
    <col customWidth="1" min="22" max="22" width="1.75"/>
    <col customWidth="1" min="23" max="23" width="7.0"/>
    <col customWidth="1" hidden="1" min="24" max="24" width="6.13"/>
    <col customWidth="1" hidden="1" min="25" max="25" width="7.75"/>
    <col customWidth="1" hidden="1" min="26" max="26" width="7.38"/>
    <col customWidth="1" hidden="1" min="27" max="27" width="6.0"/>
    <col customWidth="1" hidden="1" min="28" max="28" width="8.0"/>
    <col customWidth="1" hidden="1" min="29" max="29" width="6.13"/>
    <col customWidth="1" min="30" max="30" width="8.75"/>
    <col customWidth="1" min="31" max="31" width="39.88"/>
    <col customWidth="1" min="32" max="32" width="10.5"/>
    <col customWidth="1" min="33" max="35" width="8.75"/>
    <col customWidth="1" hidden="1" min="36" max="36" width="9.25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24" t="s">
        <v>0</v>
      </c>
      <c r="AJ1" s="134"/>
      <c r="AK1" s="134"/>
      <c r="AL1" s="134"/>
      <c r="AM1" s="134"/>
      <c r="AN1" s="134"/>
    </row>
    <row r="2" ht="21.0" customHeight="1">
      <c r="AJ2" s="134"/>
      <c r="AK2" s="134"/>
      <c r="AL2" s="134"/>
      <c r="AM2" s="134"/>
      <c r="AN2" s="134"/>
    </row>
    <row r="3" ht="14.25" customHeight="1">
      <c r="AJ3" s="4"/>
      <c r="AK3" s="4"/>
      <c r="AL3" s="4"/>
      <c r="AM3" s="4"/>
      <c r="AN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>
      <c r="A5" s="149" t="s">
        <v>110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  <c r="AJ5" s="28"/>
      <c r="AK5" s="28"/>
      <c r="AL5" s="28"/>
      <c r="AM5" s="28"/>
      <c r="AN5" s="28"/>
    </row>
    <row r="6" ht="14.2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30.0" customHeight="1">
      <c r="A7" s="150" t="s">
        <v>62</v>
      </c>
      <c r="B7" s="151" t="s">
        <v>63</v>
      </c>
      <c r="C7" s="31"/>
      <c r="D7" s="31"/>
      <c r="E7" s="32"/>
      <c r="F7" s="152"/>
      <c r="G7" s="67"/>
      <c r="H7" s="150" t="s">
        <v>64</v>
      </c>
      <c r="I7" s="153"/>
      <c r="J7" s="153"/>
      <c r="K7" s="153"/>
      <c r="L7" s="35"/>
      <c r="M7" s="36"/>
      <c r="N7" s="36"/>
      <c r="O7" s="154"/>
      <c r="P7" s="150" t="s">
        <v>62</v>
      </c>
      <c r="Q7" s="151" t="s">
        <v>63</v>
      </c>
      <c r="R7" s="31"/>
      <c r="S7" s="31"/>
      <c r="T7" s="32"/>
      <c r="U7" s="152"/>
      <c r="V7" s="67"/>
      <c r="W7" s="150" t="s">
        <v>64</v>
      </c>
      <c r="X7" s="153"/>
      <c r="Y7" s="153"/>
      <c r="Z7" s="153"/>
      <c r="AA7" s="36"/>
      <c r="AB7" s="36"/>
      <c r="AC7" s="36"/>
      <c r="AD7" s="35"/>
      <c r="AE7" s="150" t="s">
        <v>65</v>
      </c>
      <c r="AF7" s="155" t="s">
        <v>66</v>
      </c>
      <c r="AG7" s="155" t="s">
        <v>67</v>
      </c>
      <c r="AH7" s="155" t="s">
        <v>68</v>
      </c>
      <c r="AI7" s="155" t="s">
        <v>69</v>
      </c>
      <c r="AJ7" s="37"/>
      <c r="AK7" s="37"/>
      <c r="AL7" s="37"/>
      <c r="AM7" s="28"/>
      <c r="AN7" s="28"/>
    </row>
    <row r="8" ht="14.25" hidden="1" customHeight="1">
      <c r="A8" s="28"/>
      <c r="B8" s="146" t="s">
        <v>70</v>
      </c>
      <c r="C8" s="146" t="s">
        <v>71</v>
      </c>
      <c r="D8" s="146"/>
      <c r="E8" s="146" t="s">
        <v>70</v>
      </c>
      <c r="F8" s="146" t="s">
        <v>72</v>
      </c>
      <c r="G8" s="146"/>
      <c r="H8" s="146" t="s">
        <v>70</v>
      </c>
      <c r="I8" s="156" t="s">
        <v>73</v>
      </c>
      <c r="J8" s="156" t="s">
        <v>74</v>
      </c>
      <c r="K8" s="156" t="s">
        <v>75</v>
      </c>
      <c r="L8" s="146" t="s">
        <v>76</v>
      </c>
      <c r="M8" s="146" t="s">
        <v>77</v>
      </c>
      <c r="N8" s="146" t="s">
        <v>78</v>
      </c>
      <c r="O8" s="28"/>
      <c r="P8" s="28"/>
      <c r="Q8" s="146" t="s">
        <v>70</v>
      </c>
      <c r="R8" s="146" t="s">
        <v>71</v>
      </c>
      <c r="S8" s="146"/>
      <c r="T8" s="146" t="s">
        <v>70</v>
      </c>
      <c r="U8" s="146" t="s">
        <v>72</v>
      </c>
      <c r="V8" s="146"/>
      <c r="W8" s="146" t="s">
        <v>70</v>
      </c>
      <c r="X8" s="156" t="s">
        <v>73</v>
      </c>
      <c r="Y8" s="156" t="s">
        <v>74</v>
      </c>
      <c r="Z8" s="156" t="s">
        <v>75</v>
      </c>
      <c r="AA8" s="146" t="s">
        <v>76</v>
      </c>
      <c r="AB8" s="146" t="s">
        <v>77</v>
      </c>
      <c r="AC8" s="146" t="s">
        <v>78</v>
      </c>
      <c r="AD8" s="28"/>
      <c r="AE8" s="37"/>
      <c r="AF8" s="37"/>
      <c r="AG8" s="37"/>
      <c r="AH8" s="37"/>
      <c r="AI8" s="37"/>
      <c r="AJ8" s="38" t="s">
        <v>79</v>
      </c>
      <c r="AK8" s="38" t="s">
        <v>92</v>
      </c>
      <c r="AL8" s="40" t="s">
        <v>80</v>
      </c>
      <c r="AM8" s="41" t="s">
        <v>81</v>
      </c>
      <c r="AN8" s="41" t="s">
        <v>93</v>
      </c>
    </row>
    <row r="9" ht="14.25" customHeight="1">
      <c r="A9" s="42" t="str">
        <f>AE9</f>
        <v>Tiziana Spiteri</v>
      </c>
      <c r="B9" s="43">
        <v>6.0</v>
      </c>
      <c r="C9" s="44">
        <f>IF(B9&gt;B11,1,0)</f>
        <v>1</v>
      </c>
      <c r="D9" s="45"/>
      <c r="E9" s="43">
        <v>5.0</v>
      </c>
      <c r="F9" s="44">
        <f>IF(E9&gt;E11,1,0)</f>
        <v>0</v>
      </c>
      <c r="G9" s="45"/>
      <c r="H9" s="43">
        <v>10.0</v>
      </c>
      <c r="I9" s="28">
        <f>IF(H9&gt;H11,1,0)</f>
        <v>1</v>
      </c>
      <c r="J9" s="28">
        <f>IF(B9="",0,1)</f>
        <v>1</v>
      </c>
      <c r="K9" s="28">
        <f>IF(C9+F9=2,3,IF(C9+F9=1,1,0))</f>
        <v>1</v>
      </c>
      <c r="L9" s="28">
        <f>IF(K9=3,3,IF(I9+K9=2,2,IF(K9=1,1,0)))</f>
        <v>2</v>
      </c>
      <c r="M9" s="28">
        <f>B9+E9</f>
        <v>11</v>
      </c>
      <c r="N9" s="28">
        <f>C9+F9+I9</f>
        <v>2</v>
      </c>
      <c r="O9" s="28"/>
      <c r="P9" s="42" t="str">
        <f>AE9</f>
        <v>Tiziana Spiteri</v>
      </c>
      <c r="Q9" s="46"/>
      <c r="R9" s="44">
        <f>IF(Q9&gt;Q11,1,0)</f>
        <v>0</v>
      </c>
      <c r="S9" s="45"/>
      <c r="T9" s="46"/>
      <c r="U9" s="44">
        <f>IF(T9&gt;T11,1,0)</f>
        <v>0</v>
      </c>
      <c r="V9" s="45"/>
      <c r="W9" s="46"/>
      <c r="X9" s="28">
        <f>IF(W9&gt;W11,1,0)</f>
        <v>0</v>
      </c>
      <c r="Y9" s="28">
        <f>IF(Q9="",0,1)</f>
        <v>0</v>
      </c>
      <c r="Z9" s="28">
        <f>IF(R9+U9=2,3,IF(R9+U9=1,1,0))</f>
        <v>0</v>
      </c>
      <c r="AA9" s="28">
        <f>IF(Z9=3,3,IF(X9+Z9=2,2,IF(Z9=1,1,0)))</f>
        <v>0</v>
      </c>
      <c r="AB9" s="28">
        <f>Q9+T9</f>
        <v>0</v>
      </c>
      <c r="AC9" s="28">
        <f>R9+U9+X9</f>
        <v>0</v>
      </c>
      <c r="AD9" s="28"/>
      <c r="AE9" s="157" t="str">
        <f>'Players - Ladies'!B21</f>
        <v>Tiziana Spiteri</v>
      </c>
      <c r="AF9" s="48">
        <f>J9+Y9+J13+Y13</f>
        <v>2</v>
      </c>
      <c r="AG9" s="48">
        <f t="shared" ref="AG9:AI9" si="1">L9+AA9+L13+AA13</f>
        <v>2</v>
      </c>
      <c r="AH9" s="48">
        <f t="shared" si="1"/>
        <v>18</v>
      </c>
      <c r="AI9" s="49">
        <f t="shared" si="1"/>
        <v>2</v>
      </c>
      <c r="AJ9" s="28">
        <f>MAX(AG9:AG18)</f>
        <v>9</v>
      </c>
      <c r="AK9" s="28">
        <f>LARGE(AG9:AG18, 2)</f>
        <v>8</v>
      </c>
      <c r="AL9" s="28">
        <f>SUM(AF9:AF18)</f>
        <v>16</v>
      </c>
      <c r="AM9" s="28" t="str">
        <f>IF(AG9=$AJ$9,AE9,IF(AG11=$AJ$9,AE11,IF(AG13=$AJ$9,AE13,IF(AG15=$AJ$9,AE15,IF(AG17=$AJ$9,AE17,"")))))</f>
        <v>Janice Galea</v>
      </c>
      <c r="AN9" s="28" t="str">
        <f>IF(AG9=$AK$9,AE9,IF(AG11=$AK$9,AE11,IF(AG13=$AK$9,AE13,IF(AG15=$AK$9,AE15,IF(AG17=$AK$9,AE17,"")))))</f>
        <v>Francesca Mamo</v>
      </c>
    </row>
    <row r="10" ht="14.25" customHeight="1">
      <c r="A10" s="50" t="s">
        <v>82</v>
      </c>
      <c r="H10" s="51"/>
      <c r="I10" s="52"/>
      <c r="J10" s="28"/>
      <c r="K10" s="28"/>
      <c r="L10" s="28"/>
      <c r="M10" s="28"/>
      <c r="N10" s="28"/>
      <c r="O10" s="28"/>
      <c r="P10" s="50" t="s">
        <v>82</v>
      </c>
      <c r="W10" s="51"/>
      <c r="X10" s="52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7"/>
      <c r="AL10" s="37"/>
      <c r="AM10" s="28"/>
      <c r="AN10" s="28"/>
    </row>
    <row r="11" ht="14.25" customHeight="1">
      <c r="A11" s="53" t="str">
        <f>AE11</f>
        <v>Janice Galea</v>
      </c>
      <c r="B11" s="43">
        <v>2.0</v>
      </c>
      <c r="C11" s="54">
        <f>IF(B11&gt;B9,1,0)</f>
        <v>0</v>
      </c>
      <c r="D11" s="55"/>
      <c r="E11" s="43">
        <v>7.0</v>
      </c>
      <c r="F11" s="54">
        <f>IF(E11&gt;E9,1,0)</f>
        <v>1</v>
      </c>
      <c r="G11" s="55"/>
      <c r="H11" s="43">
        <v>7.0</v>
      </c>
      <c r="I11" s="28">
        <f>IF(H11&gt;H9,1,0)</f>
        <v>0</v>
      </c>
      <c r="J11" s="28">
        <f>IF(B11="",0,1)</f>
        <v>1</v>
      </c>
      <c r="K11" s="28">
        <f>IF(C11+F11=2,3,IF(C11+F11=1,1,0))</f>
        <v>1</v>
      </c>
      <c r="L11" s="28">
        <f>IF(K11=3,3,IF(I11+K11=2,2,IF(K11=1,1,0)))</f>
        <v>1</v>
      </c>
      <c r="M11" s="28">
        <f>B11+E11</f>
        <v>9</v>
      </c>
      <c r="N11" s="28">
        <f>C11+F11+I11</f>
        <v>1</v>
      </c>
      <c r="O11" s="28"/>
      <c r="P11" s="53" t="str">
        <f>AE13</f>
        <v>Roberta Grixti</v>
      </c>
      <c r="Q11" s="46"/>
      <c r="R11" s="54">
        <f>IF(Q11&gt;Q9,1,0)</f>
        <v>0</v>
      </c>
      <c r="S11" s="55"/>
      <c r="T11" s="46"/>
      <c r="U11" s="54">
        <f>IF(T11&gt;T9,1,0)</f>
        <v>0</v>
      </c>
      <c r="V11" s="55"/>
      <c r="W11" s="46"/>
      <c r="X11" s="28">
        <f>IF(W11&gt;W9,1,0)</f>
        <v>0</v>
      </c>
      <c r="Y11" s="28">
        <f>IF(Q11="",0,1)</f>
        <v>0</v>
      </c>
      <c r="Z11" s="28">
        <f>IF(R11+U11=2,3,IF(R11+U11=1,1,0))</f>
        <v>0</v>
      </c>
      <c r="AA11" s="28">
        <f>IF(Z11=3,3,IF(X11+Z11=2,2,IF(Z11=1,1,0)))</f>
        <v>0</v>
      </c>
      <c r="AB11" s="28">
        <f>Q11+T11</f>
        <v>0</v>
      </c>
      <c r="AC11" s="28">
        <f>R11+U11+X11</f>
        <v>0</v>
      </c>
      <c r="AD11" s="28"/>
      <c r="AE11" s="157" t="str">
        <f>'Players - Ladies'!B22</f>
        <v>Janice Galea</v>
      </c>
      <c r="AF11" s="48">
        <f>J11+J21+Y21+Y17</f>
        <v>4</v>
      </c>
      <c r="AG11" s="48">
        <f t="shared" ref="AG11:AI11" si="2">L11+L21+AA21+AA17</f>
        <v>9</v>
      </c>
      <c r="AH11" s="48">
        <f t="shared" si="2"/>
        <v>42</v>
      </c>
      <c r="AI11" s="49">
        <f t="shared" si="2"/>
        <v>7</v>
      </c>
      <c r="AJ11" s="37"/>
      <c r="AK11" s="37"/>
      <c r="AL11" s="37"/>
      <c r="AM11" s="28"/>
      <c r="AN11" s="28"/>
    </row>
    <row r="12" ht="14.25" customHeight="1">
      <c r="A12" s="28"/>
      <c r="B12" s="28"/>
      <c r="C12" s="28"/>
      <c r="D12" s="28"/>
      <c r="E12" s="28"/>
      <c r="F12" s="28"/>
      <c r="G12" s="28"/>
      <c r="H12" s="5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54"/>
      <c r="X12" s="28"/>
      <c r="Y12" s="28"/>
      <c r="Z12" s="28"/>
      <c r="AA12" s="28"/>
      <c r="AB12" s="28"/>
      <c r="AC12" s="28"/>
      <c r="AD12" s="28"/>
      <c r="AE12" s="28"/>
      <c r="AF12" s="37"/>
      <c r="AG12" s="37"/>
      <c r="AH12" s="37"/>
      <c r="AI12" s="37"/>
      <c r="AJ12" s="37"/>
      <c r="AK12" s="37"/>
      <c r="AL12" s="37"/>
      <c r="AM12" s="28"/>
      <c r="AN12" s="28"/>
    </row>
    <row r="13" ht="14.25" customHeight="1">
      <c r="A13" s="42" t="str">
        <f>AE9</f>
        <v>Tiziana Spiteri</v>
      </c>
      <c r="B13" s="43">
        <v>3.0</v>
      </c>
      <c r="C13" s="44">
        <f>IF(B13&gt;B15,1,0)</f>
        <v>0</v>
      </c>
      <c r="D13" s="45"/>
      <c r="E13" s="43">
        <v>4.0</v>
      </c>
      <c r="F13" s="44">
        <f>IF(E13&gt;E15,1,0)</f>
        <v>0</v>
      </c>
      <c r="G13" s="45"/>
      <c r="H13" s="46"/>
      <c r="I13" s="28">
        <f>IF(H13&gt;H15,1,0)</f>
        <v>0</v>
      </c>
      <c r="J13" s="28">
        <f>IF(B13="",0,1)</f>
        <v>1</v>
      </c>
      <c r="K13" s="28">
        <f>IF(C13+F13=2,3,IF(C13+F13=1,1,0))</f>
        <v>0</v>
      </c>
      <c r="L13" s="28">
        <f>IF(K13=3,3,IF(I13+K13=2,2,IF(K13=1,1,0)))</f>
        <v>0</v>
      </c>
      <c r="M13" s="28">
        <f>B13+E13</f>
        <v>7</v>
      </c>
      <c r="N13" s="28">
        <f>C13+F13+I13</f>
        <v>0</v>
      </c>
      <c r="O13" s="28"/>
      <c r="P13" s="42" t="str">
        <f>AE9</f>
        <v>Tiziana Spiteri</v>
      </c>
      <c r="Q13" s="46"/>
      <c r="R13" s="44">
        <f>IF(Q13&gt;Q15,1,0)</f>
        <v>0</v>
      </c>
      <c r="S13" s="45"/>
      <c r="T13" s="46"/>
      <c r="U13" s="44">
        <f>IF(T13&gt;T15,1,0)</f>
        <v>0</v>
      </c>
      <c r="V13" s="45"/>
      <c r="W13" s="46"/>
      <c r="X13" s="28">
        <f>IF(W13&gt;W15,1,0)</f>
        <v>0</v>
      </c>
      <c r="Y13" s="28">
        <f>IF(Q13="",0,1)</f>
        <v>0</v>
      </c>
      <c r="Z13" s="28">
        <f>IF(R13+U13=2,3,IF(R13+U13=1,1,0))</f>
        <v>0</v>
      </c>
      <c r="AA13" s="28">
        <f>IF(Z13=3,3,IF(X13+Z13=2,2,IF(Z13=1,1,0)))</f>
        <v>0</v>
      </c>
      <c r="AB13" s="28">
        <f>Q13+T13</f>
        <v>0</v>
      </c>
      <c r="AC13" s="28">
        <f>R13+U13+X13</f>
        <v>0</v>
      </c>
      <c r="AD13" s="28"/>
      <c r="AE13" s="157" t="str">
        <f>'Players - Ladies'!B23</f>
        <v>Roberta Grixti</v>
      </c>
      <c r="AF13" s="48">
        <f>Y25+Y11+J25+Y19</f>
        <v>3</v>
      </c>
      <c r="AG13" s="48">
        <f t="shared" ref="AG13:AI13" si="3">AA25+AA11+L25+AA19</f>
        <v>0</v>
      </c>
      <c r="AH13" s="48">
        <f t="shared" si="3"/>
        <v>12</v>
      </c>
      <c r="AI13" s="49">
        <f t="shared" si="3"/>
        <v>0</v>
      </c>
      <c r="AJ13" s="37"/>
      <c r="AK13" s="37"/>
      <c r="AL13" s="37"/>
      <c r="AM13" s="28"/>
      <c r="AN13" s="28"/>
    </row>
    <row r="14" ht="14.25" customHeight="1">
      <c r="A14" s="50" t="s">
        <v>82</v>
      </c>
      <c r="H14" s="51"/>
      <c r="I14" s="52"/>
      <c r="J14" s="28"/>
      <c r="K14" s="28"/>
      <c r="L14" s="28"/>
      <c r="M14" s="28"/>
      <c r="N14" s="28"/>
      <c r="O14" s="28"/>
      <c r="P14" s="50" t="s">
        <v>82</v>
      </c>
      <c r="W14" s="51"/>
      <c r="X14" s="52"/>
      <c r="Y14" s="28"/>
      <c r="Z14" s="28"/>
      <c r="AA14" s="28"/>
      <c r="AB14" s="28"/>
      <c r="AC14" s="28"/>
      <c r="AD14" s="28"/>
      <c r="AE14" s="28"/>
      <c r="AF14" s="37"/>
      <c r="AG14" s="37"/>
      <c r="AH14" s="37"/>
      <c r="AI14" s="37"/>
      <c r="AJ14" s="37"/>
      <c r="AK14" s="37"/>
      <c r="AL14" s="37"/>
      <c r="AM14" s="28"/>
      <c r="AN14" s="28"/>
    </row>
    <row r="15" ht="14.25" customHeight="1">
      <c r="A15" s="53" t="str">
        <f>AE15</f>
        <v>Francesca Mamo</v>
      </c>
      <c r="B15" s="43">
        <v>6.0</v>
      </c>
      <c r="C15" s="54">
        <f>IF(B15&gt;B13,1,0)</f>
        <v>1</v>
      </c>
      <c r="D15" s="55"/>
      <c r="E15" s="43">
        <v>6.0</v>
      </c>
      <c r="F15" s="54">
        <f>IF(E15&gt;E13,1,0)</f>
        <v>1</v>
      </c>
      <c r="G15" s="55"/>
      <c r="H15" s="46"/>
      <c r="I15" s="28">
        <f>IF(H15&gt;H13,1,0)</f>
        <v>0</v>
      </c>
      <c r="J15" s="28">
        <f>IF(B15="",0,1)</f>
        <v>1</v>
      </c>
      <c r="K15" s="28">
        <f>IF(C15+F15=2,3,IF(C15+F15=1,1,0))</f>
        <v>3</v>
      </c>
      <c r="L15" s="28">
        <f>IF(K15=3,3,IF(I15+K15=2,2,IF(K15=1,1,0)))</f>
        <v>3</v>
      </c>
      <c r="M15" s="28">
        <f>B15+E15</f>
        <v>12</v>
      </c>
      <c r="N15" s="28">
        <f>C15+F15+I15</f>
        <v>2</v>
      </c>
      <c r="O15" s="28"/>
      <c r="P15" s="53" t="str">
        <f>AE17</f>
        <v>Karolina Papiernik</v>
      </c>
      <c r="Q15" s="46"/>
      <c r="R15" s="54">
        <f>IF(Q15&gt;Q13,1,0)</f>
        <v>0</v>
      </c>
      <c r="S15" s="55"/>
      <c r="T15" s="46"/>
      <c r="U15" s="54">
        <f>IF(T15&gt;T13,1,0)</f>
        <v>0</v>
      </c>
      <c r="V15" s="55"/>
      <c r="W15" s="46"/>
      <c r="X15" s="28">
        <f>IF(W15&gt;W13,1,0)</f>
        <v>0</v>
      </c>
      <c r="Y15" s="28">
        <f>IF(Q15="",0,1)</f>
        <v>0</v>
      </c>
      <c r="Z15" s="28">
        <f>IF(R15+U15=2,3,IF(R15+U15=1,1,0))</f>
        <v>0</v>
      </c>
      <c r="AA15" s="28">
        <f>IF(Z15=3,3,IF(X15+Z15=2,2,IF(Z15=1,1,0)))</f>
        <v>0</v>
      </c>
      <c r="AB15" s="28">
        <f>Q15+T15</f>
        <v>0</v>
      </c>
      <c r="AC15" s="28">
        <f>R15+U15+X15</f>
        <v>0</v>
      </c>
      <c r="AD15" s="28"/>
      <c r="AE15" s="157" t="str">
        <f>'Players - Ladies'!B24</f>
        <v>Francesca Mamo</v>
      </c>
      <c r="AF15" s="48">
        <f>Y27+J17+J15+Y23</f>
        <v>4</v>
      </c>
      <c r="AG15" s="48">
        <f t="shared" ref="AG15:AI15" si="4">AA27+L17+L15+AA23</f>
        <v>8</v>
      </c>
      <c r="AH15" s="48">
        <f t="shared" si="4"/>
        <v>42</v>
      </c>
      <c r="AI15" s="49">
        <f t="shared" si="4"/>
        <v>6</v>
      </c>
      <c r="AJ15" s="37"/>
      <c r="AK15" s="37"/>
      <c r="AL15" s="37"/>
      <c r="AM15" s="28"/>
      <c r="AN15" s="28"/>
    </row>
    <row r="16" ht="14.25" customHeight="1">
      <c r="A16" s="28"/>
      <c r="B16" s="37"/>
      <c r="C16" s="28"/>
      <c r="D16" s="28"/>
      <c r="E16" s="28"/>
      <c r="F16" s="28"/>
      <c r="G16" s="28"/>
      <c r="H16" s="54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4"/>
      <c r="X16" s="28"/>
      <c r="Y16" s="28"/>
      <c r="Z16" s="28"/>
      <c r="AA16" s="28"/>
      <c r="AB16" s="28"/>
      <c r="AC16" s="28"/>
      <c r="AD16" s="28"/>
      <c r="AE16" s="28"/>
      <c r="AF16" s="37"/>
      <c r="AG16" s="37"/>
      <c r="AH16" s="37"/>
      <c r="AI16" s="37"/>
      <c r="AJ16" s="37"/>
      <c r="AK16" s="37"/>
      <c r="AL16" s="37"/>
      <c r="AM16" s="28"/>
      <c r="AN16" s="28"/>
    </row>
    <row r="17" ht="14.25" customHeight="1">
      <c r="A17" s="42" t="str">
        <f>AE15</f>
        <v>Francesca Mamo</v>
      </c>
      <c r="B17" s="43">
        <v>7.0</v>
      </c>
      <c r="C17" s="44">
        <f>IF(B17&gt;B19,1,0)</f>
        <v>1</v>
      </c>
      <c r="D17" s="45"/>
      <c r="E17" s="43">
        <v>3.0</v>
      </c>
      <c r="F17" s="44">
        <f>IF(E17&gt;E19,1,0)</f>
        <v>0</v>
      </c>
      <c r="G17" s="45"/>
      <c r="H17" s="43">
        <v>10.0</v>
      </c>
      <c r="I17" s="28">
        <f>IF(H17&gt;H19,1,0)</f>
        <v>1</v>
      </c>
      <c r="J17" s="28">
        <f>IF(B17="",0,1)</f>
        <v>1</v>
      </c>
      <c r="K17" s="28">
        <f>IF(C17+F17=2,3,IF(C17+F17=1,1,0))</f>
        <v>1</v>
      </c>
      <c r="L17" s="28">
        <f>IF(K17=3,3,IF(I17+K17=2,2,IF(K17=1,1,0)))</f>
        <v>2</v>
      </c>
      <c r="M17" s="28">
        <f>B17+E17</f>
        <v>10</v>
      </c>
      <c r="N17" s="28">
        <f>C17+F17+I17</f>
        <v>2</v>
      </c>
      <c r="O17" s="28"/>
      <c r="P17" s="42" t="str">
        <f>AE11</f>
        <v>Janice Galea</v>
      </c>
      <c r="Q17" s="43">
        <v>6.0</v>
      </c>
      <c r="R17" s="44">
        <f>IF(Q17&gt;Q19,1,0)</f>
        <v>1</v>
      </c>
      <c r="S17" s="45"/>
      <c r="T17" s="43">
        <v>6.0</v>
      </c>
      <c r="U17" s="44">
        <f>IF(T17&gt;T19,1,0)</f>
        <v>1</v>
      </c>
      <c r="V17" s="45"/>
      <c r="W17" s="46"/>
      <c r="X17" s="28">
        <f>IF(W17&gt;W19,1,0)</f>
        <v>0</v>
      </c>
      <c r="Y17" s="28">
        <f>IF(Q17="",0,1)</f>
        <v>1</v>
      </c>
      <c r="Z17" s="28">
        <f>IF(R17+U17=2,3,IF(R17+U17=1,1,0))</f>
        <v>3</v>
      </c>
      <c r="AA17" s="28">
        <f>IF(Z17=3,3,IF(X17+Z17=2,2,IF(Z17=1,1,0)))</f>
        <v>3</v>
      </c>
      <c r="AB17" s="28">
        <f>Q17+T17</f>
        <v>12</v>
      </c>
      <c r="AC17" s="28">
        <f>R17+U17+X17</f>
        <v>2</v>
      </c>
      <c r="AD17" s="28"/>
      <c r="AE17" s="157" t="str">
        <f>'Players - Ladies'!B25</f>
        <v>Karolina Papiernik</v>
      </c>
      <c r="AF17" s="48">
        <f>J19+J23+Y15+J27</f>
        <v>3</v>
      </c>
      <c r="AG17" s="48">
        <f t="shared" ref="AG17:AI17" si="5">L19+L23+AA15+L27</f>
        <v>5</v>
      </c>
      <c r="AH17" s="48">
        <f t="shared" si="5"/>
        <v>33</v>
      </c>
      <c r="AI17" s="49">
        <f t="shared" si="5"/>
        <v>4</v>
      </c>
      <c r="AJ17" s="37"/>
      <c r="AK17" s="37"/>
      <c r="AL17" s="37"/>
      <c r="AM17" s="28"/>
      <c r="AN17" s="28"/>
    </row>
    <row r="18" ht="14.25" customHeight="1">
      <c r="A18" s="50" t="s">
        <v>82</v>
      </c>
      <c r="H18" s="51"/>
      <c r="I18" s="52"/>
      <c r="J18" s="28"/>
      <c r="K18" s="28"/>
      <c r="L18" s="28"/>
      <c r="M18" s="28"/>
      <c r="N18" s="28"/>
      <c r="O18" s="28"/>
      <c r="P18" s="50" t="s">
        <v>82</v>
      </c>
      <c r="W18" s="51"/>
      <c r="X18" s="52"/>
      <c r="Y18" s="28"/>
      <c r="Z18" s="28"/>
      <c r="AA18" s="28"/>
      <c r="AB18" s="28"/>
      <c r="AC18" s="28"/>
      <c r="AD18" s="28"/>
      <c r="AE18" s="28"/>
      <c r="AF18" s="37"/>
      <c r="AG18" s="37"/>
      <c r="AH18" s="37"/>
      <c r="AI18" s="37"/>
      <c r="AJ18" s="37"/>
      <c r="AK18" s="37"/>
      <c r="AL18" s="37"/>
      <c r="AM18" s="28"/>
      <c r="AN18" s="28"/>
    </row>
    <row r="19" ht="14.25" customHeight="1">
      <c r="A19" s="53" t="str">
        <f>AE17</f>
        <v>Karolina Papiernik</v>
      </c>
      <c r="B19" s="43">
        <v>5.0</v>
      </c>
      <c r="C19" s="54">
        <f>IF(B19&gt;B17,1,0)</f>
        <v>0</v>
      </c>
      <c r="D19" s="55"/>
      <c r="E19" s="43">
        <v>6.0</v>
      </c>
      <c r="F19" s="54">
        <f>IF(E19&gt;E17,1,0)</f>
        <v>1</v>
      </c>
      <c r="G19" s="55"/>
      <c r="H19" s="43">
        <v>4.0</v>
      </c>
      <c r="I19" s="28">
        <f>IF(H19&gt;H17,1,0)</f>
        <v>0</v>
      </c>
      <c r="J19" s="28">
        <f>IF(B19="",0,1)</f>
        <v>1</v>
      </c>
      <c r="K19" s="28">
        <f>IF(C19+F19=2,3,IF(C19+F19=1,1,0))</f>
        <v>1</v>
      </c>
      <c r="L19" s="28">
        <f>IF(K19=3,3,IF(I19+K19=2,2,IF(K19=1,1,0)))</f>
        <v>1</v>
      </c>
      <c r="M19" s="28">
        <f>B19+E19</f>
        <v>11</v>
      </c>
      <c r="N19" s="28">
        <f>C19+F19+I19</f>
        <v>1</v>
      </c>
      <c r="O19" s="28"/>
      <c r="P19" s="53" t="str">
        <f>AE13</f>
        <v>Roberta Grixti</v>
      </c>
      <c r="Q19" s="43">
        <v>3.0</v>
      </c>
      <c r="R19" s="54">
        <f>IF(Q19&gt;Q17,1,0)</f>
        <v>0</v>
      </c>
      <c r="S19" s="55"/>
      <c r="T19" s="43">
        <v>1.0</v>
      </c>
      <c r="U19" s="54">
        <f>IF(T19&gt;T17,1,0)</f>
        <v>0</v>
      </c>
      <c r="V19" s="55"/>
      <c r="W19" s="46"/>
      <c r="X19" s="28">
        <f>IF(W19&gt;W17,1,0)</f>
        <v>0</v>
      </c>
      <c r="Y19" s="28">
        <f>IF(Q19="",0,1)</f>
        <v>1</v>
      </c>
      <c r="Z19" s="28">
        <f>IF(R19+U19=2,3,IF(R19+U19=1,1,0))</f>
        <v>0</v>
      </c>
      <c r="AA19" s="28">
        <f>IF(Z19=3,3,IF(X19+Z19=2,2,IF(Z19=1,1,0)))</f>
        <v>0</v>
      </c>
      <c r="AB19" s="28">
        <f>Q19+T19</f>
        <v>4</v>
      </c>
      <c r="AC19" s="28">
        <f>R19+U19+X19</f>
        <v>0</v>
      </c>
      <c r="AD19" s="28"/>
      <c r="AE19" s="158" t="s">
        <v>83</v>
      </c>
      <c r="AF19" s="31"/>
      <c r="AG19" s="31"/>
      <c r="AH19" s="31"/>
      <c r="AI19" s="32"/>
      <c r="AJ19" s="28"/>
      <c r="AK19" s="37"/>
      <c r="AL19" s="37"/>
      <c r="AM19" s="28"/>
      <c r="AN19" s="28"/>
    </row>
    <row r="20" ht="14.25" customHeight="1">
      <c r="A20" s="28"/>
      <c r="B20" s="28"/>
      <c r="C20" s="28"/>
      <c r="D20" s="28"/>
      <c r="E20" s="28"/>
      <c r="F20" s="28"/>
      <c r="G20" s="28"/>
      <c r="H20" s="5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54"/>
      <c r="X20" s="28"/>
      <c r="Y20" s="28"/>
      <c r="Z20" s="28"/>
      <c r="AA20" s="28"/>
      <c r="AB20" s="28"/>
      <c r="AC20" s="28"/>
      <c r="AD20" s="28"/>
      <c r="AE20" s="59"/>
      <c r="AF20" s="31"/>
      <c r="AG20" s="31"/>
      <c r="AH20" s="31"/>
      <c r="AI20" s="32"/>
      <c r="AJ20" s="28"/>
      <c r="AK20" s="37"/>
      <c r="AL20" s="28"/>
      <c r="AM20" s="28"/>
      <c r="AN20" s="28"/>
    </row>
    <row r="21" ht="14.25" customHeight="1">
      <c r="A21" s="42" t="str">
        <f>AE11</f>
        <v>Janice Galea</v>
      </c>
      <c r="B21" s="43">
        <v>6.0</v>
      </c>
      <c r="C21" s="44">
        <f>IF(B21&gt;B23,1,0)</f>
        <v>1</v>
      </c>
      <c r="D21" s="45"/>
      <c r="E21" s="43">
        <v>3.0</v>
      </c>
      <c r="F21" s="44">
        <f>IF(E21&gt;E23,1,0)</f>
        <v>0</v>
      </c>
      <c r="G21" s="45"/>
      <c r="H21" s="43">
        <v>13.0</v>
      </c>
      <c r="I21" s="28">
        <f>IF(H21&gt;H23,1,0)</f>
        <v>1</v>
      </c>
      <c r="J21" s="28">
        <f>IF(B21="",0,1)</f>
        <v>1</v>
      </c>
      <c r="K21" s="28">
        <f>IF(C21+F21=2,3,IF(C21+F21=1,1,0))</f>
        <v>1</v>
      </c>
      <c r="L21" s="28">
        <f>IF(K21=3,3,IF(I21+K21=2,2,IF(K21=1,1,0)))</f>
        <v>2</v>
      </c>
      <c r="M21" s="28">
        <f>B21+E21</f>
        <v>9</v>
      </c>
      <c r="N21" s="28">
        <f>C21+F21+I21</f>
        <v>2</v>
      </c>
      <c r="O21" s="28"/>
      <c r="P21" s="42" t="str">
        <f>AE11</f>
        <v>Janice Galea</v>
      </c>
      <c r="Q21" s="43">
        <v>6.0</v>
      </c>
      <c r="R21" s="44">
        <f>IF(Q21&gt;Q23,1,0)</f>
        <v>1</v>
      </c>
      <c r="S21" s="45"/>
      <c r="T21" s="43">
        <v>6.0</v>
      </c>
      <c r="U21" s="44">
        <f>IF(T21&gt;T23,1,0)</f>
        <v>1</v>
      </c>
      <c r="V21" s="45"/>
      <c r="W21" s="46"/>
      <c r="X21" s="28">
        <f>IF(W21&gt;W23,1,0)</f>
        <v>0</v>
      </c>
      <c r="Y21" s="28">
        <f>IF(Q21="",0,1)</f>
        <v>1</v>
      </c>
      <c r="Z21" s="28">
        <f>IF(R21+U21=2,3,IF(R21+U21=1,1,0))</f>
        <v>3</v>
      </c>
      <c r="AA21" s="28">
        <f>IF(Z21=3,3,IF(X21+Z21=2,2,IF(Z21=1,1,0)))</f>
        <v>3</v>
      </c>
      <c r="AB21" s="28">
        <f>Q21+T21</f>
        <v>12</v>
      </c>
      <c r="AC21" s="28">
        <f>R21+U21+X21</f>
        <v>2</v>
      </c>
      <c r="AD21" s="28"/>
      <c r="AJ21" s="28"/>
      <c r="AK21" s="28"/>
      <c r="AL21" s="28"/>
      <c r="AM21" s="28"/>
      <c r="AN21" s="28"/>
    </row>
    <row r="22" ht="14.25" customHeight="1">
      <c r="A22" s="50" t="s">
        <v>82</v>
      </c>
      <c r="H22" s="51"/>
      <c r="I22" s="52"/>
      <c r="J22" s="28"/>
      <c r="K22" s="28"/>
      <c r="L22" s="28"/>
      <c r="M22" s="28"/>
      <c r="N22" s="28"/>
      <c r="O22" s="28"/>
      <c r="P22" s="50" t="s">
        <v>82</v>
      </c>
      <c r="W22" s="51"/>
      <c r="X22" s="52"/>
      <c r="Y22" s="28"/>
      <c r="Z22" s="28"/>
      <c r="AA22" s="28"/>
      <c r="AB22" s="28"/>
      <c r="AC22" s="28"/>
      <c r="AD22" s="28"/>
      <c r="AE22" s="158" t="s">
        <v>116</v>
      </c>
      <c r="AF22" s="31"/>
      <c r="AG22" s="31"/>
      <c r="AH22" s="31"/>
      <c r="AI22" s="32"/>
      <c r="AJ22" s="28"/>
      <c r="AK22" s="37"/>
      <c r="AL22" s="28"/>
      <c r="AM22" s="28"/>
      <c r="AN22" s="28"/>
    </row>
    <row r="23" ht="14.25" customHeight="1">
      <c r="A23" s="53" t="str">
        <f>AE17</f>
        <v>Karolina Papiernik</v>
      </c>
      <c r="B23" s="43">
        <v>4.0</v>
      </c>
      <c r="C23" s="54">
        <f>IF(B23&gt;B21,1,0)</f>
        <v>0</v>
      </c>
      <c r="D23" s="55"/>
      <c r="E23" s="43">
        <v>6.0</v>
      </c>
      <c r="F23" s="54">
        <f>IF(E23&gt;E21,1,0)</f>
        <v>1</v>
      </c>
      <c r="G23" s="55"/>
      <c r="H23" s="43">
        <v>11.0</v>
      </c>
      <c r="I23" s="28">
        <f>IF(H23&gt;H21,1,0)</f>
        <v>0</v>
      </c>
      <c r="J23" s="28">
        <f>IF(B23="",0,1)</f>
        <v>1</v>
      </c>
      <c r="K23" s="28">
        <f>IF(C23+F23=2,3,IF(C23+F23=1,1,0))</f>
        <v>1</v>
      </c>
      <c r="L23" s="28">
        <f>IF(K23=3,3,IF(I23+K23=2,2,IF(K23=1,1,0)))</f>
        <v>1</v>
      </c>
      <c r="M23" s="28">
        <f>B23+E23</f>
        <v>10</v>
      </c>
      <c r="N23" s="28">
        <f>C23+F23+I23</f>
        <v>1</v>
      </c>
      <c r="O23" s="28"/>
      <c r="P23" s="53" t="str">
        <f>AE15</f>
        <v>Francesca Mamo</v>
      </c>
      <c r="Q23" s="43">
        <v>4.0</v>
      </c>
      <c r="R23" s="54">
        <f>IF(Q23&gt;Q21,1,0)</f>
        <v>0</v>
      </c>
      <c r="S23" s="55"/>
      <c r="T23" s="43">
        <v>4.0</v>
      </c>
      <c r="U23" s="54">
        <f>IF(T23&gt;T21,1,0)</f>
        <v>0</v>
      </c>
      <c r="V23" s="55"/>
      <c r="W23" s="46"/>
      <c r="X23" s="28">
        <f>IF(W23&gt;W21,1,0)</f>
        <v>0</v>
      </c>
      <c r="Y23" s="28">
        <f>IF(Q23="",0,1)</f>
        <v>1</v>
      </c>
      <c r="Z23" s="28">
        <f>IF(R23+U23=2,3,IF(R23+U23=1,1,0))</f>
        <v>0</v>
      </c>
      <c r="AA23" s="28">
        <f>IF(Z23=3,3,IF(X23+Z23=2,2,IF(Z23=1,1,0)))</f>
        <v>0</v>
      </c>
      <c r="AB23" s="28">
        <f>Q23+T23</f>
        <v>8</v>
      </c>
      <c r="AC23" s="28">
        <f>R23+U23+X23</f>
        <v>0</v>
      </c>
      <c r="AD23" s="28"/>
      <c r="AE23" s="59"/>
      <c r="AF23" s="31"/>
      <c r="AG23" s="31"/>
      <c r="AH23" s="31"/>
      <c r="AI23" s="32"/>
      <c r="AJ23" s="28"/>
      <c r="AK23" s="28"/>
      <c r="AL23" s="28"/>
      <c r="AM23" s="28"/>
      <c r="AN23" s="28"/>
    </row>
    <row r="24" ht="14.25" customHeight="1">
      <c r="A24" s="28"/>
      <c r="B24" s="28"/>
      <c r="C24" s="28"/>
      <c r="D24" s="28"/>
      <c r="E24" s="28"/>
      <c r="F24" s="28"/>
      <c r="G24" s="28"/>
      <c r="H24" s="54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54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ht="14.25" customHeight="1">
      <c r="A25" s="42" t="str">
        <f>AE13</f>
        <v>Roberta Grixti</v>
      </c>
      <c r="B25" s="43">
        <v>2.0</v>
      </c>
      <c r="C25" s="44">
        <f>IF(B25&gt;B27,1,0)</f>
        <v>0</v>
      </c>
      <c r="D25" s="45"/>
      <c r="E25" s="43">
        <v>2.0</v>
      </c>
      <c r="F25" s="44">
        <f>IF(E25&gt;E27,1,0)</f>
        <v>0</v>
      </c>
      <c r="G25" s="45"/>
      <c r="H25" s="46"/>
      <c r="I25" s="28">
        <f>IF(H25&gt;H27,1,0)</f>
        <v>0</v>
      </c>
      <c r="J25" s="28">
        <f>IF(B25="",0,1)</f>
        <v>1</v>
      </c>
      <c r="K25" s="28">
        <f>IF(C25+F25=2,3,IF(C25+F25=1,1,0))</f>
        <v>0</v>
      </c>
      <c r="L25" s="28">
        <f>IF(K25=3,3,IF(I25+K25=2,2,IF(K25=1,1,0)))</f>
        <v>0</v>
      </c>
      <c r="M25" s="28">
        <f>B25+E25</f>
        <v>4</v>
      </c>
      <c r="N25" s="28">
        <f>C25+F25+I25</f>
        <v>0</v>
      </c>
      <c r="O25" s="28"/>
      <c r="P25" s="42" t="str">
        <f>AE13</f>
        <v>Roberta Grixti</v>
      </c>
      <c r="Q25" s="43">
        <v>2.0</v>
      </c>
      <c r="R25" s="44">
        <f>IF(Q25&gt;Q27,1,0)</f>
        <v>0</v>
      </c>
      <c r="S25" s="45"/>
      <c r="T25" s="43">
        <v>2.0</v>
      </c>
      <c r="U25" s="44">
        <f>IF(T25&gt;T27,1,0)</f>
        <v>0</v>
      </c>
      <c r="V25" s="45"/>
      <c r="W25" s="46"/>
      <c r="X25" s="28">
        <f>IF(W25&gt;W27,1,0)</f>
        <v>0</v>
      </c>
      <c r="Y25" s="28">
        <f>IF(Q25="",0,1)</f>
        <v>1</v>
      </c>
      <c r="Z25" s="28">
        <f>IF(R25+U25=2,3,IF(R25+U25=1,1,0))</f>
        <v>0</v>
      </c>
      <c r="AA25" s="28">
        <f>IF(Z25=3,3,IF(X25+Z25=2,2,IF(Z25=1,1,0)))</f>
        <v>0</v>
      </c>
      <c r="AB25" s="28">
        <f>Q25+T25</f>
        <v>4</v>
      </c>
      <c r="AC25" s="28">
        <f>R25+U25+X25</f>
        <v>0</v>
      </c>
      <c r="AD25" s="28"/>
      <c r="AJ25" s="28"/>
      <c r="AK25" s="28"/>
      <c r="AL25" s="28"/>
      <c r="AM25" s="28"/>
      <c r="AN25" s="28"/>
    </row>
    <row r="26" ht="14.25" customHeight="1">
      <c r="A26" s="50" t="s">
        <v>82</v>
      </c>
      <c r="H26" s="51"/>
      <c r="I26" s="52"/>
      <c r="J26" s="28"/>
      <c r="K26" s="28"/>
      <c r="L26" s="28"/>
      <c r="M26" s="28"/>
      <c r="N26" s="28"/>
      <c r="O26" s="28"/>
      <c r="P26" s="50" t="s">
        <v>82</v>
      </c>
      <c r="W26" s="51"/>
      <c r="X26" s="52"/>
      <c r="Y26" s="28"/>
      <c r="Z26" s="28"/>
      <c r="AA26" s="28"/>
      <c r="AB26" s="28"/>
      <c r="AC26" s="28"/>
      <c r="AD26" s="28"/>
      <c r="AJ26" s="28"/>
      <c r="AK26" s="28"/>
      <c r="AL26" s="28"/>
      <c r="AM26" s="28"/>
      <c r="AN26" s="28"/>
    </row>
    <row r="27" ht="14.25" customHeight="1">
      <c r="A27" s="53" t="str">
        <f>AE17</f>
        <v>Karolina Papiernik</v>
      </c>
      <c r="B27" s="43">
        <v>6.0</v>
      </c>
      <c r="C27" s="54">
        <f>IF(B27&gt;B25,1,0)</f>
        <v>1</v>
      </c>
      <c r="D27" s="55"/>
      <c r="E27" s="43">
        <v>6.0</v>
      </c>
      <c r="F27" s="54">
        <f>IF(E27&gt;E25,1,0)</f>
        <v>1</v>
      </c>
      <c r="G27" s="55"/>
      <c r="H27" s="46"/>
      <c r="I27" s="28">
        <f>IF(H27&gt;H25,1,0)</f>
        <v>0</v>
      </c>
      <c r="J27" s="28">
        <f>IF(B27="",0,1)</f>
        <v>1</v>
      </c>
      <c r="K27" s="28">
        <f>IF(C27+F27=2,3,IF(C27+F27=1,1,0))</f>
        <v>3</v>
      </c>
      <c r="L27" s="28">
        <f>IF(K27=3,3,IF(I27+K27=2,2,IF(K27=1,1,0)))</f>
        <v>3</v>
      </c>
      <c r="M27" s="28">
        <f>B27+E27</f>
        <v>12</v>
      </c>
      <c r="N27" s="28">
        <f>C27+F27+I27</f>
        <v>2</v>
      </c>
      <c r="O27" s="28"/>
      <c r="P27" s="53" t="str">
        <f>AE15</f>
        <v>Francesca Mamo</v>
      </c>
      <c r="Q27" s="43">
        <v>6.0</v>
      </c>
      <c r="R27" s="54">
        <f>IF(Q27&gt;Q25,1,0)</f>
        <v>1</v>
      </c>
      <c r="S27" s="55"/>
      <c r="T27" s="43">
        <v>6.0</v>
      </c>
      <c r="U27" s="54">
        <f>IF(T27&gt;T25,1,0)</f>
        <v>1</v>
      </c>
      <c r="V27" s="55"/>
      <c r="W27" s="46"/>
      <c r="X27" s="28">
        <f>IF(W27&gt;W25,1,0)</f>
        <v>0</v>
      </c>
      <c r="Y27" s="28">
        <f>IF(Q27="",0,1)</f>
        <v>1</v>
      </c>
      <c r="Z27" s="28">
        <f>IF(R27+U27=2,3,IF(R27+U27=1,1,0))</f>
        <v>3</v>
      </c>
      <c r="AA27" s="28">
        <f>IF(Z27=3,3,IF(X27+Z27=2,2,IF(Z27=1,1,0)))</f>
        <v>3</v>
      </c>
      <c r="AB27" s="28">
        <f>Q27+T27</f>
        <v>12</v>
      </c>
      <c r="AC27" s="28">
        <f>R27+U27+X27</f>
        <v>2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7"/>
      <c r="AI28" s="28"/>
      <c r="AJ28" s="28"/>
      <c r="AK28" s="28"/>
      <c r="AL28" s="28"/>
      <c r="AM28" s="28"/>
      <c r="AN28" s="28"/>
    </row>
    <row r="29" ht="14.25" customHeight="1">
      <c r="A29" s="28"/>
      <c r="B29" s="37"/>
      <c r="C29" s="28"/>
      <c r="D29" s="37"/>
      <c r="E29" s="37"/>
      <c r="F29" s="28"/>
      <c r="G29" s="37"/>
      <c r="H29" s="37"/>
      <c r="I29" s="28"/>
      <c r="J29" s="28"/>
      <c r="K29" s="28"/>
      <c r="L29" s="28"/>
      <c r="M29" s="28"/>
      <c r="N29" s="28"/>
      <c r="O29" s="28"/>
      <c r="P29" s="28"/>
      <c r="Q29" s="37"/>
      <c r="R29" s="28"/>
      <c r="S29" s="37"/>
      <c r="T29" s="37"/>
      <c r="U29" s="28"/>
      <c r="V29" s="37"/>
      <c r="W29" s="37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</row>
    <row r="30" ht="14.25" customHeight="1">
      <c r="A30" s="28"/>
      <c r="I30" s="52"/>
      <c r="J30" s="28"/>
      <c r="K30" s="28"/>
      <c r="L30" s="28"/>
      <c r="M30" s="28"/>
      <c r="N30" s="28"/>
      <c r="O30" s="28"/>
      <c r="P30" s="28"/>
      <c r="X30" s="52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60"/>
      <c r="AM30" s="28"/>
      <c r="AN30" s="28"/>
    </row>
    <row r="31" ht="14.25" customHeight="1">
      <c r="A31" s="28"/>
      <c r="B31" s="37"/>
      <c r="C31" s="28"/>
      <c r="D31" s="37"/>
      <c r="E31" s="37"/>
      <c r="F31" s="28"/>
      <c r="G31" s="37"/>
      <c r="H31" s="37"/>
      <c r="I31" s="28"/>
      <c r="J31" s="28"/>
      <c r="K31" s="28"/>
      <c r="L31" s="28"/>
      <c r="M31" s="28"/>
      <c r="N31" s="28"/>
      <c r="O31" s="28"/>
      <c r="P31" s="28"/>
      <c r="Q31" s="37"/>
      <c r="R31" s="28"/>
      <c r="S31" s="37"/>
      <c r="T31" s="37"/>
      <c r="U31" s="28"/>
      <c r="V31" s="37"/>
      <c r="W31" s="37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37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60"/>
      <c r="AM32" s="28"/>
      <c r="AN32" s="28"/>
    </row>
    <row r="33" ht="14.25" customHeight="1">
      <c r="A33" s="28"/>
      <c r="B33" s="37"/>
      <c r="C33" s="28"/>
      <c r="D33" s="37"/>
      <c r="E33" s="37"/>
      <c r="F33" s="28"/>
      <c r="G33" s="37"/>
      <c r="H33" s="37"/>
      <c r="I33" s="28"/>
      <c r="J33" s="28"/>
      <c r="K33" s="28"/>
      <c r="L33" s="28"/>
      <c r="M33" s="28"/>
      <c r="N33" s="28"/>
      <c r="O33" s="28"/>
      <c r="P33" s="28"/>
      <c r="Q33" s="37"/>
      <c r="R33" s="28"/>
      <c r="S33" s="37"/>
      <c r="T33" s="37"/>
      <c r="U33" s="28"/>
      <c r="V33" s="37"/>
      <c r="W33" s="37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</row>
    <row r="34" ht="14.25" customHeight="1">
      <c r="A34" s="28"/>
      <c r="I34" s="52"/>
      <c r="J34" s="28"/>
      <c r="K34" s="28"/>
      <c r="L34" s="28"/>
      <c r="M34" s="28"/>
      <c r="N34" s="28"/>
      <c r="O34" s="28"/>
      <c r="P34" s="28"/>
      <c r="X34" s="52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</row>
    <row r="35" ht="14.25" customHeight="1">
      <c r="A35" s="28"/>
      <c r="B35" s="37"/>
      <c r="C35" s="28"/>
      <c r="D35" s="37"/>
      <c r="E35" s="37"/>
      <c r="F35" s="28"/>
      <c r="G35" s="37"/>
      <c r="H35" s="37"/>
      <c r="I35" s="28"/>
      <c r="J35" s="28"/>
      <c r="K35" s="28"/>
      <c r="L35" s="28"/>
      <c r="M35" s="28"/>
      <c r="N35" s="28"/>
      <c r="O35" s="28"/>
      <c r="P35" s="28"/>
      <c r="Q35" s="37"/>
      <c r="R35" s="28"/>
      <c r="S35" s="37"/>
      <c r="T35" s="37"/>
      <c r="U35" s="28"/>
      <c r="V35" s="37"/>
      <c r="W35" s="37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7"/>
      <c r="AI36" s="28"/>
      <c r="AJ36" s="28"/>
      <c r="AK36" s="37"/>
      <c r="AL36" s="28"/>
      <c r="AM36" s="28"/>
      <c r="AN36" s="28"/>
    </row>
    <row r="37" ht="14.25" customHeight="1">
      <c r="A37" s="28"/>
      <c r="B37" s="37"/>
      <c r="C37" s="28"/>
      <c r="D37" s="37"/>
      <c r="E37" s="37"/>
      <c r="F37" s="28"/>
      <c r="G37" s="37"/>
      <c r="H37" s="37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7"/>
      <c r="AL37" s="28"/>
      <c r="AM37" s="28"/>
      <c r="AN37" s="28"/>
    </row>
    <row r="38" ht="14.25" customHeight="1">
      <c r="A38" s="28"/>
      <c r="I38" s="52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61"/>
      <c r="AK38" s="28"/>
      <c r="AL38" s="28"/>
      <c r="AM38" s="28"/>
      <c r="AN38" s="28"/>
    </row>
    <row r="39" ht="14.25" customHeight="1">
      <c r="A39" s="28"/>
      <c r="B39" s="37"/>
      <c r="C39" s="28"/>
      <c r="D39" s="37"/>
      <c r="E39" s="37"/>
      <c r="F39" s="28"/>
      <c r="G39" s="37"/>
      <c r="H39" s="37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61"/>
      <c r="AK41" s="28"/>
      <c r="AL41" s="28"/>
      <c r="AM41" s="28"/>
      <c r="AN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61"/>
      <c r="AK46" s="28"/>
      <c r="AL46" s="37"/>
      <c r="AM46" s="28"/>
      <c r="AN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61"/>
      <c r="AK51" s="28"/>
      <c r="AL51" s="28"/>
      <c r="AM51" s="28"/>
      <c r="AN51" s="37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56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7"/>
      <c r="AI55" s="28"/>
      <c r="AJ55" s="28"/>
      <c r="AK55" s="37"/>
      <c r="AL55" s="28"/>
      <c r="AM55" s="28"/>
      <c r="AN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37"/>
      <c r="R105" s="37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</row>
  </sheetData>
  <mergeCells count="23">
    <mergeCell ref="A1:AI3"/>
    <mergeCell ref="A5:AI5"/>
    <mergeCell ref="B7:E7"/>
    <mergeCell ref="Q7:T7"/>
    <mergeCell ref="A10:H10"/>
    <mergeCell ref="P10:W10"/>
    <mergeCell ref="P14:W14"/>
    <mergeCell ref="AE22:AI22"/>
    <mergeCell ref="AE23:AI23"/>
    <mergeCell ref="A26:H26"/>
    <mergeCell ref="P26:W26"/>
    <mergeCell ref="A30:H30"/>
    <mergeCell ref="P30:W30"/>
    <mergeCell ref="A34:H34"/>
    <mergeCell ref="P34:W34"/>
    <mergeCell ref="A38:H38"/>
    <mergeCell ref="A14:H14"/>
    <mergeCell ref="A18:H18"/>
    <mergeCell ref="P18:W18"/>
    <mergeCell ref="AE19:AI19"/>
    <mergeCell ref="AE20:AI20"/>
    <mergeCell ref="A22:H22"/>
    <mergeCell ref="P22:W2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2023-04-13T12:41:28Z</dcterms:created>
  <dc:creator>Microsoft</dc:creator>
</cp:coreProperties>
</file>