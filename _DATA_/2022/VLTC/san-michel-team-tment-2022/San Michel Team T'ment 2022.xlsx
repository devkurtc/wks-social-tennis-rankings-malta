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Team Selection" sheetId="2" r:id="rId5"/>
    <sheet state="visible" name="Encounters Played" sheetId="3" r:id="rId6"/>
    <sheet state="visible" name="Team Schedule" sheetId="4" r:id="rId7"/>
    <sheet state="visible" name="Day 1" sheetId="5" r:id="rId8"/>
    <sheet state="visible" name="Day 2 " sheetId="6" r:id="rId9"/>
    <sheet state="visible" name="Day 3" sheetId="7" r:id="rId10"/>
    <sheet state="visible" name="Day 4" sheetId="8" r:id="rId11"/>
    <sheet state="visible" name="Day 5" sheetId="9" r:id="rId12"/>
    <sheet state="visible" name="Day 6" sheetId="10" r:id="rId13"/>
    <sheet state="visible" name="Day 7" sheetId="11" r:id="rId14"/>
    <sheet state="visible" name="Day 8" sheetId="12" r:id="rId15"/>
    <sheet state="visible" name="Day 9" sheetId="13" r:id="rId16"/>
    <sheet state="visible" name="Day 10" sheetId="14" r:id="rId17"/>
    <sheet state="visible" name="Semi Final" sheetId="15" r:id="rId18"/>
    <sheet state="visible" name="Final" sheetId="16" r:id="rId19"/>
  </sheets>
  <definedNames/>
  <calcPr/>
  <extLst>
    <ext uri="GoogleSheetsCustomDataVersion1">
      <go:sheetsCustomData xmlns:go="http://customooxmlschemas.google.com/" r:id="rId20" roundtripDataSignature="AMtx7mi2WEDV/QtKUTrKCCmyUIlqxAmBNA=="/>
    </ext>
  </extLst>
</workbook>
</file>

<file path=xl/sharedStrings.xml><?xml version="1.0" encoding="utf-8"?>
<sst xmlns="http://schemas.openxmlformats.org/spreadsheetml/2006/main" count="2913" uniqueCount="417">
  <si>
    <t>VLTC SAN MICHEL TEAM TOURNAMENT 2023</t>
  </si>
  <si>
    <t>ROUND 1</t>
  </si>
  <si>
    <t>Day 1</t>
  </si>
  <si>
    <t>Total Day 1</t>
  </si>
  <si>
    <t>Day 2</t>
  </si>
  <si>
    <t>Total Day 2</t>
  </si>
  <si>
    <t>Day 3</t>
  </si>
  <si>
    <t>Total Day 3</t>
  </si>
  <si>
    <t>Day 4</t>
  </si>
  <si>
    <t>Total Day 4</t>
  </si>
  <si>
    <t>Day 5</t>
  </si>
  <si>
    <t>Total Day 5</t>
  </si>
  <si>
    <t>Total Round 1</t>
  </si>
  <si>
    <t>G</t>
  </si>
  <si>
    <t>S</t>
  </si>
  <si>
    <t>TEAM A: Gabriel Pace</t>
  </si>
  <si>
    <t>Fri</t>
  </si>
  <si>
    <t>Sat</t>
  </si>
  <si>
    <t>TEAM B: Frans Ellul</t>
  </si>
  <si>
    <t>TEAM C: Lucienne Meli</t>
  </si>
  <si>
    <t>TEAM D:  Roberto Murdocco</t>
  </si>
  <si>
    <t>TEAM E: Aaron Micallef Piccione</t>
  </si>
  <si>
    <t>TEAM F: Lonia Carabott</t>
  </si>
  <si>
    <t>ROUND 2</t>
  </si>
  <si>
    <t>Day 6</t>
  </si>
  <si>
    <t>Total Day 6</t>
  </si>
  <si>
    <t>Day 7</t>
  </si>
  <si>
    <t>Total Day 7</t>
  </si>
  <si>
    <t>Day 8</t>
  </si>
  <si>
    <t>Total Day 8</t>
  </si>
  <si>
    <t>Day 9</t>
  </si>
  <si>
    <t>Total Day 9</t>
  </si>
  <si>
    <t>Day 10</t>
  </si>
  <si>
    <t>Total Day 10</t>
  </si>
  <si>
    <t>Total   Rounds  1 &amp; 2</t>
  </si>
  <si>
    <t>`</t>
  </si>
  <si>
    <t>VITTORIOSA LAWN TENNIS CLUB</t>
  </si>
  <si>
    <t>SAN MICHEL TEAM TOURNAMENT - 2023</t>
  </si>
  <si>
    <t>TEAM A</t>
  </si>
  <si>
    <t>TEAM B</t>
  </si>
  <si>
    <t>TEAM C</t>
  </si>
  <si>
    <t>TEAM D</t>
  </si>
  <si>
    <t>TEAM E</t>
  </si>
  <si>
    <t>TEAM F</t>
  </si>
  <si>
    <t>CAPTAIN</t>
  </si>
  <si>
    <t>Gabriel Pace</t>
  </si>
  <si>
    <t>Frans Ellul</t>
  </si>
  <si>
    <t>Lucienne Meli</t>
  </si>
  <si>
    <t>Roberto Murdocco</t>
  </si>
  <si>
    <t>Aaron Micallef Piccione</t>
  </si>
  <si>
    <t>Lonia Carabott</t>
  </si>
  <si>
    <t>MEN</t>
  </si>
  <si>
    <t>A1</t>
  </si>
  <si>
    <t>Mark Vella Bonnici</t>
  </si>
  <si>
    <t>Marcelo Villanueva</t>
  </si>
  <si>
    <t>Matthew Mifsud</t>
  </si>
  <si>
    <t>Jesmond Pule'</t>
  </si>
  <si>
    <t>Adrian Chetcuti</t>
  </si>
  <si>
    <t>Kurt Carabott</t>
  </si>
  <si>
    <t>A2</t>
  </si>
  <si>
    <t>Andrew Pule'</t>
  </si>
  <si>
    <t>Eric Roca</t>
  </si>
  <si>
    <t>Trevor Rutter</t>
  </si>
  <si>
    <t>Duncan D'Alessandro</t>
  </si>
  <si>
    <t>John Azzopardi</t>
  </si>
  <si>
    <t>Nikolai Belli</t>
  </si>
  <si>
    <t>A3</t>
  </si>
  <si>
    <t>Keith Micallef</t>
  </si>
  <si>
    <t>Reuben Borg</t>
  </si>
  <si>
    <t>Massimo Giovannini</t>
  </si>
  <si>
    <t>Luigi Porto</t>
  </si>
  <si>
    <t>Marco Mercieca</t>
  </si>
  <si>
    <t>Melchior Farrugia</t>
  </si>
  <si>
    <t>B1</t>
  </si>
  <si>
    <t>Earvin Grech Meli</t>
  </si>
  <si>
    <t>James Farrugia</t>
  </si>
  <si>
    <t>Richard Curmi</t>
  </si>
  <si>
    <t>Fotios Evangelov</t>
  </si>
  <si>
    <t>George Grech</t>
  </si>
  <si>
    <t>David Schembri</t>
  </si>
  <si>
    <t>B2</t>
  </si>
  <si>
    <t>Gene Zammit</t>
  </si>
  <si>
    <t>Clint Agius</t>
  </si>
  <si>
    <t>Richard Byrne</t>
  </si>
  <si>
    <t>Kevin Formosa</t>
  </si>
  <si>
    <t>Ivan Cachia</t>
  </si>
  <si>
    <t>Ryan Mizzi</t>
  </si>
  <si>
    <t>B3</t>
  </si>
  <si>
    <t>Julian Bilocca</t>
  </si>
  <si>
    <t>Jonathan Vella</t>
  </si>
  <si>
    <t>Stefan Holmin</t>
  </si>
  <si>
    <t>Willem Steenkamer</t>
  </si>
  <si>
    <t>B4</t>
  </si>
  <si>
    <t>Charles Sacco</t>
  </si>
  <si>
    <t>George Meekers</t>
  </si>
  <si>
    <t>Stephen Belli</t>
  </si>
  <si>
    <t>Manuel Gatt</t>
  </si>
  <si>
    <t>Manuel Mifsud</t>
  </si>
  <si>
    <t>Jonathan Martinelli</t>
  </si>
  <si>
    <t>C1</t>
  </si>
  <si>
    <t>Maurice Borg</t>
  </si>
  <si>
    <t>Juan Debono</t>
  </si>
  <si>
    <t>Joe Carabott</t>
  </si>
  <si>
    <t>Sebastian Attard</t>
  </si>
  <si>
    <t>Matthew Schembri</t>
  </si>
  <si>
    <t>Max Anastasi</t>
  </si>
  <si>
    <t>C2</t>
  </si>
  <si>
    <t>Jean Paul Vella</t>
  </si>
  <si>
    <t>Alain Frendo</t>
  </si>
  <si>
    <t>Victor Rutter</t>
  </si>
  <si>
    <t>Kristen Cachia</t>
  </si>
  <si>
    <t>Ivan Saliba</t>
  </si>
  <si>
    <t>Artiom Kiricenko</t>
  </si>
  <si>
    <t>C3</t>
  </si>
  <si>
    <t>Darrell Pace</t>
  </si>
  <si>
    <t>Max Anastasi Jr.</t>
  </si>
  <si>
    <t>Ray Ciantar</t>
  </si>
  <si>
    <t>Ryan Ebejer</t>
  </si>
  <si>
    <t>Julian Esposito</t>
  </si>
  <si>
    <t>D1</t>
  </si>
  <si>
    <t>Twanny Pule'</t>
  </si>
  <si>
    <t>Denis Caruana</t>
  </si>
  <si>
    <t>Charles Grech</t>
  </si>
  <si>
    <t>Simone Re</t>
  </si>
  <si>
    <t>Joseph Randich</t>
  </si>
  <si>
    <t>Kenneth Caruana</t>
  </si>
  <si>
    <t>D2</t>
  </si>
  <si>
    <t>Charles Micallef</t>
  </si>
  <si>
    <t>Kenneth Farrugia</t>
  </si>
  <si>
    <t>Ahmed Eln Akroud</t>
  </si>
  <si>
    <t>David Camilleri</t>
  </si>
  <si>
    <t>Adrian Duca</t>
  </si>
  <si>
    <t>Charles Borg Grech</t>
  </si>
  <si>
    <t>D3</t>
  </si>
  <si>
    <t>Sean Cachia</t>
  </si>
  <si>
    <t>Adam Green</t>
  </si>
  <si>
    <t>Eman Meli</t>
  </si>
  <si>
    <t>Donald Deguzman</t>
  </si>
  <si>
    <t>Cory Greenland</t>
  </si>
  <si>
    <t>Mario Abdilla</t>
  </si>
  <si>
    <t>LADIES</t>
  </si>
  <si>
    <t>Sharon Mizzi</t>
  </si>
  <si>
    <t>Christine Schembri</t>
  </si>
  <si>
    <t>Annmarie Mangion</t>
  </si>
  <si>
    <t>Nicole Fava</t>
  </si>
  <si>
    <t>Alexia Spiteri Willets</t>
  </si>
  <si>
    <t>Martina Cuschieri</t>
  </si>
  <si>
    <t>Olivia Belli</t>
  </si>
  <si>
    <t>Celeste Zammit Marquette</t>
  </si>
  <si>
    <t>Pierina Holmin</t>
  </si>
  <si>
    <t>Natalya Abela</t>
  </si>
  <si>
    <t>Elaine Grech</t>
  </si>
  <si>
    <t>Kirsty Mercieca</t>
  </si>
  <si>
    <t>Yasmine Hefny</t>
  </si>
  <si>
    <t>Anabelle Abela</t>
  </si>
  <si>
    <t>Romina Gauci</t>
  </si>
  <si>
    <t>Alison Muscat</t>
  </si>
  <si>
    <t>Anthea Gauci</t>
  </si>
  <si>
    <t>A4</t>
  </si>
  <si>
    <t>Silvana Portelli</t>
  </si>
  <si>
    <t>Brenda Baldacchino</t>
  </si>
  <si>
    <t>Mariska Steenkamer</t>
  </si>
  <si>
    <t>Alexia Gouder</t>
  </si>
  <si>
    <t>Julia Barbara</t>
  </si>
  <si>
    <t>Dorianne Buhagiar</t>
  </si>
  <si>
    <t>Deborah Farrugia</t>
  </si>
  <si>
    <t>Francesca Sciortino</t>
  </si>
  <si>
    <t>Anabel Borg</t>
  </si>
  <si>
    <t>Anna Buhagiar</t>
  </si>
  <si>
    <t>Marthese Camoin</t>
  </si>
  <si>
    <t>Kristina Briffa</t>
  </si>
  <si>
    <t>Nancy Wong</t>
  </si>
  <si>
    <t>Ann-Marie Attard</t>
  </si>
  <si>
    <t>Carmen Difesa</t>
  </si>
  <si>
    <t>Sarah Axiaq</t>
  </si>
  <si>
    <t>Ruth Micallef</t>
  </si>
  <si>
    <t>Diane Fenech</t>
  </si>
  <si>
    <t>Kelsey Gauci</t>
  </si>
  <si>
    <t>Diane Debono</t>
  </si>
  <si>
    <t>Jennifer Roca</t>
  </si>
  <si>
    <t>Ceridwen Scerri</t>
  </si>
  <si>
    <t>Jin Attard</t>
  </si>
  <si>
    <t>Jodie Stivala</t>
  </si>
  <si>
    <t>Stefania Camilleri</t>
  </si>
  <si>
    <t>Mary Borg</t>
  </si>
  <si>
    <t>Anna Casingena</t>
  </si>
  <si>
    <t>Christine Seychell</t>
  </si>
  <si>
    <t>Julie Spiteri</t>
  </si>
  <si>
    <t>Elisa Sacco</t>
  </si>
  <si>
    <t>Anna Ancilleri</t>
  </si>
  <si>
    <t>Josette Cassar</t>
  </si>
  <si>
    <t>Anna Napier</t>
  </si>
  <si>
    <t>Christabelle Chetcuti</t>
  </si>
  <si>
    <t>Christine Scerri</t>
  </si>
  <si>
    <t>Stephanie Hercegovac</t>
  </si>
  <si>
    <t>Rose Falzon</t>
  </si>
  <si>
    <t>Jean Frendo</t>
  </si>
  <si>
    <t>Claire Genovese</t>
  </si>
  <si>
    <t>Lillian Baldacchino</t>
  </si>
  <si>
    <t>Anna Fenech</t>
  </si>
  <si>
    <t>TOTAL</t>
  </si>
  <si>
    <t>COURT 1</t>
  </si>
  <si>
    <t>COURT 2</t>
  </si>
  <si>
    <t>COURT  4</t>
  </si>
  <si>
    <t>D A Y 1</t>
  </si>
  <si>
    <t>D A T E</t>
  </si>
  <si>
    <t>Friday</t>
  </si>
  <si>
    <t>A - C</t>
  </si>
  <si>
    <t>D - E</t>
  </si>
  <si>
    <t>B - F</t>
  </si>
  <si>
    <t>Saturday</t>
  </si>
  <si>
    <t>D A Y 2</t>
  </si>
  <si>
    <t>B - E</t>
  </si>
  <si>
    <t>A - F</t>
  </si>
  <si>
    <t>C - D</t>
  </si>
  <si>
    <t>D A Y 3</t>
  </si>
  <si>
    <t>Mon</t>
  </si>
  <si>
    <t>C - F</t>
  </si>
  <si>
    <t>D - B</t>
  </si>
  <si>
    <t>A - E</t>
  </si>
  <si>
    <t>Wednesday</t>
  </si>
  <si>
    <t>D A Y 4</t>
  </si>
  <si>
    <t>D - F</t>
  </si>
  <si>
    <t>C - E</t>
  </si>
  <si>
    <t>A - B</t>
  </si>
  <si>
    <t>D A Y 5</t>
  </si>
  <si>
    <t>A - D</t>
  </si>
  <si>
    <t>B - C</t>
  </si>
  <si>
    <t>E - F</t>
  </si>
  <si>
    <t>D A Y 6</t>
  </si>
  <si>
    <t>D A Y 7</t>
  </si>
  <si>
    <t>D A Y 8</t>
  </si>
  <si>
    <t>D A Y 9</t>
  </si>
  <si>
    <t>Monday</t>
  </si>
  <si>
    <t>D A Y 10</t>
  </si>
  <si>
    <t>DAY 1 - 21/01/2023 &amp; 01/02/2023</t>
  </si>
  <si>
    <t>Court 1</t>
  </si>
  <si>
    <t>Time</t>
  </si>
  <si>
    <t>Rubber</t>
  </si>
  <si>
    <t>vs</t>
  </si>
  <si>
    <t>Games</t>
  </si>
  <si>
    <t>Sets</t>
  </si>
  <si>
    <t>6.30 pm</t>
  </si>
  <si>
    <t>Men A</t>
  </si>
  <si>
    <t>Men C</t>
  </si>
  <si>
    <t>9.00 pm</t>
  </si>
  <si>
    <t>Lad A</t>
  </si>
  <si>
    <t>Annabelle Abela</t>
  </si>
  <si>
    <t>Lad B</t>
  </si>
  <si>
    <t>Total Day 1 A</t>
  </si>
  <si>
    <t>3.30 pm</t>
  </si>
  <si>
    <t>Mxd BA</t>
  </si>
  <si>
    <t>Ann Marie Mangion</t>
  </si>
  <si>
    <t>4.45 pm</t>
  </si>
  <si>
    <t>Men B</t>
  </si>
  <si>
    <t>6.00 pm</t>
  </si>
  <si>
    <t>Lad C</t>
  </si>
  <si>
    <t>Men D</t>
  </si>
  <si>
    <t>Total Day 1B</t>
  </si>
  <si>
    <t xml:space="preserve">Total Day 1 </t>
  </si>
  <si>
    <t>Court 2</t>
  </si>
  <si>
    <t>TEAM D: Roberto Murdocco</t>
  </si>
  <si>
    <t xml:space="preserve"> </t>
  </si>
  <si>
    <t>Lilian Baldacchino</t>
  </si>
  <si>
    <t>7.45 pm</t>
  </si>
  <si>
    <t>Duncan D'alessandro</t>
  </si>
  <si>
    <t>Clyde Grech</t>
  </si>
  <si>
    <t>Fotios Evangelou</t>
  </si>
  <si>
    <t>Court 4</t>
  </si>
  <si>
    <t>MXD</t>
  </si>
  <si>
    <t>Artium Kiricenko</t>
  </si>
  <si>
    <t>Georges Meekers</t>
  </si>
  <si>
    <t>g</t>
  </si>
  <si>
    <t>Yasmine Hefney</t>
  </si>
  <si>
    <t>5.30 pm</t>
  </si>
  <si>
    <t>SAN MICHEL TEAM TOURNAMENT 2023</t>
  </si>
  <si>
    <t>DAY 2 - 03/02/23 &amp; 04/02/23</t>
  </si>
  <si>
    <t>Team B: Frans Ellul</t>
  </si>
  <si>
    <t>Team E: Aaron Micallef Piccione</t>
  </si>
  <si>
    <t>Ann Marie Attard</t>
  </si>
  <si>
    <t>Total Day 2 A</t>
  </si>
  <si>
    <t>4.45pm</t>
  </si>
  <si>
    <t>Natlaya Abela</t>
  </si>
  <si>
    <t>6.00pm</t>
  </si>
  <si>
    <t>James Camilleri</t>
  </si>
  <si>
    <t>Total Day 2B</t>
  </si>
  <si>
    <t xml:space="preserve">Total Day 2 </t>
  </si>
  <si>
    <t>Team A: Gabriel Pace</t>
  </si>
  <si>
    <t>Team F: Lonia Carabott</t>
  </si>
  <si>
    <t>Marc Vella Bonnici</t>
  </si>
  <si>
    <t>5.15 pm</t>
  </si>
  <si>
    <t>Team C: Lucienne Meli</t>
  </si>
  <si>
    <t>Team D: Roberto Murdocco</t>
  </si>
  <si>
    <t>Lucienne Meli Bellizzi</t>
  </si>
  <si>
    <t>Ahmed Elnakroud</t>
  </si>
  <si>
    <t>Jonathan Vella (Pro Roderick Spiteri)</t>
  </si>
  <si>
    <t>3.00pm</t>
  </si>
  <si>
    <t xml:space="preserve">Massimo Giovannini </t>
  </si>
  <si>
    <t>z</t>
  </si>
  <si>
    <t>DAY 3 - 06/02/2023, 08/02/2023 &amp; 11/02/2023</t>
  </si>
  <si>
    <t>Total Day 3 A</t>
  </si>
  <si>
    <t>3.00 pm</t>
  </si>
  <si>
    <t>Total Day 3B</t>
  </si>
  <si>
    <t xml:space="preserve">Total Day 3 </t>
  </si>
  <si>
    <t>Max Anastasi Jr</t>
  </si>
  <si>
    <t xml:space="preserve">James Farrugia </t>
  </si>
  <si>
    <t>Nicole Meli</t>
  </si>
  <si>
    <t>Alison Muscat (pro) Alexia Spiteri Willets</t>
  </si>
  <si>
    <t xml:space="preserve">Gabriel Pace </t>
  </si>
  <si>
    <t>DAY 4 - 17/02/2023 &amp; 18/02/2023</t>
  </si>
  <si>
    <t>Aleixa Gouder</t>
  </si>
  <si>
    <t>Duncan D'Allessandro</t>
  </si>
  <si>
    <t>Julie Spiteri (PRO Lonia Carabott)</t>
  </si>
  <si>
    <t>Total Day 4 A</t>
  </si>
  <si>
    <t>MXD BA</t>
  </si>
  <si>
    <t>Charles Borg Grech (Pro Max Anastasi)</t>
  </si>
  <si>
    <t>Total Day 4B</t>
  </si>
  <si>
    <t xml:space="preserve">Total Day 4 </t>
  </si>
  <si>
    <t>Ahmed El Nakraud</t>
  </si>
  <si>
    <t>Jonathan Vella (Richard Curmi)</t>
  </si>
  <si>
    <t>Earvin Grech Meli (Pro Andrew Pule')</t>
  </si>
  <si>
    <t>Yasmin Hefny</t>
  </si>
  <si>
    <t>DAY 5 - 03/03/2023 &amp; 04/03/2023</t>
  </si>
  <si>
    <t>6.30pm</t>
  </si>
  <si>
    <t>7.45pm</t>
  </si>
  <si>
    <t>9.00pm</t>
  </si>
  <si>
    <t>Total Day 5 A</t>
  </si>
  <si>
    <t>3.30pm</t>
  </si>
  <si>
    <t>7.00pm</t>
  </si>
  <si>
    <t>Total Day 5B</t>
  </si>
  <si>
    <t xml:space="preserve">Total Day 5 </t>
  </si>
  <si>
    <t xml:space="preserve">vs </t>
  </si>
  <si>
    <t>w/o</t>
  </si>
  <si>
    <t>Massimo Giovanni</t>
  </si>
  <si>
    <t>Manuel Mifsud(Pro Ivan Cachia)</t>
  </si>
  <si>
    <t>Jonathan Martinelli (Pro Ryan Mizzi)</t>
  </si>
  <si>
    <t>Nikolai Bellli</t>
  </si>
  <si>
    <t xml:space="preserve">Anthea Gauci </t>
  </si>
  <si>
    <t>DAY 6 - 10/03/2023 &amp; 24/03/2023</t>
  </si>
  <si>
    <t>Total Day 6 A</t>
  </si>
  <si>
    <t>4.15 pm</t>
  </si>
  <si>
    <t>Eilsa Sacco</t>
  </si>
  <si>
    <t>Total Day 6B</t>
  </si>
  <si>
    <t xml:space="preserve">Total Day 6 </t>
  </si>
  <si>
    <t>8.00 pm</t>
  </si>
  <si>
    <t xml:space="preserve">Romina Gauci </t>
  </si>
  <si>
    <t>Anne Buhagiar</t>
  </si>
  <si>
    <t>DAY 7 - 17/03/2023 &amp; 18/03/2023</t>
  </si>
  <si>
    <t>Total Day 7 A</t>
  </si>
  <si>
    <t>Celeste Zammit Marquette (Pro Christine Schembri)</t>
  </si>
  <si>
    <t>Total Day 7B</t>
  </si>
  <si>
    <t xml:space="preserve">Total Day 7 </t>
  </si>
  <si>
    <t>Kelsye Gauci</t>
  </si>
  <si>
    <t>TEAM C: Roberto Murdocco</t>
  </si>
  <si>
    <t>TEAM D: Lucienne Meli</t>
  </si>
  <si>
    <t>Fotis Evangelov</t>
  </si>
  <si>
    <t>Joe Carabott (Pro Richard Byrne)</t>
  </si>
  <si>
    <t>Ran Ebejer</t>
  </si>
  <si>
    <t>DAY 8 - 14/04/2023 &amp; 15/04/2023</t>
  </si>
  <si>
    <t>Total Day 8 A</t>
  </si>
  <si>
    <t xml:space="preserve">Jonathan Martinelli </t>
  </si>
  <si>
    <t>Josette Cassar (Jean Frendo)</t>
  </si>
  <si>
    <t>Handicap rule applies instead of Jean Frendo</t>
  </si>
  <si>
    <t>Total Day 8 B</t>
  </si>
  <si>
    <t xml:space="preserve">Total Day 8 </t>
  </si>
  <si>
    <t>6.45 pm</t>
  </si>
  <si>
    <t>Sarah Axiaq (Pro Nicole Fava)</t>
  </si>
  <si>
    <t>Ruth Micallef (Pro Julia Barbara)</t>
  </si>
  <si>
    <t>Jean Paul Vella (Pro Maurice Borg)</t>
  </si>
  <si>
    <t>Stephanie Herzegovac</t>
  </si>
  <si>
    <t>Kelsey Gauci (Pro Nancy Wong)</t>
  </si>
  <si>
    <t>Silvana Portellli</t>
  </si>
  <si>
    <t xml:space="preserve">DAY 9 - 21/04/2023 &amp; 22/04/2023                                                                                </t>
  </si>
  <si>
    <t>Anna Fenech (Pro Christine Scerri)</t>
  </si>
  <si>
    <t>Total Day 9 A</t>
  </si>
  <si>
    <t>Total Day 9B</t>
  </si>
  <si>
    <t xml:space="preserve">Total Day 9 </t>
  </si>
  <si>
    <t>Annabel Borg</t>
  </si>
  <si>
    <t xml:space="preserve"> Men C</t>
  </si>
  <si>
    <t>Darrell Pace (Pro Maurice Borg)</t>
  </si>
  <si>
    <t>Alain Frendo (Pro Juan Debono)</t>
  </si>
  <si>
    <t>Stefania Camilleri (Anna Ancilleri)</t>
  </si>
  <si>
    <t xml:space="preserve">Rose Falzon </t>
  </si>
  <si>
    <t>Handicap rule applies instead of Anna Ancilleri</t>
  </si>
  <si>
    <t xml:space="preserve">Day 10 - 24/04/2023 &amp; 28/04/2023 </t>
  </si>
  <si>
    <t>Pierina Holmin (Pro Nicole Fava)</t>
  </si>
  <si>
    <t>Total Day 10 A</t>
  </si>
  <si>
    <t>Jodie Formosa (Stephanie Hercegovac)</t>
  </si>
  <si>
    <t>Handicap rule applies instead of Stephanie Hercegovac</t>
  </si>
  <si>
    <t>Total Day 10B</t>
  </si>
  <si>
    <t xml:space="preserve">Total Day 10 </t>
  </si>
  <si>
    <t>ret.</t>
  </si>
  <si>
    <t xml:space="preserve">9.00 pm </t>
  </si>
  <si>
    <t>Rose Falzon (Pro Anna Ancilleri)</t>
  </si>
  <si>
    <t>8.15 pm</t>
  </si>
  <si>
    <t>7.15 pm</t>
  </si>
  <si>
    <t>Max Anastasi Jr (Pro Juan Debono)</t>
  </si>
  <si>
    <t>Matthew Schembri (Pro Stefan Holmin)</t>
  </si>
  <si>
    <t>Julian Esposito (Pro David Schembri)</t>
  </si>
  <si>
    <t>Diane Fenech (Pro Dorianne Buhagiar)</t>
  </si>
  <si>
    <t>Semi Final - 06/05/2023 &amp; 08/05/2023</t>
  </si>
  <si>
    <t>TEAM D: Lucienne Meli Bellizzi</t>
  </si>
  <si>
    <t xml:space="preserve">Victor Rutter </t>
  </si>
  <si>
    <t>Ann-Marie Mangion</t>
  </si>
  <si>
    <t>Anabel Borg (pro) Annabelle Abela</t>
  </si>
  <si>
    <t>Jonathan Vella (pro) Richard Byrne</t>
  </si>
  <si>
    <t>Mixed BA</t>
  </si>
  <si>
    <t>TB 7-4</t>
  </si>
  <si>
    <t>8.30pm</t>
  </si>
  <si>
    <t>Final - 12/05/2023</t>
  </si>
  <si>
    <t>Court 1/2/4</t>
  </si>
  <si>
    <t>TEAM B: Lonia Carabott</t>
  </si>
  <si>
    <t>TEAM F: Frans Ellul</t>
  </si>
  <si>
    <t>Joathan Martinelli</t>
  </si>
  <si>
    <t>T?B 7-9</t>
  </si>
  <si>
    <t>/</t>
  </si>
  <si>
    <t>Celeste Zammit Marquette (pro Christine Schembri)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</si>
</sst>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"/>
    <numFmt numFmtId="165" formatCode="d mmmm"/>
    <numFmt numFmtId="166" formatCode="&quot;$&quot;#,##0.00"/>
  </numFmts>
  <fonts count="60">
    <font>
      <sz val="10.0"/>
      <color rgb="FF000000"/>
      <name val="Calibri"/>
      <scheme val="minor"/>
    </font>
    <font>
      <b/>
      <sz val="10.0"/>
      <color theme="1"/>
      <name val="Arial"/>
    </font>
    <font>
      <sz val="11.0"/>
      <color theme="1"/>
      <name val="Arial"/>
    </font>
    <font>
      <b/>
      <sz val="20.0"/>
      <color rgb="FF000080"/>
      <name val="Arial"/>
    </font>
    <font>
      <sz val="10.0"/>
      <color theme="1"/>
      <name val="Arial"/>
    </font>
    <font>
      <b/>
      <sz val="10.0"/>
      <color theme="1"/>
      <name val="Tahoma"/>
    </font>
    <font>
      <b/>
      <sz val="16.0"/>
      <color rgb="FF000080"/>
      <name val="Garamond"/>
    </font>
    <font/>
    <font>
      <b/>
      <sz val="12.0"/>
      <color rgb="FF000080"/>
      <name val="Arial"/>
    </font>
    <font>
      <b/>
      <sz val="11.0"/>
      <color rgb="FF00008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b/>
      <sz val="14.0"/>
      <color theme="1"/>
      <name val="Tahoma"/>
    </font>
    <font>
      <b/>
      <sz val="14.0"/>
      <color rgb="FF000080"/>
      <name val="Arial"/>
    </font>
    <font>
      <b/>
      <sz val="12.0"/>
      <color rgb="FF3366FF"/>
      <name val="Arial"/>
    </font>
    <font>
      <sz val="10.0"/>
      <color theme="1"/>
      <name val="Calibri"/>
    </font>
    <font>
      <b/>
      <u/>
      <sz val="18.0"/>
      <color rgb="FF000000"/>
      <name val="Arial"/>
    </font>
    <font>
      <b/>
      <u/>
      <sz val="16.0"/>
      <color theme="1"/>
      <name val="Tahoma"/>
    </font>
    <font>
      <b/>
      <u/>
      <sz val="16.0"/>
      <color theme="1"/>
      <name val="Tahoma"/>
    </font>
    <font>
      <b/>
      <sz val="12.0"/>
      <color theme="1"/>
      <name val="Tahoma"/>
    </font>
    <font>
      <sz val="12.0"/>
      <color theme="1"/>
      <name val="Verdana"/>
    </font>
    <font>
      <b/>
      <sz val="14.0"/>
      <color rgb="FF800000"/>
      <name val="Tahoma"/>
    </font>
    <font>
      <sz val="12.0"/>
      <color rgb="FF000000"/>
      <name val="Arial"/>
    </font>
    <font>
      <sz val="12.0"/>
      <color rgb="FF000000"/>
      <name val="Verdana"/>
    </font>
    <font>
      <b/>
      <sz val="12.0"/>
      <color rgb="FF000000"/>
      <name val="Verdana"/>
    </font>
    <font>
      <sz val="12.0"/>
      <color theme="1"/>
      <name val="Tahoma"/>
    </font>
    <font>
      <sz val="14.0"/>
      <color theme="1"/>
      <name val="Tahoma"/>
    </font>
    <font>
      <b/>
      <sz val="12.0"/>
      <color rgb="FF00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sz val="12.0"/>
      <color rgb="FF000000"/>
      <name val="Calibri"/>
    </font>
    <font>
      <sz val="12.0"/>
      <color rgb="FFFF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0.0"/>
      <color theme="1"/>
      <name val="Tahoma"/>
    </font>
    <font>
      <b/>
      <sz val="12.0"/>
      <color rgb="FF000080"/>
      <name val="Tahoma"/>
    </font>
    <font>
      <b/>
      <sz val="16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b/>
      <sz val="10.0"/>
      <color rgb="FF800000"/>
      <name val="Tahoma"/>
    </font>
    <font>
      <b/>
      <i/>
      <strike/>
      <sz val="10.0"/>
      <color theme="1"/>
      <name val="Tahoma"/>
    </font>
    <font>
      <sz val="9.0"/>
      <color theme="1"/>
      <name val="Tahoma"/>
    </font>
    <font>
      <sz val="8.0"/>
      <color theme="1"/>
      <name val="Tahoma"/>
    </font>
    <font>
      <color rgb="FF000000"/>
      <name val="Tahoma"/>
    </font>
    <font>
      <b/>
      <u/>
      <sz val="16.0"/>
      <color rgb="FF000080"/>
      <name val="Tahoma"/>
    </font>
    <font>
      <b/>
      <sz val="12.0"/>
      <color rgb="FF3366FF"/>
      <name val="Tahoma"/>
    </font>
    <font>
      <sz val="14.0"/>
      <color rgb="FF000080"/>
      <name val="Tahoma"/>
    </font>
  </fonts>
  <fills count="1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DDDDDD"/>
        <bgColor rgb="FFDDDDDD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0066CC"/>
        <bgColor rgb="FF0066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</fills>
  <borders count="100">
    <border/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/>
      <right/>
      <top/>
      <bottom/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right style="thin">
        <color rgb="FF3366FF"/>
      </right>
      <top style="thin">
        <color rgb="FF3366FF"/>
      </top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right/>
    </border>
    <border>
      <left/>
      <right/>
      <bottom/>
    </border>
    <border>
      <right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bottom style="medium">
        <color rgb="FF3366FF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3366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/>
    </border>
    <border>
      <right style="medium">
        <color rgb="FF3366FF"/>
      </right>
      <top style="thin">
        <color rgb="FF000000"/>
      </top>
      <bottom/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2" numFmtId="0" xfId="0" applyFont="1"/>
    <xf borderId="0" fillId="0" fontId="4" numFmtId="0" xfId="0" applyFont="1"/>
    <xf borderId="1" fillId="2" fontId="5" numFmtId="0" xfId="0" applyAlignment="1" applyBorder="1" applyFill="1" applyFont="1">
      <alignment horizontal="left"/>
    </xf>
    <xf borderId="2" fillId="2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2" fontId="1" numFmtId="0" xfId="0" applyAlignment="1" applyBorder="1" applyFont="1">
      <alignment horizontal="left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4" numFmtId="0" xfId="0" applyBorder="1" applyFont="1"/>
    <xf borderId="0" fillId="0" fontId="8" numFmtId="0" xfId="0" applyFont="1"/>
    <xf borderId="5" fillId="2" fontId="8" numFmtId="0" xfId="0" applyAlignment="1" applyBorder="1" applyFont="1">
      <alignment horizontal="left"/>
    </xf>
    <xf borderId="10" fillId="2" fontId="9" numFmtId="0" xfId="0" applyAlignment="1" applyBorder="1" applyFont="1">
      <alignment horizontal="center"/>
    </xf>
    <xf borderId="11" fillId="0" fontId="8" numFmtId="0" xfId="0" applyAlignment="1" applyBorder="1" applyFont="1">
      <alignment horizontal="center"/>
    </xf>
    <xf borderId="12" fillId="0" fontId="7" numFmtId="0" xfId="0" applyBorder="1" applyFont="1"/>
    <xf borderId="13" fillId="3" fontId="8" numFmtId="0" xfId="0" applyAlignment="1" applyBorder="1" applyFill="1" applyFont="1">
      <alignment horizontal="center" vertical="center"/>
    </xf>
    <xf borderId="14" fillId="0" fontId="7" numFmtId="0" xfId="0" applyBorder="1" applyFont="1"/>
    <xf borderId="0" fillId="0" fontId="10" numFmtId="0" xfId="0" applyFont="1"/>
    <xf borderId="5" fillId="2" fontId="11" numFmtId="0" xfId="0" applyAlignment="1" applyBorder="1" applyFont="1">
      <alignment horizontal="left"/>
    </xf>
    <xf borderId="10" fillId="2" fontId="2" numFmtId="0" xfId="0" applyAlignment="1" applyBorder="1" applyFont="1">
      <alignment horizontal="center"/>
    </xf>
    <xf borderId="13" fillId="0" fontId="12" numFmtId="0" xfId="0" applyAlignment="1" applyBorder="1" applyFont="1">
      <alignment horizontal="center"/>
    </xf>
    <xf borderId="13" fillId="0" fontId="13" numFmtId="0" xfId="0" applyAlignment="1" applyBorder="1" applyFont="1">
      <alignment horizontal="center"/>
    </xf>
    <xf borderId="13" fillId="3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/>
    </xf>
    <xf borderId="16" fillId="2" fontId="11" numFmtId="0" xfId="0" applyAlignment="1" applyBorder="1" applyFont="1">
      <alignment horizontal="left"/>
    </xf>
    <xf borderId="17" fillId="2" fontId="2" numFmtId="0" xfId="0" applyAlignment="1" applyBorder="1" applyFont="1">
      <alignment horizontal="center"/>
    </xf>
    <xf borderId="10" fillId="2" fontId="14" numFmtId="0" xfId="0" applyBorder="1" applyFont="1"/>
    <xf borderId="10" fillId="2" fontId="11" numFmtId="0" xfId="0" applyBorder="1" applyFont="1"/>
    <xf borderId="18" fillId="2" fontId="11" numFmtId="0" xfId="0" applyBorder="1" applyFont="1"/>
    <xf borderId="19" fillId="0" fontId="8" numFmtId="0" xfId="0" applyAlignment="1" applyBorder="1" applyFont="1">
      <alignment horizontal="left" readingOrder="0" vertical="center"/>
    </xf>
    <xf borderId="20" fillId="0" fontId="15" numFmtId="0" xfId="0" applyAlignment="1" applyBorder="1" applyFont="1">
      <alignment horizontal="center" vertical="center"/>
    </xf>
    <xf borderId="13" fillId="0" fontId="14" numFmtId="1" xfId="0" applyAlignment="1" applyBorder="1" applyFont="1" applyNumberFormat="1">
      <alignment horizontal="center" vertical="center"/>
    </xf>
    <xf borderId="13" fillId="0" fontId="16" numFmtId="1" xfId="0" applyAlignment="1" applyBorder="1" applyFont="1" applyNumberFormat="1">
      <alignment horizontal="center" vertical="center"/>
    </xf>
    <xf borderId="21" fillId="0" fontId="14" numFmtId="1" xfId="0" applyAlignment="1" applyBorder="1" applyFont="1" applyNumberFormat="1">
      <alignment horizontal="center" vertical="center"/>
    </xf>
    <xf borderId="21" fillId="0" fontId="16" numFmtId="1" xfId="0" applyAlignment="1" applyBorder="1" applyFont="1" applyNumberFormat="1">
      <alignment horizontal="center" vertical="center"/>
    </xf>
    <xf borderId="10" fillId="3" fontId="16" numFmtId="0" xfId="0" applyAlignment="1" applyBorder="1" applyFont="1">
      <alignment horizontal="center" vertical="center"/>
    </xf>
    <xf borderId="22" fillId="0" fontId="14" numFmtId="1" xfId="0" applyAlignment="1" applyBorder="1" applyFont="1" applyNumberFormat="1">
      <alignment horizontal="center" vertical="center"/>
    </xf>
    <xf borderId="23" fillId="0" fontId="16" numFmtId="1" xfId="0" applyAlignment="1" applyBorder="1" applyFont="1" applyNumberFormat="1">
      <alignment horizontal="center" vertical="center"/>
    </xf>
    <xf borderId="19" fillId="0" fontId="7" numFmtId="0" xfId="0" applyBorder="1" applyFont="1"/>
    <xf borderId="12" fillId="0" fontId="15" numFmtId="0" xfId="0" applyAlignment="1" applyBorder="1" applyFont="1">
      <alignment horizontal="center" vertical="center"/>
    </xf>
    <xf borderId="24" fillId="0" fontId="7" numFmtId="0" xfId="0" applyBorder="1" applyFont="1"/>
    <xf borderId="25" fillId="0" fontId="7" numFmtId="0" xfId="0" applyBorder="1" applyFont="1"/>
    <xf borderId="26" fillId="0" fontId="7" numFmtId="0" xfId="0" applyBorder="1" applyFont="1"/>
    <xf borderId="27" fillId="3" fontId="8" numFmtId="0" xfId="0" applyAlignment="1" applyBorder="1" applyFont="1">
      <alignment horizontal="left" vertical="center"/>
    </xf>
    <xf borderId="28" fillId="3" fontId="15" numFmtId="0" xfId="0" applyAlignment="1" applyBorder="1" applyFont="1">
      <alignment horizontal="center" vertical="center"/>
    </xf>
    <xf borderId="29" fillId="3" fontId="16" numFmtId="0" xfId="0" applyAlignment="1" applyBorder="1" applyFont="1">
      <alignment horizontal="center" vertical="center"/>
    </xf>
    <xf borderId="30" fillId="0" fontId="14" numFmtId="1" xfId="0" applyAlignment="1" applyBorder="1" applyFont="1" applyNumberFormat="1">
      <alignment horizontal="center" vertical="center"/>
    </xf>
    <xf borderId="30" fillId="0" fontId="16" numFmtId="1" xfId="0" applyAlignment="1" applyBorder="1" applyFont="1" applyNumberFormat="1">
      <alignment horizontal="center" vertical="center"/>
    </xf>
    <xf borderId="31" fillId="0" fontId="7" numFmtId="0" xfId="0" applyBorder="1" applyFont="1"/>
    <xf borderId="32" fillId="0" fontId="15" numFmtId="0" xfId="0" applyAlignment="1" applyBorder="1" applyFont="1">
      <alignment horizontal="center" vertical="center"/>
    </xf>
    <xf borderId="33" fillId="0" fontId="7" numFmtId="0" xfId="0" applyBorder="1" applyFont="1"/>
    <xf borderId="34" fillId="3" fontId="16" numFmtId="0" xfId="0" applyAlignment="1" applyBorder="1" applyFont="1">
      <alignment horizontal="center" vertical="center"/>
    </xf>
    <xf borderId="35" fillId="0" fontId="7" numFmtId="0" xfId="0" applyBorder="1" applyFont="1"/>
    <xf borderId="36" fillId="0" fontId="7" numFmtId="0" xfId="0" applyBorder="1" applyFont="1"/>
    <xf borderId="37" fillId="0" fontId="10" numFmtId="0" xfId="0" applyBorder="1" applyFont="1"/>
    <xf borderId="38" fillId="3" fontId="17" numFmtId="0" xfId="0" applyAlignment="1" applyBorder="1" applyFont="1">
      <alignment horizontal="left" vertical="center"/>
    </xf>
    <xf borderId="39" fillId="3" fontId="18" numFmtId="0" xfId="0" applyAlignment="1" applyBorder="1" applyFont="1">
      <alignment horizontal="center" vertical="center"/>
    </xf>
    <xf borderId="39" fillId="3" fontId="16" numFmtId="0" xfId="0" applyAlignment="1" applyBorder="1" applyFont="1">
      <alignment vertical="center"/>
    </xf>
    <xf borderId="39" fillId="3" fontId="14" numFmtId="0" xfId="0" applyAlignment="1" applyBorder="1" applyFont="1">
      <alignment vertical="center"/>
    </xf>
    <xf borderId="40" fillId="3" fontId="16" numFmtId="0" xfId="0" applyAlignment="1" applyBorder="1" applyFont="1">
      <alignment vertical="center"/>
    </xf>
    <xf borderId="0" fillId="0" fontId="19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2" fontId="20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left" vertical="center"/>
    </xf>
    <xf borderId="5" fillId="2" fontId="21" numFmtId="0" xfId="0" applyAlignment="1" applyBorder="1" applyFont="1">
      <alignment horizontal="left" vertical="center"/>
    </xf>
    <xf borderId="10" fillId="2" fontId="9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6" fillId="2" fontId="19" numFmtId="0" xfId="0" applyAlignment="1" applyBorder="1" applyFont="1">
      <alignment horizontal="left" vertical="center"/>
    </xf>
    <xf borderId="17" fillId="2" fontId="2" numFmtId="0" xfId="0" applyAlignment="1" applyBorder="1" applyFont="1">
      <alignment horizontal="center" vertical="center"/>
    </xf>
    <xf borderId="10" fillId="2" fontId="14" numFmtId="0" xfId="0" applyAlignment="1" applyBorder="1" applyFont="1">
      <alignment vertical="center"/>
    </xf>
    <xf borderId="10" fillId="2" fontId="11" numFmtId="0" xfId="0" applyAlignment="1" applyBorder="1" applyFont="1">
      <alignment vertical="center"/>
    </xf>
    <xf borderId="18" fillId="2" fontId="11" numFmtId="0" xfId="0" applyAlignment="1" applyBorder="1" applyFont="1">
      <alignment vertical="center"/>
    </xf>
    <xf borderId="31" fillId="3" fontId="22" numFmtId="0" xfId="0" applyAlignment="1" applyBorder="1" applyFont="1">
      <alignment horizontal="left"/>
    </xf>
    <xf borderId="34" fillId="3" fontId="18" numFmtId="0" xfId="0" applyAlignment="1" applyBorder="1" applyFont="1">
      <alignment horizontal="center"/>
    </xf>
    <xf borderId="34" fillId="3" fontId="16" numFmtId="0" xfId="0" applyAlignment="1" applyBorder="1" applyFont="1">
      <alignment horizontal="center"/>
    </xf>
    <xf borderId="34" fillId="3" fontId="14" numFmtId="0" xfId="0" applyAlignment="1" applyBorder="1" applyFont="1">
      <alignment horizontal="center"/>
    </xf>
    <xf borderId="41" fillId="3" fontId="16" numFmtId="0" xfId="0" applyAlignment="1" applyBorder="1" applyFont="1">
      <alignment horizontal="center"/>
    </xf>
    <xf borderId="0" fillId="0" fontId="23" numFmtId="0" xfId="0" applyFont="1"/>
    <xf borderId="0" fillId="0" fontId="19" numFmtId="0" xfId="0" applyAlignment="1" applyFont="1">
      <alignment horizontal="left"/>
    </xf>
    <xf borderId="0" fillId="0" fontId="4" numFmtId="1" xfId="0" applyFont="1" applyNumberFormat="1"/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42" fillId="4" fontId="4" numFmtId="0" xfId="0" applyBorder="1" applyFill="1" applyFont="1"/>
    <xf borderId="43" fillId="4" fontId="27" numFmtId="0" xfId="0" applyAlignment="1" applyBorder="1" applyFont="1">
      <alignment horizontal="center" vertical="center"/>
    </xf>
    <xf borderId="44" fillId="4" fontId="27" numFmtId="0" xfId="0" applyAlignment="1" applyBorder="1" applyFont="1">
      <alignment horizontal="center" vertical="center"/>
    </xf>
    <xf borderId="45" fillId="4" fontId="27" numFmtId="0" xfId="0" applyAlignment="1" applyBorder="1" applyFont="1">
      <alignment horizontal="center" vertical="center"/>
    </xf>
    <xf borderId="46" fillId="4" fontId="27" numFmtId="0" xfId="0" applyAlignment="1" applyBorder="1" applyFont="1">
      <alignment horizontal="center" vertical="center"/>
    </xf>
    <xf borderId="46" fillId="0" fontId="27" numFmtId="0" xfId="0" applyAlignment="1" applyBorder="1" applyFont="1">
      <alignment horizontal="center" readingOrder="0" vertical="center"/>
    </xf>
    <xf borderId="47" fillId="4" fontId="27" numFmtId="0" xfId="0" applyAlignment="1" applyBorder="1" applyFont="1">
      <alignment horizontal="center" vertical="center"/>
    </xf>
    <xf borderId="47" fillId="5" fontId="20" numFmtId="0" xfId="0" applyAlignment="1" applyBorder="1" applyFill="1" applyFont="1">
      <alignment horizontal="center" vertical="center"/>
    </xf>
    <xf borderId="48" fillId="5" fontId="20" numFmtId="0" xfId="0" applyAlignment="1" applyBorder="1" applyFont="1">
      <alignment horizontal="center" vertical="center"/>
    </xf>
    <xf borderId="49" fillId="5" fontId="20" numFmtId="0" xfId="0" applyAlignment="1" applyBorder="1" applyFont="1">
      <alignment horizontal="center" vertical="center"/>
    </xf>
    <xf borderId="46" fillId="4" fontId="20" numFmtId="0" xfId="0" applyAlignment="1" applyBorder="1" applyFont="1">
      <alignment horizontal="center" vertical="center"/>
    </xf>
    <xf borderId="50" fillId="0" fontId="28" numFmtId="0" xfId="0" applyAlignment="1" applyBorder="1" applyFont="1">
      <alignment horizontal="center" readingOrder="0" vertical="center"/>
    </xf>
    <xf borderId="50" fillId="6" fontId="28" numFmtId="0" xfId="0" applyAlignment="1" applyBorder="1" applyFill="1" applyFont="1">
      <alignment horizontal="center" readingOrder="0" vertical="center"/>
    </xf>
    <xf borderId="46" fillId="0" fontId="28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/>
    </xf>
    <xf borderId="51" fillId="5" fontId="29" numFmtId="0" xfId="0" applyAlignment="1" applyBorder="1" applyFont="1">
      <alignment horizontal="center" vertical="center"/>
    </xf>
    <xf borderId="52" fillId="0" fontId="7" numFmtId="0" xfId="0" applyBorder="1" applyFont="1"/>
    <xf borderId="53" fillId="0" fontId="7" numFmtId="0" xfId="0" applyBorder="1" applyFont="1"/>
    <xf borderId="51" fillId="4" fontId="20" numFmtId="0" xfId="0" applyAlignment="1" applyBorder="1" applyFont="1">
      <alignment horizontal="center" vertical="center"/>
    </xf>
    <xf borderId="46" fillId="7" fontId="30" numFmtId="0" xfId="0" applyAlignment="1" applyBorder="1" applyFill="1" applyFont="1">
      <alignment horizontal="center" readingOrder="0" vertical="center"/>
    </xf>
    <xf borderId="46" fillId="7" fontId="31" numFmtId="0" xfId="0" applyAlignment="1" applyBorder="1" applyFont="1">
      <alignment horizontal="center" readingOrder="0" vertical="center"/>
    </xf>
    <xf borderId="46" fillId="6" fontId="31" numFmtId="0" xfId="0" applyAlignment="1" applyBorder="1" applyFont="1">
      <alignment horizontal="center" readingOrder="0" vertical="center"/>
    </xf>
    <xf borderId="46" fillId="7" fontId="32" numFmtId="0" xfId="0" applyAlignment="1" applyBorder="1" applyFont="1">
      <alignment horizontal="center" readingOrder="0" vertical="center"/>
    </xf>
    <xf borderId="46" fillId="4" fontId="20" numFmtId="0" xfId="0" applyAlignment="1" applyBorder="1" applyFont="1">
      <alignment horizontal="center" readingOrder="0" vertical="center"/>
    </xf>
    <xf borderId="51" fillId="5" fontId="20" numFmtId="0" xfId="0" applyAlignment="1" applyBorder="1" applyFont="1">
      <alignment horizontal="center" vertical="center"/>
    </xf>
    <xf borderId="46" fillId="7" fontId="33" numFmtId="0" xfId="0" applyAlignment="1" applyBorder="1" applyFont="1">
      <alignment horizontal="center" readingOrder="0" vertical="center"/>
    </xf>
    <xf borderId="46" fillId="7" fontId="27" numFmtId="0" xfId="0" applyAlignment="1" applyBorder="1" applyFont="1">
      <alignment horizontal="center" readingOrder="0" vertical="center"/>
    </xf>
    <xf borderId="54" fillId="5" fontId="20" numFmtId="0" xfId="0" applyAlignment="1" applyBorder="1" applyFont="1">
      <alignment horizontal="center" vertical="center"/>
    </xf>
    <xf borderId="55" fillId="0" fontId="7" numFmtId="0" xfId="0" applyBorder="1" applyFont="1"/>
    <xf borderId="56" fillId="0" fontId="7" numFmtId="0" xfId="0" applyBorder="1" applyFont="1"/>
    <xf borderId="47" fillId="4" fontId="20" numFmtId="0" xfId="0" applyAlignment="1" applyBorder="1" applyFont="1">
      <alignment horizontal="center" vertical="center"/>
    </xf>
    <xf borderId="50" fillId="0" fontId="33" numFmtId="0" xfId="0" applyAlignment="1" applyBorder="1" applyFont="1">
      <alignment horizontal="center" readingOrder="0" vertical="center"/>
    </xf>
    <xf borderId="46" fillId="0" fontId="33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46" fillId="6" fontId="33" numFmtId="0" xfId="0" applyAlignment="1" applyBorder="1" applyFont="1">
      <alignment horizontal="center" readingOrder="0" vertical="center"/>
    </xf>
    <xf borderId="54" fillId="5" fontId="27" numFmtId="0" xfId="0" applyAlignment="1" applyBorder="1" applyFont="1">
      <alignment horizontal="center" vertical="center"/>
    </xf>
    <xf borderId="46" fillId="0" fontId="10" numFmtId="0" xfId="0" applyAlignment="1" applyBorder="1" applyFont="1">
      <alignment horizontal="center" readingOrder="0"/>
    </xf>
    <xf borderId="46" fillId="6" fontId="10" numFmtId="0" xfId="0" applyAlignment="1" applyBorder="1" applyFont="1">
      <alignment horizontal="center" readingOrder="0"/>
    </xf>
    <xf borderId="46" fillId="5" fontId="20" numFmtId="0" xfId="0" applyAlignment="1" applyBorder="1" applyFont="1">
      <alignment horizontal="center" vertical="center"/>
    </xf>
    <xf borderId="46" fillId="5" fontId="34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54" fillId="8" fontId="35" numFmtId="0" xfId="0" applyAlignment="1" applyBorder="1" applyFill="1" applyFont="1">
      <alignment horizontal="center" readingOrder="0"/>
    </xf>
    <xf borderId="57" fillId="0" fontId="7" numFmtId="0" xfId="0" applyBorder="1" applyFont="1"/>
    <xf borderId="46" fillId="0" fontId="4" numFmtId="0" xfId="0" applyAlignment="1" applyBorder="1" applyFont="1">
      <alignment horizontal="center"/>
    </xf>
    <xf borderId="46" fillId="0" fontId="36" numFmtId="0" xfId="0" applyAlignment="1" applyBorder="1" applyFont="1">
      <alignment horizontal="center"/>
    </xf>
    <xf borderId="46" fillId="9" fontId="23" numFmtId="0" xfId="0" applyAlignment="1" applyBorder="1" applyFill="1" applyFont="1">
      <alignment horizontal="center" readingOrder="0" vertical="center"/>
    </xf>
    <xf borderId="50" fillId="9" fontId="37" numFmtId="0" xfId="0" applyAlignment="1" applyBorder="1" applyFont="1">
      <alignment horizontal="center" readingOrder="0" vertical="center"/>
    </xf>
    <xf borderId="46" fillId="0" fontId="38" numFmtId="0" xfId="0" applyAlignment="1" applyBorder="1" applyFont="1">
      <alignment horizontal="center" readingOrder="0"/>
    </xf>
    <xf borderId="46" fillId="0" fontId="38" numFmtId="0" xfId="0" applyAlignment="1" applyBorder="1" applyFont="1">
      <alignment horizontal="center"/>
    </xf>
    <xf borderId="46" fillId="7" fontId="38" numFmtId="0" xfId="0" applyAlignment="1" applyBorder="1" applyFont="1">
      <alignment horizontal="center" readingOrder="0"/>
    </xf>
    <xf borderId="0" fillId="9" fontId="37" numFmtId="0" xfId="0" applyAlignment="1" applyFont="1">
      <alignment horizontal="center" readingOrder="0"/>
    </xf>
    <xf borderId="46" fillId="0" fontId="39" numFmtId="0" xfId="0" applyAlignment="1" applyBorder="1" applyFont="1">
      <alignment horizontal="center" readingOrder="0"/>
    </xf>
    <xf borderId="46" fillId="7" fontId="38" numFmtId="0" xfId="0" applyAlignment="1" applyBorder="1" applyFont="1">
      <alignment horizontal="center"/>
    </xf>
    <xf borderId="46" fillId="9" fontId="37" numFmtId="0" xfId="0" applyAlignment="1" applyBorder="1" applyFont="1">
      <alignment horizontal="center" readingOrder="0" vertical="center"/>
    </xf>
    <xf borderId="46" fillId="9" fontId="40" numFmtId="0" xfId="0" applyAlignment="1" applyBorder="1" applyFont="1">
      <alignment horizontal="center" readingOrder="0" vertical="center"/>
    </xf>
    <xf borderId="46" fillId="9" fontId="35" numFmtId="0" xfId="0" applyAlignment="1" applyBorder="1" applyFont="1">
      <alignment horizontal="center" readingOrder="0" vertical="center"/>
    </xf>
    <xf borderId="46" fillId="6" fontId="38" numFmtId="0" xfId="0" applyAlignment="1" applyBorder="1" applyFont="1">
      <alignment horizontal="center" readingOrder="0"/>
    </xf>
    <xf borderId="46" fillId="10" fontId="23" numFmtId="0" xfId="0" applyAlignment="1" applyBorder="1" applyFill="1" applyFont="1">
      <alignment horizontal="center" readingOrder="0" vertical="center"/>
    </xf>
    <xf borderId="50" fillId="10" fontId="37" numFmtId="0" xfId="0" applyAlignment="1" applyBorder="1" applyFont="1">
      <alignment horizontal="center" readingOrder="0" vertical="center"/>
    </xf>
    <xf borderId="46" fillId="10" fontId="37" numFmtId="0" xfId="0" applyAlignment="1" applyBorder="1" applyFont="1">
      <alignment horizontal="center" readingOrder="0" vertical="center"/>
    </xf>
    <xf borderId="46" fillId="10" fontId="37" numFmtId="0" xfId="0" applyAlignment="1" applyBorder="1" applyFont="1">
      <alignment horizontal="center" readingOrder="0"/>
    </xf>
    <xf borderId="10" fillId="11" fontId="4" numFmtId="0" xfId="0" applyBorder="1" applyFill="1" applyFont="1"/>
    <xf borderId="46" fillId="12" fontId="38" numFmtId="0" xfId="0" applyAlignment="1" applyBorder="1" applyFill="1" applyFont="1">
      <alignment horizontal="center" readingOrder="0"/>
    </xf>
    <xf borderId="46" fillId="12" fontId="38" numFmtId="0" xfId="0" applyAlignment="1" applyBorder="1" applyFont="1">
      <alignment horizontal="center"/>
    </xf>
    <xf borderId="0" fillId="8" fontId="35" numFmtId="0" xfId="0" applyAlignment="1" applyFont="1">
      <alignment horizontal="center" readingOrder="0"/>
    </xf>
    <xf borderId="58" fillId="0" fontId="7" numFmtId="0" xfId="0" applyBorder="1" applyFont="1"/>
    <xf borderId="46" fillId="9" fontId="41" numFmtId="0" xfId="0" applyAlignment="1" applyBorder="1" applyFont="1">
      <alignment horizontal="center" readingOrder="0" vertical="center"/>
    </xf>
    <xf borderId="46" fillId="7" fontId="39" numFmtId="0" xfId="0" applyAlignment="1" applyBorder="1" applyFont="1">
      <alignment horizontal="center" readingOrder="0"/>
    </xf>
    <xf borderId="46" fillId="10" fontId="42" numFmtId="0" xfId="0" applyAlignment="1" applyBorder="1" applyFont="1">
      <alignment horizontal="center" readingOrder="0" vertical="center"/>
    </xf>
    <xf borderId="0" fillId="10" fontId="37" numFmtId="0" xfId="0" applyAlignment="1" applyFont="1">
      <alignment horizontal="center" readingOrder="0" vertical="center"/>
    </xf>
    <xf borderId="0" fillId="11" fontId="4" numFmtId="0" xfId="0" applyFont="1"/>
    <xf borderId="59" fillId="11" fontId="4" numFmtId="0" xfId="0" applyBorder="1" applyFont="1"/>
    <xf borderId="50" fillId="0" fontId="37" numFmtId="0" xfId="0" applyAlignment="1" applyBorder="1" applyFont="1">
      <alignment horizontal="center" readingOrder="0" vertical="center"/>
    </xf>
    <xf borderId="46" fillId="0" fontId="37" numFmtId="0" xfId="0" applyAlignment="1" applyBorder="1" applyFont="1">
      <alignment horizontal="center" readingOrder="0" vertical="center"/>
    </xf>
    <xf borderId="46" fillId="7" fontId="40" numFmtId="0" xfId="0" applyAlignment="1" applyBorder="1" applyFont="1">
      <alignment horizontal="center" readingOrder="0" vertical="center"/>
    </xf>
    <xf borderId="46" fillId="7" fontId="35" numFmtId="0" xfId="0" applyAlignment="1" applyBorder="1" applyFont="1">
      <alignment horizontal="center" readingOrder="0" vertical="center"/>
    </xf>
    <xf borderId="46" fillId="7" fontId="37" numFmtId="0" xfId="0" applyAlignment="1" applyBorder="1" applyFont="1">
      <alignment horizontal="center" readingOrder="0" vertical="center"/>
    </xf>
    <xf borderId="50" fillId="9" fontId="41" numFmtId="0" xfId="0" applyAlignment="1" applyBorder="1" applyFont="1">
      <alignment horizontal="center" readingOrder="0" vertical="center"/>
    </xf>
    <xf borderId="46" fillId="9" fontId="42" numFmtId="0" xfId="0" applyAlignment="1" applyBorder="1" applyFont="1">
      <alignment horizontal="center" readingOrder="0" vertical="center"/>
    </xf>
    <xf borderId="46" fillId="6" fontId="38" numFmtId="0" xfId="0" applyAlignment="1" applyBorder="1" applyFont="1">
      <alignment horizontal="center"/>
    </xf>
    <xf borderId="46" fillId="10" fontId="41" numFmtId="0" xfId="0" applyAlignment="1" applyBorder="1" applyFont="1">
      <alignment horizontal="center" readingOrder="0" vertical="center"/>
    </xf>
    <xf borderId="46" fillId="10" fontId="41" numFmtId="0" xfId="0" applyAlignment="1" applyBorder="1" applyFont="1">
      <alignment horizontal="center" readingOrder="0"/>
    </xf>
    <xf borderId="7" fillId="8" fontId="35" numFmtId="0" xfId="0" applyAlignment="1" applyBorder="1" applyFont="1">
      <alignment horizontal="center" readingOrder="0"/>
    </xf>
    <xf borderId="60" fillId="0" fontId="7" numFmtId="0" xfId="0" applyBorder="1" applyFont="1"/>
    <xf borderId="0" fillId="0" fontId="37" numFmtId="0" xfId="0" applyFont="1"/>
    <xf borderId="0" fillId="0" fontId="3" numFmtId="0" xfId="0" applyAlignment="1" applyFont="1">
      <alignment horizontal="center" vertical="center"/>
    </xf>
    <xf borderId="61" fillId="0" fontId="43" numFmtId="0" xfId="0" applyBorder="1" applyFont="1"/>
    <xf borderId="62" fillId="0" fontId="7" numFmtId="0" xfId="0" applyBorder="1" applyFont="1"/>
    <xf borderId="53" fillId="0" fontId="11" numFmtId="0" xfId="0" applyAlignment="1" applyBorder="1" applyFont="1">
      <alignment horizontal="center" readingOrder="0" vertical="bottom"/>
    </xf>
    <xf borderId="53" fillId="13" fontId="43" numFmtId="0" xfId="0" applyAlignment="1" applyBorder="1" applyFill="1" applyFont="1">
      <alignment vertical="bottom"/>
    </xf>
    <xf borderId="61" fillId="0" fontId="7" numFmtId="0" xfId="0" applyBorder="1" applyFont="1"/>
    <xf borderId="50" fillId="0" fontId="10" numFmtId="0" xfId="0" applyAlignment="1" applyBorder="1" applyFont="1">
      <alignment horizontal="center" readingOrder="0" vertical="bottom"/>
    </xf>
    <xf borderId="62" fillId="0" fontId="10" numFmtId="0" xfId="0" applyAlignment="1" applyBorder="1" applyFont="1">
      <alignment horizontal="center" readingOrder="0" vertical="bottom"/>
    </xf>
    <xf borderId="62" fillId="13" fontId="43" numFmtId="0" xfId="0" applyAlignment="1" applyBorder="1" applyFont="1">
      <alignment vertical="bottom"/>
    </xf>
    <xf borderId="50" fillId="0" fontId="11" numFmtId="0" xfId="0" applyAlignment="1" applyBorder="1" applyFont="1">
      <alignment horizontal="center" readingOrder="0" vertical="bottom"/>
    </xf>
    <xf borderId="62" fillId="0" fontId="11" numFmtId="164" xfId="0" applyAlignment="1" applyBorder="1" applyFont="1" applyNumberFormat="1">
      <alignment horizontal="center" readingOrder="0" vertical="bottom"/>
    </xf>
    <xf borderId="63" fillId="0" fontId="10" numFmtId="0" xfId="0" applyAlignment="1" applyBorder="1" applyFont="1">
      <alignment horizontal="center" readingOrder="0"/>
    </xf>
    <xf borderId="62" fillId="13" fontId="43" numFmtId="0" xfId="0" applyBorder="1" applyFont="1"/>
    <xf borderId="50" fillId="13" fontId="43" numFmtId="0" xfId="0" applyAlignment="1" applyBorder="1" applyFont="1">
      <alignment vertical="bottom"/>
    </xf>
    <xf borderId="62" fillId="0" fontId="43" numFmtId="0" xfId="0" applyAlignment="1" applyBorder="1" applyFont="1">
      <alignment vertical="bottom"/>
    </xf>
    <xf borderId="62" fillId="0" fontId="43" numFmtId="0" xfId="0" applyBorder="1" applyFont="1"/>
    <xf borderId="46" fillId="0" fontId="10" numFmtId="0" xfId="0" applyAlignment="1" applyBorder="1" applyFont="1">
      <alignment horizontal="center" readingOrder="0" vertical="bottom"/>
    </xf>
    <xf borderId="46" fillId="0" fontId="43" numFmtId="0" xfId="0" applyBorder="1" applyFont="1"/>
    <xf borderId="46" fillId="14" fontId="11" numFmtId="0" xfId="0" applyAlignment="1" applyBorder="1" applyFill="1" applyFont="1">
      <alignment horizontal="center" readingOrder="0" vertical="bottom"/>
    </xf>
    <xf borderId="46" fillId="0" fontId="11" numFmtId="164" xfId="0" applyAlignment="1" applyBorder="1" applyFont="1" applyNumberFormat="1">
      <alignment horizontal="center" readingOrder="0" vertical="bottom"/>
    </xf>
    <xf borderId="63" fillId="0" fontId="7" numFmtId="0" xfId="0" applyBorder="1" applyFont="1"/>
    <xf borderId="46" fillId="0" fontId="11" numFmtId="0" xfId="0" applyAlignment="1" applyBorder="1" applyFont="1">
      <alignment horizontal="center" readingOrder="0" vertical="bottom"/>
    </xf>
    <xf borderId="63" fillId="0" fontId="10" numFmtId="0" xfId="0" applyAlignment="1" applyBorder="1" applyFont="1">
      <alignment horizontal="center" readingOrder="0" vertical="center"/>
    </xf>
    <xf borderId="62" fillId="0" fontId="11" numFmtId="165" xfId="0" applyAlignment="1" applyBorder="1" applyFont="1" applyNumberFormat="1">
      <alignment horizontal="center" readingOrder="0" vertical="bottom"/>
    </xf>
    <xf borderId="0" fillId="0" fontId="43" numFmtId="0" xfId="0" applyAlignment="1" applyFont="1">
      <alignment vertical="bottom"/>
    </xf>
    <xf borderId="50" fillId="0" fontId="30" numFmtId="0" xfId="0" applyAlignment="1" applyBorder="1" applyFont="1">
      <alignment horizontal="center" readingOrder="0" vertical="bottom"/>
    </xf>
    <xf borderId="62" fillId="7" fontId="43" numFmtId="0" xfId="0" applyAlignment="1" applyBorder="1" applyFont="1">
      <alignment vertical="bottom"/>
    </xf>
    <xf borderId="46" fillId="0" fontId="43" numFmtId="0" xfId="0" applyAlignment="1" applyBorder="1" applyFont="1">
      <alignment vertical="bottom"/>
    </xf>
    <xf borderId="51" fillId="0" fontId="43" numFmtId="0" xfId="0" applyBorder="1" applyFont="1"/>
    <xf borderId="0" fillId="0" fontId="44" numFmtId="0" xfId="0" applyFont="1"/>
    <xf borderId="0" fillId="0" fontId="45" numFmtId="0" xfId="0" applyAlignment="1" applyFont="1">
      <alignment horizontal="center" readingOrder="0" vertical="center"/>
    </xf>
    <xf borderId="64" fillId="0" fontId="46" numFmtId="0" xfId="0" applyAlignment="1" applyBorder="1" applyFont="1">
      <alignment horizontal="center" readingOrder="0" vertical="center"/>
    </xf>
    <xf borderId="65" fillId="2" fontId="44" numFmtId="0" xfId="0" applyAlignment="1" applyBorder="1" applyFont="1">
      <alignment horizontal="center"/>
    </xf>
    <xf borderId="66" fillId="0" fontId="7" numFmtId="0" xfId="0" applyBorder="1" applyFont="1"/>
    <xf borderId="67" fillId="0" fontId="7" numFmtId="0" xfId="0" applyBorder="1" applyFont="1"/>
    <xf borderId="68" fillId="0" fontId="7" numFmtId="0" xfId="0" applyBorder="1" applyFont="1"/>
    <xf borderId="69" fillId="0" fontId="7" numFmtId="0" xfId="0" applyBorder="1" applyFont="1"/>
    <xf borderId="65" fillId="0" fontId="47" numFmtId="0" xfId="0" applyAlignment="1" applyBorder="1" applyFont="1">
      <alignment horizontal="center" vertical="center"/>
    </xf>
    <xf borderId="70" fillId="0" fontId="48" numFmtId="0" xfId="0" applyAlignment="1" applyBorder="1" applyFont="1">
      <alignment horizontal="center" shrinkToFit="0" vertical="center" wrapText="1"/>
    </xf>
    <xf borderId="46" fillId="0" fontId="48" numFmtId="0" xfId="0" applyAlignment="1" applyBorder="1" applyFont="1">
      <alignment horizontal="center" shrinkToFit="0" vertical="center" wrapText="1"/>
    </xf>
    <xf borderId="51" fillId="0" fontId="48" numFmtId="0" xfId="0" applyAlignment="1" applyBorder="1" applyFont="1">
      <alignment horizontal="center" readingOrder="0" shrinkToFit="0" vertical="center" wrapText="1"/>
    </xf>
    <xf borderId="51" fillId="0" fontId="48" numFmtId="0" xfId="0" applyAlignment="1" applyBorder="1" applyFont="1">
      <alignment horizontal="center" shrinkToFit="0" vertical="center" wrapText="1"/>
    </xf>
    <xf borderId="71" fillId="0" fontId="7" numFmtId="0" xfId="0" applyBorder="1" applyFont="1"/>
    <xf borderId="9" fillId="0" fontId="48" numFmtId="0" xfId="0" applyAlignment="1" applyBorder="1" applyFont="1">
      <alignment horizontal="center"/>
    </xf>
    <xf borderId="37" fillId="0" fontId="7" numFmtId="0" xfId="0" applyBorder="1" applyFont="1"/>
    <xf borderId="72" fillId="0" fontId="5" numFmtId="2" xfId="0" applyAlignment="1" applyBorder="1" applyFont="1" applyNumberFormat="1">
      <alignment horizontal="center" vertical="center"/>
    </xf>
    <xf borderId="73" fillId="0" fontId="49" numFmtId="1" xfId="0" applyAlignment="1" applyBorder="1" applyFont="1" applyNumberFormat="1">
      <alignment horizontal="center" readingOrder="0" shrinkToFit="0" vertical="center" wrapText="1"/>
    </xf>
    <xf borderId="73" fillId="0" fontId="44" numFmtId="1" xfId="0" applyAlignment="1" applyBorder="1" applyFont="1" applyNumberFormat="1">
      <alignment horizontal="center" readingOrder="0" shrinkToFit="0" vertical="center" wrapText="1"/>
    </xf>
    <xf borderId="73" fillId="0" fontId="5" numFmtId="1" xfId="0" applyAlignment="1" applyBorder="1" applyFont="1" applyNumberFormat="1">
      <alignment horizontal="center" shrinkToFit="0" vertical="center" wrapText="1"/>
    </xf>
    <xf borderId="74" fillId="0" fontId="44" numFmtId="1" xfId="0" applyAlignment="1" applyBorder="1" applyFont="1" applyNumberFormat="1">
      <alignment horizontal="center" readingOrder="0" shrinkToFit="0" vertical="center" wrapText="1"/>
    </xf>
    <xf borderId="75" fillId="0" fontId="44" numFmtId="1" xfId="0" applyAlignment="1" applyBorder="1" applyFont="1" applyNumberFormat="1">
      <alignment horizontal="center" readingOrder="0" shrinkToFit="0" vertical="center" wrapText="1"/>
    </xf>
    <xf borderId="73" fillId="0" fontId="44" numFmtId="1" xfId="0" applyAlignment="1" applyBorder="1" applyFont="1" applyNumberFormat="1">
      <alignment horizontal="center" shrinkToFit="0" vertical="center" wrapText="1"/>
    </xf>
    <xf borderId="76" fillId="0" fontId="7" numFmtId="0" xfId="0" applyBorder="1" applyFont="1"/>
    <xf borderId="50" fillId="0" fontId="7" numFmtId="0" xfId="0" applyBorder="1" applyFont="1"/>
    <xf borderId="77" fillId="0" fontId="44" numFmtId="1" xfId="0" applyAlignment="1" applyBorder="1" applyFont="1" applyNumberFormat="1">
      <alignment horizontal="center" readingOrder="0" shrinkToFit="0" vertical="center" wrapText="1"/>
    </xf>
    <xf borderId="62" fillId="0" fontId="44" numFmtId="1" xfId="0" applyAlignment="1" applyBorder="1" applyFont="1" applyNumberFormat="1">
      <alignment horizontal="center" readingOrder="0" shrinkToFit="0" vertical="center" wrapText="1"/>
    </xf>
    <xf borderId="78" fillId="2" fontId="50" numFmtId="1" xfId="0" applyAlignment="1" applyBorder="1" applyFont="1" applyNumberFormat="1">
      <alignment horizontal="center" vertical="center"/>
    </xf>
    <xf borderId="78" fillId="2" fontId="5" numFmtId="1" xfId="0" applyAlignment="1" applyBorder="1" applyFont="1" applyNumberFormat="1">
      <alignment horizontal="center" vertical="center"/>
    </xf>
    <xf borderId="73" fillId="0" fontId="5" numFmtId="1" xfId="0" applyAlignment="1" applyBorder="1" applyFont="1" applyNumberFormat="1">
      <alignment horizontal="center" readingOrder="0" vertical="center"/>
    </xf>
    <xf borderId="73" fillId="0" fontId="5" numFmtId="1" xfId="0" applyAlignment="1" applyBorder="1" applyFont="1" applyNumberFormat="1">
      <alignment horizontal="center" readingOrder="0" shrinkToFit="0" vertical="center" wrapText="1"/>
    </xf>
    <xf borderId="78" fillId="0" fontId="51" numFmtId="1" xfId="0" applyAlignment="1" applyBorder="1" applyFont="1" applyNumberFormat="1">
      <alignment horizontal="center" vertical="center"/>
    </xf>
    <xf borderId="79" fillId="0" fontId="51" numFmtId="1" xfId="0" applyAlignment="1" applyBorder="1" applyFont="1" applyNumberFormat="1">
      <alignment horizontal="center" shrinkToFit="0" vertical="center" wrapText="1"/>
    </xf>
    <xf borderId="53" fillId="0" fontId="51" numFmtId="1" xfId="0" applyAlignment="1" applyBorder="1" applyFont="1" applyNumberFormat="1">
      <alignment horizontal="center" shrinkToFit="0" vertical="center" wrapText="1"/>
    </xf>
    <xf borderId="71" fillId="0" fontId="51" numFmtId="1" xfId="0" applyAlignment="1" applyBorder="1" applyFont="1" applyNumberFormat="1">
      <alignment horizontal="center" shrinkToFit="0" vertical="center" wrapText="1"/>
    </xf>
    <xf borderId="78" fillId="3" fontId="5" numFmtId="1" xfId="0" applyAlignment="1" applyBorder="1" applyFont="1" applyNumberFormat="1">
      <alignment horizontal="center" vertical="center"/>
    </xf>
    <xf borderId="78" fillId="0" fontId="48" numFmtId="1" xfId="0" applyAlignment="1" applyBorder="1" applyFont="1" applyNumberFormat="1">
      <alignment horizontal="center" vertical="center"/>
    </xf>
    <xf borderId="80" fillId="0" fontId="44" numFmtId="0" xfId="0" applyBorder="1" applyFont="1"/>
    <xf borderId="78" fillId="0" fontId="52" numFmtId="1" xfId="0" applyAlignment="1" applyBorder="1" applyFont="1" applyNumberFormat="1">
      <alignment horizontal="center" vertical="center"/>
    </xf>
    <xf borderId="51" fillId="0" fontId="52" numFmtId="1" xfId="0" applyAlignment="1" applyBorder="1" applyFont="1" applyNumberFormat="1">
      <alignment horizontal="center" shrinkToFit="0" vertical="center" wrapText="1"/>
    </xf>
    <xf borderId="81" fillId="0" fontId="52" numFmtId="1" xfId="0" applyAlignment="1" applyBorder="1" applyFont="1" applyNumberFormat="1">
      <alignment horizontal="center" shrinkToFit="0" vertical="center" wrapText="1"/>
    </xf>
    <xf borderId="79" fillId="0" fontId="52" numFmtId="1" xfId="0" applyAlignment="1" applyBorder="1" applyFont="1" applyNumberFormat="1">
      <alignment horizontal="center" shrinkToFit="0" vertical="center" wrapText="1"/>
    </xf>
    <xf borderId="71" fillId="0" fontId="52" numFmtId="1" xfId="0" applyAlignment="1" applyBorder="1" applyFont="1" applyNumberFormat="1">
      <alignment horizontal="center" shrinkToFit="0" vertical="center" wrapText="1"/>
    </xf>
    <xf borderId="78" fillId="15" fontId="5" numFmtId="1" xfId="0" applyAlignment="1" applyBorder="1" applyFill="1" applyFont="1" applyNumberFormat="1">
      <alignment horizontal="center" vertical="center"/>
    </xf>
    <xf borderId="78" fillId="0" fontId="48" numFmtId="0" xfId="0" applyAlignment="1" applyBorder="1" applyFont="1">
      <alignment horizontal="center" readingOrder="0"/>
    </xf>
    <xf borderId="70" fillId="0" fontId="48" numFmtId="2" xfId="0" applyAlignment="1" applyBorder="1" applyFont="1" applyNumberFormat="1">
      <alignment horizontal="center" shrinkToFit="0" vertical="center" wrapText="1"/>
    </xf>
    <xf borderId="52" fillId="0" fontId="48" numFmtId="0" xfId="0" applyAlignment="1" applyBorder="1" applyFont="1">
      <alignment horizontal="center" shrinkToFit="0" vertical="center" wrapText="1"/>
    </xf>
    <xf borderId="77" fillId="0" fontId="44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readingOrder="0"/>
    </xf>
    <xf borderId="78" fillId="2" fontId="5" numFmtId="1" xfId="0" applyAlignment="1" applyBorder="1" applyFont="1" applyNumberFormat="1">
      <alignment horizontal="center" readingOrder="0" vertical="center"/>
    </xf>
    <xf borderId="0" fillId="0" fontId="44" numFmtId="16" xfId="0" applyFont="1" applyNumberFormat="1"/>
    <xf borderId="82" fillId="15" fontId="5" numFmtId="1" xfId="0" applyAlignment="1" applyBorder="1" applyFont="1" applyNumberFormat="1">
      <alignment horizontal="center" vertical="center"/>
    </xf>
    <xf borderId="83" fillId="0" fontId="7" numFmtId="0" xfId="0" applyBorder="1" applyFont="1"/>
    <xf borderId="84" fillId="0" fontId="7" numFmtId="0" xfId="0" applyBorder="1" applyFont="1"/>
    <xf borderId="78" fillId="0" fontId="48" numFmtId="0" xfId="0" applyAlignment="1" applyBorder="1" applyFont="1">
      <alignment horizontal="center"/>
    </xf>
    <xf borderId="72" fillId="0" fontId="5" numFmtId="2" xfId="0" applyAlignment="1" applyBorder="1" applyFont="1" applyNumberFormat="1">
      <alignment horizontal="center" readingOrder="0" vertical="center"/>
    </xf>
    <xf borderId="85" fillId="2" fontId="5" numFmtId="1" xfId="0" applyAlignment="1" applyBorder="1" applyFont="1" applyNumberFormat="1">
      <alignment horizontal="center" vertical="center"/>
    </xf>
    <xf borderId="86" fillId="0" fontId="7" numFmtId="0" xfId="0" applyBorder="1" applyFont="1"/>
    <xf borderId="87" fillId="0" fontId="7" numFmtId="0" xfId="0" applyBorder="1" applyFont="1"/>
    <xf borderId="65" fillId="0" fontId="47" numFmtId="0" xfId="0" applyAlignment="1" applyBorder="1" applyFont="1">
      <alignment horizontal="center" readingOrder="0" vertical="center"/>
    </xf>
    <xf borderId="78" fillId="2" fontId="50" numFmtId="1" xfId="0" applyAlignment="1" applyBorder="1" applyFont="1" applyNumberFormat="1">
      <alignment horizontal="center" readingOrder="0" vertical="center"/>
    </xf>
    <xf borderId="0" fillId="0" fontId="44" numFmtId="166" xfId="0" applyFont="1" applyNumberFormat="1"/>
    <xf borderId="73" fillId="6" fontId="44" numFmtId="1" xfId="0" applyAlignment="1" applyBorder="1" applyFont="1" applyNumberFormat="1">
      <alignment horizontal="center" readingOrder="0" shrinkToFit="0" vertical="center" wrapText="1"/>
    </xf>
    <xf borderId="0" fillId="0" fontId="53" numFmtId="0" xfId="0" applyFont="1"/>
    <xf borderId="73" fillId="0" fontId="54" numFmtId="1" xfId="0" applyAlignment="1" applyBorder="1" applyFont="1" applyNumberFormat="1">
      <alignment horizontal="center" readingOrder="0" shrinkToFit="0" vertical="center" wrapText="1"/>
    </xf>
    <xf borderId="74" fillId="0" fontId="44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/>
    </xf>
    <xf borderId="73" fillId="0" fontId="44" numFmtId="0" xfId="0" applyAlignment="1" applyBorder="1" applyFont="1">
      <alignment horizontal="center" readingOrder="0" shrinkToFit="0" vertical="center" wrapText="1"/>
    </xf>
    <xf borderId="73" fillId="0" fontId="44" numFmtId="0" xfId="0" applyAlignment="1" applyBorder="1" applyFont="1">
      <alignment horizontal="center" readingOrder="0" shrinkToFit="0" wrapText="1"/>
    </xf>
    <xf borderId="88" fillId="0" fontId="7" numFmtId="0" xfId="0" applyBorder="1" applyFont="1"/>
    <xf borderId="73" fillId="0" fontId="55" numFmtId="1" xfId="0" applyAlignment="1" applyBorder="1" applyFont="1" applyNumberFormat="1">
      <alignment horizontal="center" readingOrder="0" shrinkToFit="0" vertical="center" wrapText="1"/>
    </xf>
    <xf borderId="0" fillId="12" fontId="56" numFmtId="0" xfId="0" applyAlignment="1" applyFont="1">
      <alignment horizontal="left" readingOrder="0"/>
    </xf>
    <xf borderId="65" fillId="15" fontId="44" numFmtId="0" xfId="0" applyAlignment="1" applyBorder="1" applyFont="1">
      <alignment horizontal="center"/>
    </xf>
    <xf borderId="70" fillId="0" fontId="5" numFmtId="1" xfId="0" applyAlignment="1" applyBorder="1" applyFont="1" applyNumberFormat="1">
      <alignment horizontal="center" vertical="center"/>
    </xf>
    <xf borderId="46" fillId="0" fontId="5" numFmtId="1" xfId="0" applyAlignment="1" applyBorder="1" applyFont="1" applyNumberFormat="1">
      <alignment horizontal="center" vertical="center"/>
    </xf>
    <xf borderId="70" fillId="15" fontId="5" numFmtId="1" xfId="0" applyAlignment="1" applyBorder="1" applyFont="1" applyNumberFormat="1">
      <alignment horizontal="center" vertical="center"/>
    </xf>
    <xf borderId="46" fillId="15" fontId="5" numFmtId="1" xfId="0" applyAlignment="1" applyBorder="1" applyFont="1" applyNumberFormat="1">
      <alignment horizontal="center" vertical="center"/>
    </xf>
    <xf borderId="89" fillId="15" fontId="5" numFmtId="1" xfId="0" applyAlignment="1" applyBorder="1" applyFont="1" applyNumberFormat="1">
      <alignment horizontal="center" vertical="center"/>
    </xf>
    <xf borderId="90" fillId="15" fontId="5" numFmtId="1" xfId="0" applyAlignment="1" applyBorder="1" applyFont="1" applyNumberFormat="1">
      <alignment horizontal="center" vertical="center"/>
    </xf>
    <xf borderId="91" fillId="15" fontId="5" numFmtId="1" xfId="0" applyAlignment="1" applyBorder="1" applyFont="1" applyNumberFormat="1">
      <alignment horizontal="center" vertical="center"/>
    </xf>
    <xf borderId="66" fillId="0" fontId="5" numFmtId="1" xfId="0" applyAlignment="1" applyBorder="1" applyFont="1" applyNumberFormat="1">
      <alignment horizontal="center" vertical="center"/>
    </xf>
    <xf borderId="92" fillId="0" fontId="5" numFmtId="1" xfId="0" applyAlignment="1" applyBorder="1" applyFont="1" applyNumberFormat="1">
      <alignment horizontal="center" vertical="center"/>
    </xf>
    <xf borderId="91" fillId="0" fontId="5" numFmtId="1" xfId="0" applyAlignment="1" applyBorder="1" applyFont="1" applyNumberFormat="1">
      <alignment horizontal="center" vertical="center"/>
    </xf>
    <xf borderId="93" fillId="0" fontId="44" numFmtId="1" xfId="0" applyAlignment="1" applyBorder="1" applyFont="1" applyNumberFormat="1">
      <alignment horizontal="center" readingOrder="0" shrinkToFit="0" vertical="center" wrapText="1"/>
    </xf>
    <xf borderId="94" fillId="0" fontId="44" numFmtId="1" xfId="0" applyAlignment="1" applyBorder="1" applyFont="1" applyNumberFormat="1">
      <alignment horizontal="center" readingOrder="0" shrinkToFit="0" vertical="center" wrapText="1"/>
    </xf>
    <xf borderId="95" fillId="15" fontId="5" numFmtId="1" xfId="0" applyAlignment="1" applyBorder="1" applyFont="1" applyNumberFormat="1">
      <alignment horizontal="center" vertical="center"/>
    </xf>
    <xf borderId="96" fillId="0" fontId="7" numFmtId="0" xfId="0" applyBorder="1" applyFont="1"/>
    <xf borderId="0" fillId="0" fontId="52" numFmtId="1" xfId="0" applyAlignment="1" applyFont="1" applyNumberFormat="1">
      <alignment horizontal="center" vertical="center"/>
    </xf>
    <xf borderId="0" fillId="0" fontId="52" numFmtId="1" xfId="0" applyAlignment="1" applyFont="1" applyNumberFormat="1">
      <alignment horizontal="center" shrinkToFit="0" vertical="center" wrapText="1"/>
    </xf>
    <xf borderId="85" fillId="15" fontId="5" numFmtId="1" xfId="0" applyAlignment="1" applyBorder="1" applyFont="1" applyNumberFormat="1">
      <alignment horizontal="center" vertical="center"/>
    </xf>
    <xf borderId="92" fillId="0" fontId="5" numFmtId="1" xfId="0" applyAlignment="1" applyBorder="1" applyFont="1" applyNumberFormat="1">
      <alignment horizontal="center" shrinkToFit="0" vertical="center" wrapText="1"/>
    </xf>
    <xf borderId="97" fillId="0" fontId="44" numFmtId="1" xfId="0" applyAlignment="1" applyBorder="1" applyFont="1" applyNumberFormat="1">
      <alignment horizontal="center" readingOrder="0" shrinkToFit="0" vertical="center" wrapText="1"/>
    </xf>
    <xf borderId="98" fillId="0" fontId="44" numFmtId="1" xfId="0" applyAlignment="1" applyBorder="1" applyFont="1" applyNumberFormat="1">
      <alignment horizontal="center" readingOrder="0" shrinkToFit="0" vertical="center" wrapText="1"/>
    </xf>
    <xf borderId="61" fillId="0" fontId="44" numFmtId="1" xfId="0" applyAlignment="1" applyBorder="1" applyFont="1" applyNumberFormat="1">
      <alignment horizontal="center" readingOrder="0" shrinkToFit="0" vertical="center" wrapText="1"/>
    </xf>
    <xf borderId="99" fillId="0" fontId="44" numFmtId="1" xfId="0" applyAlignment="1" applyBorder="1" applyFont="1" applyNumberFormat="1">
      <alignment horizontal="center" readingOrder="0" shrinkToFit="0" vertical="center" wrapText="1"/>
    </xf>
    <xf borderId="0" fillId="0" fontId="57" numFmtId="0" xfId="0" applyAlignment="1" applyFont="1">
      <alignment horizontal="center" readingOrder="0" vertical="center"/>
    </xf>
    <xf borderId="70" fillId="0" fontId="47" numFmtId="0" xfId="0" applyAlignment="1" applyBorder="1" applyFont="1">
      <alignment horizontal="center" shrinkToFit="0" vertical="center" wrapText="1"/>
    </xf>
    <xf borderId="46" fillId="0" fontId="47" numFmtId="0" xfId="0" applyAlignment="1" applyBorder="1" applyFont="1">
      <alignment horizontal="center" shrinkToFit="0" vertical="center" wrapText="1"/>
    </xf>
    <xf borderId="51" fillId="0" fontId="47" numFmtId="0" xfId="0" applyAlignment="1" applyBorder="1" applyFont="1">
      <alignment horizontal="center" readingOrder="0" shrinkToFit="0" vertical="center" wrapText="1"/>
    </xf>
    <xf borderId="51" fillId="0" fontId="47" numFmtId="0" xfId="0" applyAlignment="1" applyBorder="1" applyFont="1">
      <alignment horizontal="center" shrinkToFit="0" vertical="center" wrapText="1"/>
    </xf>
    <xf borderId="72" fillId="0" fontId="27" numFmtId="2" xfId="0" applyAlignment="1" applyBorder="1" applyFont="1" applyNumberFormat="1">
      <alignment horizontal="center" vertical="center"/>
    </xf>
    <xf borderId="73" fillId="0" fontId="27" numFmtId="1" xfId="0" applyAlignment="1" applyBorder="1" applyFont="1" applyNumberFormat="1">
      <alignment horizontal="center" readingOrder="0" shrinkToFit="0" vertical="center" wrapText="1"/>
    </xf>
    <xf borderId="73" fillId="0" fontId="33" numFmtId="0" xfId="0" applyAlignment="1" applyBorder="1" applyFont="1">
      <alignment horizontal="center" readingOrder="0" shrinkToFit="0" vertical="center" wrapText="1"/>
    </xf>
    <xf borderId="73" fillId="0" fontId="27" numFmtId="1" xfId="0" applyAlignment="1" applyBorder="1" applyFont="1" applyNumberFormat="1">
      <alignment horizontal="center" shrinkToFit="0" vertical="center" wrapText="1"/>
    </xf>
    <xf borderId="74" fillId="0" fontId="33" numFmtId="1" xfId="0" applyAlignment="1" applyBorder="1" applyFont="1" applyNumberFormat="1">
      <alignment horizontal="center" readingOrder="0" shrinkToFit="0" vertical="center" wrapText="1"/>
    </xf>
    <xf borderId="75" fillId="0" fontId="33" numFmtId="1" xfId="0" applyAlignment="1" applyBorder="1" applyFont="1" applyNumberFormat="1">
      <alignment horizontal="center" readingOrder="0" shrinkToFit="0" vertical="center" wrapText="1"/>
    </xf>
    <xf borderId="73" fillId="0" fontId="33" numFmtId="1" xfId="0" applyAlignment="1" applyBorder="1" applyFont="1" applyNumberFormat="1">
      <alignment horizontal="center" shrinkToFit="0" vertical="center" wrapText="1"/>
    </xf>
    <xf borderId="77" fillId="0" fontId="33" numFmtId="1" xfId="0" applyAlignment="1" applyBorder="1" applyFont="1" applyNumberFormat="1">
      <alignment horizontal="center" readingOrder="0" shrinkToFit="0" vertical="center" wrapText="1"/>
    </xf>
    <xf borderId="62" fillId="0" fontId="33" numFmtId="1" xfId="0" applyAlignment="1" applyBorder="1" applyFont="1" applyNumberFormat="1">
      <alignment horizontal="center" readingOrder="0" shrinkToFit="0" vertical="center" wrapText="1"/>
    </xf>
    <xf borderId="78" fillId="2" fontId="58" numFmtId="1" xfId="0" applyAlignment="1" applyBorder="1" applyFont="1" applyNumberFormat="1">
      <alignment horizontal="center" vertical="center"/>
    </xf>
    <xf borderId="73" fillId="0" fontId="33" numFmtId="1" xfId="0" applyAlignment="1" applyBorder="1" applyFont="1" applyNumberFormat="1">
      <alignment horizontal="center" readingOrder="0" shrinkToFit="0" vertical="center" wrapText="1"/>
    </xf>
    <xf borderId="78" fillId="2" fontId="27" numFmtId="1" xfId="0" applyAlignment="1" applyBorder="1" applyFont="1" applyNumberFormat="1">
      <alignment horizontal="center" vertical="center"/>
    </xf>
    <xf borderId="72" fillId="0" fontId="27" numFmtId="2" xfId="0" applyAlignment="1" applyBorder="1" applyFont="1" applyNumberFormat="1">
      <alignment horizontal="center" readingOrder="0" vertical="center"/>
    </xf>
    <xf borderId="73" fillId="0" fontId="27" numFmtId="1" xfId="0" applyAlignment="1" applyBorder="1" applyFont="1" applyNumberFormat="1">
      <alignment horizontal="center" readingOrder="0" vertical="center"/>
    </xf>
    <xf borderId="93" fillId="0" fontId="33" numFmtId="1" xfId="0" applyAlignment="1" applyBorder="1" applyFont="1" applyNumberFormat="1">
      <alignment horizontal="center" readingOrder="0" shrinkToFit="0" vertical="center" wrapText="1"/>
    </xf>
    <xf borderId="94" fillId="0" fontId="33" numFmtId="1" xfId="0" applyAlignment="1" applyBorder="1" applyFont="1" applyNumberFormat="1">
      <alignment horizontal="center" readingOrder="0" shrinkToFit="0" vertical="center" wrapText="1"/>
    </xf>
    <xf borderId="78" fillId="2" fontId="20" numFmtId="1" xfId="0" applyAlignment="1" applyBorder="1" applyFont="1" applyNumberFormat="1">
      <alignment horizontal="center" vertical="center"/>
    </xf>
    <xf borderId="78" fillId="0" fontId="59" numFmtId="1" xfId="0" applyAlignment="1" applyBorder="1" applyFont="1" applyNumberFormat="1">
      <alignment horizontal="center" vertical="center"/>
    </xf>
    <xf borderId="79" fillId="0" fontId="59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5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95250</xdr:rowOff>
    </xdr:from>
    <xdr:ext cx="771525" cy="8477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57150</xdr:colOff>
      <xdr:row>0</xdr:row>
      <xdr:rowOff>95250</xdr:rowOff>
    </xdr:from>
    <xdr:ext cx="1981200" cy="8858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0</xdr:rowOff>
    </xdr:from>
    <xdr:ext cx="1104900" cy="12001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57150</xdr:colOff>
      <xdr:row>0</xdr:row>
      <xdr:rowOff>95250</xdr:rowOff>
    </xdr:from>
    <xdr:ext cx="1981200" cy="8858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400050</xdr:colOff>
      <xdr:row>0</xdr:row>
      <xdr:rowOff>47625</xdr:rowOff>
    </xdr:from>
    <xdr:ext cx="895350" cy="485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19050</xdr:rowOff>
    </xdr:from>
    <xdr:ext cx="523875" cy="5238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0</xdr:row>
      <xdr:rowOff>76200</xdr:rowOff>
    </xdr:from>
    <xdr:ext cx="971550" cy="933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7</xdr:row>
      <xdr:rowOff>142875</xdr:rowOff>
    </xdr:from>
    <xdr:ext cx="742950" cy="26384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0</xdr:rowOff>
    </xdr:from>
    <xdr:ext cx="1390650" cy="619125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0</xdr:row>
      <xdr:rowOff>123825</xdr:rowOff>
    </xdr:from>
    <xdr:ext cx="1219200" cy="61912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0</xdr:row>
      <xdr:rowOff>0</xdr:rowOff>
    </xdr:from>
    <xdr:ext cx="790575" cy="7620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7</xdr:row>
      <xdr:rowOff>171450</xdr:rowOff>
    </xdr:from>
    <xdr:ext cx="742950" cy="2638425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28575</xdr:rowOff>
    </xdr:from>
    <xdr:ext cx="723900" cy="762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95250</xdr:rowOff>
    </xdr:from>
    <xdr:ext cx="1352550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47625</xdr:rowOff>
    </xdr:from>
    <xdr:ext cx="676275" cy="704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0</xdr:row>
      <xdr:rowOff>57150</xdr:rowOff>
    </xdr:from>
    <xdr:ext cx="1362075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57150</xdr:rowOff>
    </xdr:from>
    <xdr:ext cx="695325" cy="7239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85725</xdr:rowOff>
    </xdr:from>
    <xdr:ext cx="1352550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85725</xdr:rowOff>
    </xdr:from>
    <xdr:ext cx="685800" cy="714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0</xdr:row>
      <xdr:rowOff>66675</xdr:rowOff>
    </xdr:from>
    <xdr:ext cx="1352550" cy="6096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85725</xdr:rowOff>
    </xdr:from>
    <xdr:ext cx="685800" cy="714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0</xdr:row>
      <xdr:rowOff>114300</xdr:rowOff>
    </xdr:from>
    <xdr:ext cx="1362075" cy="6096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85725</xdr:rowOff>
    </xdr:from>
    <xdr:ext cx="695325" cy="7143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85725</xdr:rowOff>
    </xdr:from>
    <xdr:ext cx="1352550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66675</xdr:rowOff>
    </xdr:from>
    <xdr:ext cx="704850" cy="733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85725</xdr:rowOff>
    </xdr:from>
    <xdr:ext cx="1352550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66675</xdr:rowOff>
    </xdr:from>
    <xdr:ext cx="695325" cy="733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85725</xdr:rowOff>
    </xdr:from>
    <xdr:ext cx="1362075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57150</xdr:rowOff>
    </xdr:from>
    <xdr:ext cx="723900" cy="7620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66675</xdr:rowOff>
    </xdr:from>
    <xdr:ext cx="1362075" cy="6096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0</xdr:row>
      <xdr:rowOff>114300</xdr:rowOff>
    </xdr:from>
    <xdr:ext cx="1352550" cy="6096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0</xdr:row>
      <xdr:rowOff>9525</xdr:rowOff>
    </xdr:from>
    <xdr:ext cx="723900" cy="7620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47625</xdr:rowOff>
    </xdr:from>
    <xdr:ext cx="723900" cy="752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0</xdr:row>
      <xdr:rowOff>95250</xdr:rowOff>
    </xdr:from>
    <xdr:ext cx="1457325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95250</xdr:rowOff>
    </xdr:from>
    <xdr:ext cx="647700" cy="6096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0</xdr:row>
      <xdr:rowOff>95250</xdr:rowOff>
    </xdr:from>
    <xdr:ext cx="1571625" cy="60007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8.14"/>
    <col customWidth="1" min="3" max="3" width="10.14"/>
    <col customWidth="1" min="4" max="7" width="7.0"/>
    <col customWidth="1" min="8" max="8" width="0.86"/>
    <col customWidth="1" min="9" max="12" width="7.0"/>
    <col customWidth="1" min="13" max="13" width="0.86"/>
    <col customWidth="1" min="14" max="17" width="7.0"/>
    <col customWidth="1" min="18" max="18" width="0.86"/>
    <col customWidth="1" min="19" max="22" width="7.0"/>
    <col customWidth="1" min="23" max="23" width="0.86"/>
    <col customWidth="1" min="24" max="27" width="7.0"/>
    <col customWidth="1" min="28" max="28" width="0.86"/>
    <col customWidth="1" min="29" max="29" width="10.71"/>
    <col customWidth="1" min="30" max="30" width="13.29"/>
    <col customWidth="1" min="31" max="31" width="7.71"/>
  </cols>
  <sheetData>
    <row r="1" ht="14.25" customHeight="1">
      <c r="B1" s="1"/>
      <c r="C1" s="2"/>
    </row>
    <row r="2" ht="12.75" customHeight="1">
      <c r="B2" s="1"/>
      <c r="C2" s="3" t="s">
        <v>0</v>
      </c>
    </row>
    <row r="3" ht="12.75" customHeight="1">
      <c r="B3" s="1"/>
    </row>
    <row r="4" ht="12.75" customHeight="1">
      <c r="B4" s="1"/>
    </row>
    <row r="5" ht="14.25" customHeight="1">
      <c r="B5" s="1"/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4.25" customHeight="1">
      <c r="B6" s="1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AE6" s="5"/>
    </row>
    <row r="7" ht="15.0" customHeight="1">
      <c r="B7" s="1"/>
      <c r="C7" s="2"/>
      <c r="AE7" s="5"/>
    </row>
    <row r="8" ht="12.75" customHeight="1">
      <c r="B8" s="6"/>
      <c r="C8" s="7" t="s">
        <v>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</row>
    <row r="9" ht="12.75" customHeight="1">
      <c r="B9" s="10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ht="23.25" customHeight="1">
      <c r="A10" s="15"/>
      <c r="B10" s="16"/>
      <c r="C10" s="17"/>
      <c r="D10" s="18" t="s">
        <v>2</v>
      </c>
      <c r="E10" s="19"/>
      <c r="F10" s="18" t="s">
        <v>3</v>
      </c>
      <c r="G10" s="19"/>
      <c r="H10" s="20"/>
      <c r="I10" s="18" t="s">
        <v>4</v>
      </c>
      <c r="J10" s="19"/>
      <c r="K10" s="18" t="s">
        <v>5</v>
      </c>
      <c r="L10" s="19"/>
      <c r="M10" s="20"/>
      <c r="N10" s="18" t="s">
        <v>6</v>
      </c>
      <c r="O10" s="19"/>
      <c r="P10" s="18" t="s">
        <v>7</v>
      </c>
      <c r="Q10" s="19"/>
      <c r="R10" s="20"/>
      <c r="S10" s="18" t="s">
        <v>8</v>
      </c>
      <c r="T10" s="19"/>
      <c r="U10" s="18" t="s">
        <v>9</v>
      </c>
      <c r="V10" s="19"/>
      <c r="W10" s="20"/>
      <c r="X10" s="18" t="s">
        <v>10</v>
      </c>
      <c r="Y10" s="19"/>
      <c r="Z10" s="18" t="s">
        <v>11</v>
      </c>
      <c r="AA10" s="19"/>
      <c r="AB10" s="20"/>
      <c r="AC10" s="18" t="s">
        <v>12</v>
      </c>
      <c r="AD10" s="21"/>
      <c r="AE10" s="15"/>
    </row>
    <row r="11" ht="15.75" customHeight="1">
      <c r="A11" s="22"/>
      <c r="B11" s="23"/>
      <c r="C11" s="24"/>
      <c r="D11" s="25" t="s">
        <v>13</v>
      </c>
      <c r="E11" s="26" t="s">
        <v>14</v>
      </c>
      <c r="F11" s="25" t="s">
        <v>13</v>
      </c>
      <c r="G11" s="26" t="s">
        <v>14</v>
      </c>
      <c r="H11" s="27"/>
      <c r="I11" s="25" t="s">
        <v>13</v>
      </c>
      <c r="J11" s="26" t="s">
        <v>14</v>
      </c>
      <c r="K11" s="25" t="s">
        <v>13</v>
      </c>
      <c r="L11" s="26" t="s">
        <v>14</v>
      </c>
      <c r="M11" s="27"/>
      <c r="N11" s="25" t="s">
        <v>13</v>
      </c>
      <c r="O11" s="26" t="s">
        <v>14</v>
      </c>
      <c r="P11" s="25" t="s">
        <v>13</v>
      </c>
      <c r="Q11" s="26" t="s">
        <v>14</v>
      </c>
      <c r="R11" s="27"/>
      <c r="S11" s="25" t="s">
        <v>13</v>
      </c>
      <c r="T11" s="26" t="s">
        <v>14</v>
      </c>
      <c r="U11" s="25" t="s">
        <v>13</v>
      </c>
      <c r="V11" s="26" t="s">
        <v>14</v>
      </c>
      <c r="W11" s="27"/>
      <c r="X11" s="25" t="s">
        <v>13</v>
      </c>
      <c r="Y11" s="26" t="s">
        <v>14</v>
      </c>
      <c r="Z11" s="25" t="s">
        <v>13</v>
      </c>
      <c r="AA11" s="26" t="s">
        <v>14</v>
      </c>
      <c r="AB11" s="27"/>
      <c r="AC11" s="25" t="s">
        <v>13</v>
      </c>
      <c r="AD11" s="28" t="s">
        <v>14</v>
      </c>
      <c r="AE11" s="22"/>
    </row>
    <row r="12" ht="7.5" customHeight="1">
      <c r="A12" s="22"/>
      <c r="B12" s="29"/>
      <c r="C12" s="30"/>
      <c r="D12" s="31"/>
      <c r="E12" s="32"/>
      <c r="F12" s="31"/>
      <c r="G12" s="32"/>
      <c r="H12" s="32"/>
      <c r="I12" s="31"/>
      <c r="J12" s="32"/>
      <c r="K12" s="31"/>
      <c r="L12" s="32"/>
      <c r="M12" s="32"/>
      <c r="N12" s="31"/>
      <c r="O12" s="32"/>
      <c r="P12" s="31"/>
      <c r="Q12" s="32"/>
      <c r="R12" s="32"/>
      <c r="S12" s="31"/>
      <c r="T12" s="32"/>
      <c r="U12" s="31"/>
      <c r="V12" s="32"/>
      <c r="W12" s="32"/>
      <c r="X12" s="31"/>
      <c r="Y12" s="32"/>
      <c r="Z12" s="31"/>
      <c r="AA12" s="32"/>
      <c r="AB12" s="32"/>
      <c r="AC12" s="31"/>
      <c r="AD12" s="33"/>
      <c r="AE12" s="22"/>
    </row>
    <row r="13" ht="15.75" customHeight="1">
      <c r="A13" s="22"/>
      <c r="B13" s="34" t="s">
        <v>15</v>
      </c>
      <c r="C13" s="35" t="s">
        <v>16</v>
      </c>
      <c r="D13" s="36">
        <f>'Day 1'!J25</f>
        <v>43</v>
      </c>
      <c r="E13" s="37">
        <f>'Day 1'!L25</f>
        <v>6</v>
      </c>
      <c r="F13" s="38">
        <f>D13+D14</f>
        <v>79</v>
      </c>
      <c r="G13" s="39">
        <f>SUM(E13+E14)</f>
        <v>10</v>
      </c>
      <c r="H13" s="40"/>
      <c r="I13" s="36">
        <f>'Day 2 '!J60</f>
        <v>27</v>
      </c>
      <c r="J13" s="37">
        <f>'Day 2 '!L60</f>
        <v>2</v>
      </c>
      <c r="K13" s="38">
        <f t="shared" ref="K13:L13" si="1">I13+I14</f>
        <v>58</v>
      </c>
      <c r="L13" s="39">
        <f t="shared" si="1"/>
        <v>4</v>
      </c>
      <c r="M13" s="40"/>
      <c r="N13" s="36">
        <f>'Day 3'!J95</f>
        <v>42</v>
      </c>
      <c r="O13" s="37">
        <f>'Day 3'!L95</f>
        <v>5</v>
      </c>
      <c r="P13" s="38">
        <f t="shared" ref="P13:Q13" si="2">N13+N14</f>
        <v>75</v>
      </c>
      <c r="Q13" s="39">
        <f t="shared" si="2"/>
        <v>8</v>
      </c>
      <c r="R13" s="40"/>
      <c r="S13" s="36">
        <f>'Day 4'!J95</f>
        <v>33</v>
      </c>
      <c r="T13" s="37">
        <f>'Day 4'!L95</f>
        <v>3</v>
      </c>
      <c r="U13" s="38">
        <f t="shared" ref="U13:V13" si="3">S13+S14</f>
        <v>73</v>
      </c>
      <c r="V13" s="39">
        <f t="shared" si="3"/>
        <v>9</v>
      </c>
      <c r="W13" s="40"/>
      <c r="X13" s="36">
        <f>'Day 5'!J25</f>
        <v>26</v>
      </c>
      <c r="Y13" s="37">
        <f>'Day 5'!L25</f>
        <v>3</v>
      </c>
      <c r="Z13" s="38">
        <f t="shared" ref="Z13:AA13" si="4">X13+X14</f>
        <v>70</v>
      </c>
      <c r="AA13" s="39">
        <f t="shared" si="4"/>
        <v>9</v>
      </c>
      <c r="AB13" s="40"/>
      <c r="AC13" s="41">
        <f>D13+D14+I13+I14+N13+N14+S13+S14+X13+X14</f>
        <v>355</v>
      </c>
      <c r="AD13" s="42">
        <f>SUM(G13+G14+L13+L14+Q13+Q14+V13+V14+AA13+AA14)</f>
        <v>40</v>
      </c>
      <c r="AE13" s="22"/>
    </row>
    <row r="14" ht="15.75" customHeight="1">
      <c r="A14" s="22"/>
      <c r="B14" s="43"/>
      <c r="C14" s="44" t="s">
        <v>17</v>
      </c>
      <c r="D14" s="36">
        <f>'Day 1'!J40</f>
        <v>36</v>
      </c>
      <c r="E14" s="37">
        <f>'Day 1'!L40</f>
        <v>4</v>
      </c>
      <c r="F14" s="45"/>
      <c r="G14" s="45"/>
      <c r="H14" s="40"/>
      <c r="I14" s="36">
        <f>'Day 2 '!J75</f>
        <v>31</v>
      </c>
      <c r="J14" s="37">
        <f>'Day 2 '!L75</f>
        <v>2</v>
      </c>
      <c r="K14" s="45"/>
      <c r="L14" s="45"/>
      <c r="M14" s="40"/>
      <c r="N14" s="36">
        <f>'Day 3'!J110</f>
        <v>33</v>
      </c>
      <c r="O14" s="37">
        <f>'Day 3'!L110</f>
        <v>3</v>
      </c>
      <c r="P14" s="45"/>
      <c r="Q14" s="45"/>
      <c r="R14" s="40"/>
      <c r="S14" s="36">
        <f>'Day 4'!J110</f>
        <v>40</v>
      </c>
      <c r="T14" s="37">
        <f>'Day 4'!L110</f>
        <v>6</v>
      </c>
      <c r="U14" s="45"/>
      <c r="V14" s="45"/>
      <c r="W14" s="40"/>
      <c r="X14" s="36">
        <f>'Day 5'!J40</f>
        <v>44</v>
      </c>
      <c r="Y14" s="37">
        <f>'Day 5'!L40</f>
        <v>6</v>
      </c>
      <c r="Z14" s="45"/>
      <c r="AA14" s="45"/>
      <c r="AB14" s="40"/>
      <c r="AC14" s="46"/>
      <c r="AD14" s="47"/>
      <c r="AE14" s="22"/>
    </row>
    <row r="15" ht="3.75" customHeight="1">
      <c r="A15" s="22"/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22"/>
    </row>
    <row r="16" ht="15.75" customHeight="1">
      <c r="A16" s="22"/>
      <c r="B16" s="34" t="s">
        <v>18</v>
      </c>
      <c r="C16" s="44" t="s">
        <v>16</v>
      </c>
      <c r="D16" s="36">
        <f>'Day 1'!J95</f>
        <v>32</v>
      </c>
      <c r="E16" s="37">
        <f>'Day 1'!L95</f>
        <v>4</v>
      </c>
      <c r="F16" s="38">
        <f>SUM(D16+D17)</f>
        <v>64</v>
      </c>
      <c r="G16" s="39">
        <f>SUM(E16:E17)</f>
        <v>7</v>
      </c>
      <c r="H16" s="40"/>
      <c r="I16" s="36">
        <f>'Day 2 '!J25</f>
        <v>50</v>
      </c>
      <c r="J16" s="37">
        <f>'Day 2 '!L25</f>
        <v>6</v>
      </c>
      <c r="K16" s="38">
        <f t="shared" ref="K16:L16" si="5">SUM(I16+I17)</f>
        <v>87</v>
      </c>
      <c r="L16" s="39">
        <f t="shared" si="5"/>
        <v>9</v>
      </c>
      <c r="M16" s="40"/>
      <c r="N16" s="36">
        <f>'Day 3'!K60</f>
        <v>31</v>
      </c>
      <c r="O16" s="37">
        <f>'Day 3'!M60</f>
        <v>3</v>
      </c>
      <c r="P16" s="38">
        <f t="shared" ref="P16:Q16" si="6">SUM(N16+N17)</f>
        <v>72</v>
      </c>
      <c r="Q16" s="39">
        <f t="shared" si="6"/>
        <v>8</v>
      </c>
      <c r="R16" s="40"/>
      <c r="S16" s="36">
        <f>'Day 4'!K95</f>
        <v>36</v>
      </c>
      <c r="T16" s="37">
        <f>'Day 4'!M95</f>
        <v>5</v>
      </c>
      <c r="U16" s="38">
        <f>SUM(S16+S17)</f>
        <v>64</v>
      </c>
      <c r="V16" s="39">
        <f>T16+T17</f>
        <v>7</v>
      </c>
      <c r="W16" s="40"/>
      <c r="X16" s="36">
        <f>'Day 5'!J60</f>
        <v>31</v>
      </c>
      <c r="Y16" s="37">
        <f>'Day 5'!L60</f>
        <v>4</v>
      </c>
      <c r="Z16" s="38">
        <f t="shared" ref="Z16:AA16" si="7">SUM(X16+X17)</f>
        <v>75</v>
      </c>
      <c r="AA16" s="39">
        <f t="shared" si="7"/>
        <v>11</v>
      </c>
      <c r="AB16" s="40"/>
      <c r="AC16" s="41">
        <f>D16+D17+I16+I17+N16+N17+S16+S17+X16+X17</f>
        <v>362</v>
      </c>
      <c r="AD16" s="42">
        <f>SUM(G16+G17+L16+L17+Q16+Q17+V16+V17+AA16+AA17)</f>
        <v>42</v>
      </c>
      <c r="AE16" s="22"/>
    </row>
    <row r="17" ht="16.5" customHeight="1">
      <c r="A17" s="22"/>
      <c r="B17" s="43"/>
      <c r="C17" s="44" t="s">
        <v>17</v>
      </c>
      <c r="D17" s="36">
        <f>'Day 1'!J110</f>
        <v>32</v>
      </c>
      <c r="E17" s="37">
        <f>'Day 1'!L110</f>
        <v>3</v>
      </c>
      <c r="F17" s="45"/>
      <c r="G17" s="45"/>
      <c r="H17" s="40"/>
      <c r="I17" s="36">
        <f>'Day 2 '!J40</f>
        <v>37</v>
      </c>
      <c r="J17" s="37">
        <f>'Day 2 '!L40</f>
        <v>3</v>
      </c>
      <c r="K17" s="45"/>
      <c r="L17" s="45"/>
      <c r="M17" s="40"/>
      <c r="N17" s="36">
        <f>'Day 3'!K75</f>
        <v>41</v>
      </c>
      <c r="O17" s="37">
        <f>'Day 3'!M75</f>
        <v>5</v>
      </c>
      <c r="P17" s="45"/>
      <c r="Q17" s="45"/>
      <c r="R17" s="40"/>
      <c r="S17" s="51">
        <f>'Day 4'!K110</f>
        <v>28</v>
      </c>
      <c r="T17" s="52">
        <f>'Day 4'!M110</f>
        <v>2</v>
      </c>
      <c r="U17" s="45"/>
      <c r="V17" s="45"/>
      <c r="W17" s="40"/>
      <c r="X17" s="36">
        <f>'Day 5'!J75</f>
        <v>44</v>
      </c>
      <c r="Y17" s="37">
        <f>'Day 5'!L75</f>
        <v>7</v>
      </c>
      <c r="Z17" s="45"/>
      <c r="AA17" s="45"/>
      <c r="AB17" s="40"/>
      <c r="AC17" s="46"/>
      <c r="AD17" s="47"/>
      <c r="AE17" s="22"/>
    </row>
    <row r="18" ht="3.75" customHeight="1">
      <c r="A18" s="22"/>
      <c r="B18" s="48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22"/>
    </row>
    <row r="19" ht="15.75" customHeight="1">
      <c r="A19" s="22"/>
      <c r="B19" s="34" t="s">
        <v>19</v>
      </c>
      <c r="C19" s="44" t="s">
        <v>16</v>
      </c>
      <c r="D19" s="36">
        <f>'Day 1'!K25</f>
        <v>29</v>
      </c>
      <c r="E19" s="37">
        <f>'Day 1'!M25</f>
        <v>2</v>
      </c>
      <c r="F19" s="38">
        <f t="shared" ref="F19:G19" si="8">D19+D20</f>
        <v>66</v>
      </c>
      <c r="G19" s="39">
        <f t="shared" si="8"/>
        <v>6</v>
      </c>
      <c r="H19" s="40"/>
      <c r="I19" s="36">
        <f>'Day 2 '!J95</f>
        <v>41</v>
      </c>
      <c r="J19" s="37">
        <f>'Day 2 '!L95</f>
        <v>6</v>
      </c>
      <c r="K19" s="38">
        <f t="shared" ref="K19:L19" si="9">I19+I20</f>
        <v>80</v>
      </c>
      <c r="L19" s="39">
        <f t="shared" si="9"/>
        <v>11</v>
      </c>
      <c r="M19" s="40"/>
      <c r="N19" s="36">
        <f>'Day 3'!J25</f>
        <v>16</v>
      </c>
      <c r="O19" s="37">
        <f>'Day 3'!L25</f>
        <v>0</v>
      </c>
      <c r="P19" s="38">
        <f t="shared" ref="P19:Q19" si="10">N19+N20</f>
        <v>54</v>
      </c>
      <c r="Q19" s="39">
        <f t="shared" si="10"/>
        <v>3</v>
      </c>
      <c r="R19" s="40"/>
      <c r="S19" s="36">
        <f>'Day 4'!J60</f>
        <v>36</v>
      </c>
      <c r="T19" s="37">
        <f>'Day 4'!L60</f>
        <v>3</v>
      </c>
      <c r="U19" s="38">
        <f t="shared" ref="U19:V19" si="11">S19+S20</f>
        <v>81</v>
      </c>
      <c r="V19" s="39">
        <f t="shared" si="11"/>
        <v>8</v>
      </c>
      <c r="W19" s="40"/>
      <c r="X19" s="36">
        <f>'Day 5'!K60</f>
        <v>37</v>
      </c>
      <c r="Y19" s="37">
        <f>'Day 5'!M60</f>
        <v>4</v>
      </c>
      <c r="Z19" s="38">
        <f>X19+X20</f>
        <v>67</v>
      </c>
      <c r="AA19" s="39">
        <f>SUM(Y19+Y20)</f>
        <v>5</v>
      </c>
      <c r="AB19" s="40"/>
      <c r="AC19" s="41">
        <f>D19+D20+I19+I20+N19+N20+S19+S20+X19+X20</f>
        <v>348</v>
      </c>
      <c r="AD19" s="42">
        <f>SUM(E19+E20+J19+J20+O19+O20+T19+T20+Y19+Y20)</f>
        <v>33</v>
      </c>
      <c r="AE19" s="22"/>
    </row>
    <row r="20" ht="16.5" customHeight="1">
      <c r="A20" s="22"/>
      <c r="B20" s="43"/>
      <c r="C20" s="44" t="s">
        <v>17</v>
      </c>
      <c r="D20" s="51">
        <f>'Day 1'!K40</f>
        <v>37</v>
      </c>
      <c r="E20" s="52">
        <f>'Day 1'!M40</f>
        <v>4</v>
      </c>
      <c r="F20" s="45"/>
      <c r="G20" s="45"/>
      <c r="H20" s="40"/>
      <c r="I20" s="36">
        <f>'Day 2 '!J110</f>
        <v>39</v>
      </c>
      <c r="J20" s="37">
        <f>'Day 2 '!L110</f>
        <v>5</v>
      </c>
      <c r="K20" s="45"/>
      <c r="L20" s="45"/>
      <c r="M20" s="40"/>
      <c r="N20" s="36">
        <f>'Day 3'!J40</f>
        <v>38</v>
      </c>
      <c r="O20" s="37">
        <f>'Day 3'!L40</f>
        <v>3</v>
      </c>
      <c r="P20" s="45"/>
      <c r="Q20" s="45"/>
      <c r="R20" s="40"/>
      <c r="S20" s="36">
        <f>'Day 4'!J75</f>
        <v>45</v>
      </c>
      <c r="T20" s="37">
        <f>'Day 4'!L75</f>
        <v>5</v>
      </c>
      <c r="U20" s="45"/>
      <c r="V20" s="45"/>
      <c r="W20" s="40"/>
      <c r="X20" s="36">
        <f>'Day 5'!K75</f>
        <v>30</v>
      </c>
      <c r="Y20" s="37">
        <f>'Day 5'!M75</f>
        <v>1</v>
      </c>
      <c r="Z20" s="45"/>
      <c r="AA20" s="45"/>
      <c r="AB20" s="40"/>
      <c r="AC20" s="46"/>
      <c r="AD20" s="47"/>
      <c r="AE20" s="22"/>
    </row>
    <row r="21" ht="3.75" customHeight="1">
      <c r="A21" s="22"/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22"/>
    </row>
    <row r="22" ht="15.75" customHeight="1">
      <c r="A22" s="22"/>
      <c r="B22" s="34" t="s">
        <v>20</v>
      </c>
      <c r="C22" s="44" t="s">
        <v>16</v>
      </c>
      <c r="D22" s="36">
        <f>'Day 1'!J60</f>
        <v>46</v>
      </c>
      <c r="E22" s="37">
        <f>'Day 1'!L60</f>
        <v>7</v>
      </c>
      <c r="F22" s="38">
        <f>D22+D23</f>
        <v>87</v>
      </c>
      <c r="G22" s="39">
        <f>SUM(E22+E23)</f>
        <v>12</v>
      </c>
      <c r="H22" s="40"/>
      <c r="I22" s="36">
        <f>'Day 2 '!K95</f>
        <v>23</v>
      </c>
      <c r="J22" s="37">
        <f>'Day 2 '!M95</f>
        <v>2</v>
      </c>
      <c r="K22" s="38">
        <f t="shared" ref="K22:L22" si="12">I22+I23</f>
        <v>63</v>
      </c>
      <c r="L22" s="39">
        <f t="shared" si="12"/>
        <v>5</v>
      </c>
      <c r="M22" s="40"/>
      <c r="N22" s="36">
        <f>'Day 3'!J60</f>
        <v>38</v>
      </c>
      <c r="O22" s="37">
        <f>'Day 3'!L60</f>
        <v>5</v>
      </c>
      <c r="P22" s="38">
        <f t="shared" ref="P22:Q22" si="13">N22+N23</f>
        <v>71</v>
      </c>
      <c r="Q22" s="39">
        <f t="shared" si="13"/>
        <v>8</v>
      </c>
      <c r="R22" s="40"/>
      <c r="S22" s="36">
        <f>'Day 4'!J25</f>
        <v>25</v>
      </c>
      <c r="T22" s="37">
        <f>'Day 4'!L25</f>
        <v>1</v>
      </c>
      <c r="U22" s="38">
        <f t="shared" ref="U22:V22" si="14">S22+S23</f>
        <v>71</v>
      </c>
      <c r="V22" s="39">
        <f t="shared" si="14"/>
        <v>8</v>
      </c>
      <c r="W22" s="40"/>
      <c r="X22" s="36">
        <f>'Day 5'!K25</f>
        <v>40</v>
      </c>
      <c r="Y22" s="37">
        <f>'Day 5'!M25</f>
        <v>5</v>
      </c>
      <c r="Z22" s="38">
        <f>X22+X23</f>
        <v>70</v>
      </c>
      <c r="AA22" s="39">
        <f>SUM(Y22+Y23)</f>
        <v>7</v>
      </c>
      <c r="AB22" s="40"/>
      <c r="AC22" s="41">
        <f>D22+D23+I22+I23+N22+N23+S22+S23+X22+X23</f>
        <v>362</v>
      </c>
      <c r="AD22" s="42">
        <f>SUM(E22+E23+J22+J23+O22+O23+T22+T23+Y22+Y23)</f>
        <v>40</v>
      </c>
      <c r="AE22" s="22"/>
    </row>
    <row r="23" ht="15.75" customHeight="1">
      <c r="A23" s="22"/>
      <c r="B23" s="43"/>
      <c r="C23" s="44" t="s">
        <v>17</v>
      </c>
      <c r="D23" s="36">
        <f>'Day 1'!J75</f>
        <v>41</v>
      </c>
      <c r="E23" s="37">
        <f>'Day 1'!L75</f>
        <v>5</v>
      </c>
      <c r="F23" s="45"/>
      <c r="G23" s="45"/>
      <c r="H23" s="40"/>
      <c r="I23" s="36">
        <f>'Day 2 '!K110</f>
        <v>40</v>
      </c>
      <c r="J23" s="37">
        <f>'Day 2 '!M110</f>
        <v>3</v>
      </c>
      <c r="K23" s="45"/>
      <c r="L23" s="45"/>
      <c r="M23" s="40"/>
      <c r="N23" s="36">
        <f>'Day 3'!J75</f>
        <v>33</v>
      </c>
      <c r="O23" s="37">
        <f>'Day 3'!L75</f>
        <v>3</v>
      </c>
      <c r="P23" s="45"/>
      <c r="Q23" s="45"/>
      <c r="R23" s="40"/>
      <c r="S23" s="36">
        <f>'Day 4'!J40</f>
        <v>46</v>
      </c>
      <c r="T23" s="37">
        <f>'Day 4'!L40</f>
        <v>7</v>
      </c>
      <c r="U23" s="45"/>
      <c r="V23" s="45"/>
      <c r="W23" s="40"/>
      <c r="X23" s="36">
        <f>'Day 5'!K40</f>
        <v>30</v>
      </c>
      <c r="Y23" s="37">
        <f>'Day 5'!M40</f>
        <v>2</v>
      </c>
      <c r="Z23" s="45"/>
      <c r="AA23" s="45"/>
      <c r="AB23" s="40"/>
      <c r="AC23" s="46"/>
      <c r="AD23" s="47"/>
      <c r="AE23" s="22"/>
    </row>
    <row r="24" ht="3.75" customHeight="1">
      <c r="A24" s="22"/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22"/>
    </row>
    <row r="25" ht="15.75" customHeight="1">
      <c r="A25" s="22"/>
      <c r="B25" s="34" t="s">
        <v>21</v>
      </c>
      <c r="C25" s="44" t="s">
        <v>16</v>
      </c>
      <c r="D25" s="36">
        <f>'Day 1'!K60</f>
        <v>17</v>
      </c>
      <c r="E25" s="37">
        <f>'Day 1'!M60</f>
        <v>1</v>
      </c>
      <c r="F25" s="38">
        <f t="shared" ref="F25:G25" si="15">D25+D26</f>
        <v>52</v>
      </c>
      <c r="G25" s="39">
        <f t="shared" si="15"/>
        <v>4</v>
      </c>
      <c r="H25" s="40"/>
      <c r="I25" s="36">
        <f>'Day 2 '!K25</f>
        <v>39</v>
      </c>
      <c r="J25" s="37">
        <f>'Day 2 '!M25</f>
        <v>2</v>
      </c>
      <c r="K25" s="38">
        <f t="shared" ref="K25:L25" si="16">I25+I26</f>
        <v>81</v>
      </c>
      <c r="L25" s="39">
        <f t="shared" si="16"/>
        <v>7</v>
      </c>
      <c r="M25" s="40"/>
      <c r="N25" s="36">
        <f>'Day 3'!K95</f>
        <v>32</v>
      </c>
      <c r="O25" s="37">
        <f>'Day 3'!M95</f>
        <v>3</v>
      </c>
      <c r="P25" s="38">
        <f t="shared" ref="P25:Q25" si="17">N25+N26</f>
        <v>69</v>
      </c>
      <c r="Q25" s="39">
        <f t="shared" si="17"/>
        <v>8</v>
      </c>
      <c r="R25" s="40"/>
      <c r="S25" s="36">
        <f>'Day 4'!K60</f>
        <v>44</v>
      </c>
      <c r="T25" s="37">
        <f>'Day 4'!M60</f>
        <v>5</v>
      </c>
      <c r="U25" s="38">
        <f t="shared" ref="U25:V25" si="18">S25+S26</f>
        <v>79</v>
      </c>
      <c r="V25" s="39">
        <f t="shared" si="18"/>
        <v>8</v>
      </c>
      <c r="W25" s="40"/>
      <c r="X25" s="36">
        <f>'Day 5'!J95</f>
        <v>33</v>
      </c>
      <c r="Y25" s="37">
        <f>'Day 5'!L95</f>
        <v>2</v>
      </c>
      <c r="Z25" s="38">
        <f t="shared" ref="Z25:AA25" si="19">X25+X26</f>
        <v>48</v>
      </c>
      <c r="AA25" s="39">
        <f t="shared" si="19"/>
        <v>3</v>
      </c>
      <c r="AB25" s="40"/>
      <c r="AC25" s="41">
        <f t="shared" ref="AC25:AD25" si="20">D25+D26+I25+I26+N25+N26+S25+S26+X25+X26</f>
        <v>329</v>
      </c>
      <c r="AD25" s="42">
        <f t="shared" si="20"/>
        <v>30</v>
      </c>
      <c r="AE25" s="22"/>
    </row>
    <row r="26" ht="16.5" customHeight="1">
      <c r="A26" s="22"/>
      <c r="B26" s="43"/>
      <c r="C26" s="44" t="s">
        <v>17</v>
      </c>
      <c r="D26" s="36">
        <f>'Day 1'!K75</f>
        <v>35</v>
      </c>
      <c r="E26" s="37">
        <f>'Day 1'!M75</f>
        <v>3</v>
      </c>
      <c r="F26" s="45"/>
      <c r="G26" s="45"/>
      <c r="H26" s="40"/>
      <c r="I26" s="51">
        <f>'Day 2 '!K40</f>
        <v>42</v>
      </c>
      <c r="J26" s="52">
        <f>'Day 2 '!M40</f>
        <v>5</v>
      </c>
      <c r="K26" s="45"/>
      <c r="L26" s="45"/>
      <c r="M26" s="40"/>
      <c r="N26" s="36">
        <f>'Day 3'!K110</f>
        <v>37</v>
      </c>
      <c r="O26" s="37">
        <f>'Day 3'!M110</f>
        <v>5</v>
      </c>
      <c r="P26" s="45"/>
      <c r="Q26" s="45"/>
      <c r="R26" s="40"/>
      <c r="S26" s="36">
        <f>'Day 4'!K75</f>
        <v>35</v>
      </c>
      <c r="T26" s="37">
        <f>'Day 4'!M75</f>
        <v>3</v>
      </c>
      <c r="U26" s="45"/>
      <c r="V26" s="45"/>
      <c r="W26" s="40"/>
      <c r="X26" s="36">
        <f>'Day 5'!J110</f>
        <v>15</v>
      </c>
      <c r="Y26" s="37">
        <f>'Day 5'!L110</f>
        <v>1</v>
      </c>
      <c r="Z26" s="45"/>
      <c r="AA26" s="45"/>
      <c r="AB26" s="40"/>
      <c r="AC26" s="46"/>
      <c r="AD26" s="47"/>
      <c r="AE26" s="22"/>
    </row>
    <row r="27" ht="3.75" customHeight="1">
      <c r="A27" s="22"/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E27" s="22"/>
    </row>
    <row r="28" ht="15.75" customHeight="1">
      <c r="A28" s="22"/>
      <c r="B28" s="34" t="s">
        <v>22</v>
      </c>
      <c r="C28" s="44" t="s">
        <v>16</v>
      </c>
      <c r="D28" s="36">
        <f>'Day 1'!K95</f>
        <v>34</v>
      </c>
      <c r="E28" s="37">
        <f>'Day 1'!M95</f>
        <v>4</v>
      </c>
      <c r="F28" s="38">
        <f t="shared" ref="F28:G28" si="21">D28+D29</f>
        <v>73</v>
      </c>
      <c r="G28" s="39">
        <f t="shared" si="21"/>
        <v>9</v>
      </c>
      <c r="H28" s="40"/>
      <c r="I28" s="36">
        <f>'Day 2 '!K60</f>
        <v>45</v>
      </c>
      <c r="J28" s="37">
        <f>'Day 2 '!M60</f>
        <v>6</v>
      </c>
      <c r="K28" s="38">
        <f t="shared" ref="K28:L28" si="22">I28+I29</f>
        <v>86</v>
      </c>
      <c r="L28" s="39">
        <f t="shared" si="22"/>
        <v>12</v>
      </c>
      <c r="M28" s="40"/>
      <c r="N28" s="36">
        <f>'Day 3'!K25</f>
        <v>48</v>
      </c>
      <c r="O28" s="37">
        <f>'Day 3'!M25</f>
        <v>8</v>
      </c>
      <c r="P28" s="38">
        <f t="shared" ref="P28:Q28" si="23">N28+N29</f>
        <v>89</v>
      </c>
      <c r="Q28" s="39">
        <f t="shared" si="23"/>
        <v>13</v>
      </c>
      <c r="R28" s="40"/>
      <c r="S28" s="36">
        <f>'Day 4'!K25</f>
        <v>45</v>
      </c>
      <c r="T28" s="37">
        <f>'Day 4'!M25</f>
        <v>7</v>
      </c>
      <c r="U28" s="38">
        <f>S28+S29</f>
        <v>70</v>
      </c>
      <c r="V28" s="39">
        <f>SUM(T28+T29)</f>
        <v>8</v>
      </c>
      <c r="W28" s="40"/>
      <c r="X28" s="36">
        <f>'Day 5'!K95</f>
        <v>46</v>
      </c>
      <c r="Y28" s="37">
        <f>'Day 5'!M95</f>
        <v>6</v>
      </c>
      <c r="Z28" s="38">
        <f t="shared" ref="Z28:AA28" si="24">X28+X29</f>
        <v>91</v>
      </c>
      <c r="AA28" s="39">
        <f t="shared" si="24"/>
        <v>13</v>
      </c>
      <c r="AB28" s="40"/>
      <c r="AC28" s="41">
        <f t="shared" ref="AC28:AD28" si="25">D28+D29+I28+I29+N28+N29+S28+S29+X28+X29</f>
        <v>409</v>
      </c>
      <c r="AD28" s="42">
        <f t="shared" si="25"/>
        <v>55</v>
      </c>
      <c r="AE28" s="22"/>
    </row>
    <row r="29" ht="16.5" customHeight="1">
      <c r="A29" s="22"/>
      <c r="B29" s="53"/>
      <c r="C29" s="54" t="s">
        <v>17</v>
      </c>
      <c r="D29" s="36">
        <f>'Day 1'!K110</f>
        <v>39</v>
      </c>
      <c r="E29" s="37">
        <f>'Day 1'!M110</f>
        <v>5</v>
      </c>
      <c r="F29" s="55"/>
      <c r="G29" s="55"/>
      <c r="H29" s="56"/>
      <c r="I29" s="36">
        <f>'Day 2 '!K75</f>
        <v>41</v>
      </c>
      <c r="J29" s="37">
        <f>'Day 2 '!M75</f>
        <v>6</v>
      </c>
      <c r="K29" s="55"/>
      <c r="L29" s="55"/>
      <c r="M29" s="56"/>
      <c r="N29" s="51">
        <f>'Day 3'!K40</f>
        <v>41</v>
      </c>
      <c r="O29" s="52">
        <f>'Day 3'!M40</f>
        <v>5</v>
      </c>
      <c r="P29" s="55"/>
      <c r="Q29" s="55"/>
      <c r="R29" s="56"/>
      <c r="S29" s="36">
        <f>'Day 4'!K40</f>
        <v>25</v>
      </c>
      <c r="T29" s="37">
        <f>'Day 4'!M40</f>
        <v>1</v>
      </c>
      <c r="U29" s="55"/>
      <c r="V29" s="55"/>
      <c r="W29" s="56"/>
      <c r="X29" s="51">
        <f>'Day 5'!K110</f>
        <v>45</v>
      </c>
      <c r="Y29" s="52">
        <f>'Day 5'!M110</f>
        <v>7</v>
      </c>
      <c r="Z29" s="55"/>
      <c r="AA29" s="55"/>
      <c r="AB29" s="56"/>
      <c r="AC29" s="57"/>
      <c r="AD29" s="58"/>
      <c r="AE29" s="22"/>
    </row>
    <row r="30" ht="3.75" customHeight="1">
      <c r="A30" s="59"/>
      <c r="B30" s="60"/>
      <c r="C30" s="61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3"/>
      <c r="T30" s="62"/>
      <c r="U30" s="63"/>
      <c r="V30" s="62"/>
      <c r="W30" s="62"/>
      <c r="X30" s="63"/>
      <c r="Y30" s="62"/>
      <c r="Z30" s="62"/>
      <c r="AA30" s="62"/>
      <c r="AB30" s="62"/>
      <c r="AC30" s="63"/>
      <c r="AD30" s="64"/>
      <c r="AE30" s="22"/>
    </row>
    <row r="31" ht="15.0" customHeight="1">
      <c r="B31" s="65"/>
      <c r="C31" s="66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</row>
    <row r="32" ht="18.0" customHeight="1">
      <c r="B32" s="68"/>
      <c r="C32" s="69" t="s">
        <v>23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</row>
    <row r="33" ht="18.0" customHeight="1">
      <c r="B33" s="70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3"/>
    </row>
    <row r="34" ht="30.0" customHeight="1">
      <c r="B34" s="71"/>
      <c r="C34" s="72"/>
      <c r="D34" s="73" t="s">
        <v>24</v>
      </c>
      <c r="E34" s="19"/>
      <c r="F34" s="73" t="s">
        <v>25</v>
      </c>
      <c r="G34" s="19"/>
      <c r="H34" s="20"/>
      <c r="I34" s="73" t="s">
        <v>26</v>
      </c>
      <c r="J34" s="19"/>
      <c r="K34" s="73" t="s">
        <v>27</v>
      </c>
      <c r="L34" s="19"/>
      <c r="M34" s="20"/>
      <c r="N34" s="73" t="s">
        <v>28</v>
      </c>
      <c r="O34" s="19"/>
      <c r="P34" s="73" t="s">
        <v>29</v>
      </c>
      <c r="Q34" s="19"/>
      <c r="R34" s="20"/>
      <c r="S34" s="73" t="s">
        <v>30</v>
      </c>
      <c r="T34" s="19"/>
      <c r="U34" s="73" t="s">
        <v>31</v>
      </c>
      <c r="V34" s="19"/>
      <c r="W34" s="20"/>
      <c r="X34" s="73" t="s">
        <v>32</v>
      </c>
      <c r="Y34" s="19"/>
      <c r="Z34" s="73" t="s">
        <v>33</v>
      </c>
      <c r="AA34" s="19"/>
      <c r="AB34" s="20"/>
      <c r="AC34" s="74" t="s">
        <v>34</v>
      </c>
      <c r="AD34" s="21"/>
    </row>
    <row r="35" ht="18.0" customHeight="1">
      <c r="B35" s="70"/>
      <c r="C35" s="75"/>
      <c r="D35" s="76" t="s">
        <v>13</v>
      </c>
      <c r="E35" s="77" t="s">
        <v>14</v>
      </c>
      <c r="F35" s="76" t="s">
        <v>13</v>
      </c>
      <c r="G35" s="77" t="s">
        <v>14</v>
      </c>
      <c r="H35" s="27"/>
      <c r="I35" s="76" t="s">
        <v>13</v>
      </c>
      <c r="J35" s="77" t="s">
        <v>14</v>
      </c>
      <c r="K35" s="76" t="s">
        <v>13</v>
      </c>
      <c r="L35" s="77" t="s">
        <v>14</v>
      </c>
      <c r="M35" s="27"/>
      <c r="N35" s="76" t="s">
        <v>13</v>
      </c>
      <c r="O35" s="77" t="s">
        <v>14</v>
      </c>
      <c r="P35" s="76" t="s">
        <v>13</v>
      </c>
      <c r="Q35" s="77" t="s">
        <v>14</v>
      </c>
      <c r="R35" s="27"/>
      <c r="S35" s="76" t="s">
        <v>13</v>
      </c>
      <c r="T35" s="77" t="s">
        <v>14</v>
      </c>
      <c r="U35" s="76" t="s">
        <v>13</v>
      </c>
      <c r="V35" s="77" t="s">
        <v>14</v>
      </c>
      <c r="W35" s="27"/>
      <c r="X35" s="76" t="s">
        <v>13</v>
      </c>
      <c r="Y35" s="77" t="s">
        <v>14</v>
      </c>
      <c r="Z35" s="76" t="s">
        <v>13</v>
      </c>
      <c r="AA35" s="77" t="s">
        <v>14</v>
      </c>
      <c r="AB35" s="27"/>
      <c r="AC35" s="76" t="s">
        <v>13</v>
      </c>
      <c r="AD35" s="78" t="s">
        <v>14</v>
      </c>
    </row>
    <row r="36" ht="9.0" customHeight="1">
      <c r="B36" s="79"/>
      <c r="C36" s="80"/>
      <c r="D36" s="81"/>
      <c r="E36" s="82"/>
      <c r="F36" s="81"/>
      <c r="G36" s="82"/>
      <c r="H36" s="82"/>
      <c r="I36" s="81"/>
      <c r="J36" s="82"/>
      <c r="K36" s="81"/>
      <c r="L36" s="82"/>
      <c r="M36" s="82"/>
      <c r="N36" s="81"/>
      <c r="O36" s="82"/>
      <c r="P36" s="81"/>
      <c r="Q36" s="82"/>
      <c r="R36" s="82"/>
      <c r="S36" s="81"/>
      <c r="T36" s="82"/>
      <c r="U36" s="81"/>
      <c r="V36" s="82"/>
      <c r="W36" s="82"/>
      <c r="X36" s="81"/>
      <c r="Y36" s="82"/>
      <c r="Z36" s="81"/>
      <c r="AA36" s="82"/>
      <c r="AB36" s="82"/>
      <c r="AC36" s="81"/>
      <c r="AD36" s="83"/>
    </row>
    <row r="37" ht="15.75" customHeight="1">
      <c r="B37" s="34" t="s">
        <v>15</v>
      </c>
      <c r="C37" s="35" t="s">
        <v>16</v>
      </c>
      <c r="D37" s="36">
        <f>'Day 6'!J25</f>
        <v>31</v>
      </c>
      <c r="E37" s="37">
        <f>'Day 6'!L25</f>
        <v>3</v>
      </c>
      <c r="F37" s="38">
        <f t="shared" ref="F37:G37" si="26">SUM(D37+D38)</f>
        <v>66</v>
      </c>
      <c r="G37" s="39">
        <f t="shared" si="26"/>
        <v>7</v>
      </c>
      <c r="H37" s="40"/>
      <c r="I37" s="36">
        <f>'Day 7'!J60</f>
        <v>29</v>
      </c>
      <c r="J37" s="37">
        <f>'Day 7'!L60</f>
        <v>2</v>
      </c>
      <c r="K37" s="38">
        <f t="shared" ref="K37:L37" si="27">I37+I38</f>
        <v>70</v>
      </c>
      <c r="L37" s="39">
        <f t="shared" si="27"/>
        <v>5</v>
      </c>
      <c r="M37" s="40"/>
      <c r="N37" s="36">
        <f>'Day 8'!J95</f>
        <v>46</v>
      </c>
      <c r="O37" s="37">
        <f>'Day 8'!L95</f>
        <v>7</v>
      </c>
      <c r="P37" s="38">
        <f t="shared" ref="P37:Q37" si="28">N37+N38</f>
        <v>79</v>
      </c>
      <c r="Q37" s="39">
        <f t="shared" si="28"/>
        <v>10</v>
      </c>
      <c r="R37" s="40"/>
      <c r="S37" s="36">
        <f>SUM('Day 9'!J95)</f>
        <v>38</v>
      </c>
      <c r="T37" s="37">
        <f>SUM('Day 9'!L95)</f>
        <v>5</v>
      </c>
      <c r="U37" s="38">
        <f t="shared" ref="U37:V37" si="29">S37+S38</f>
        <v>84</v>
      </c>
      <c r="V37" s="39">
        <f t="shared" si="29"/>
        <v>12</v>
      </c>
      <c r="W37" s="40"/>
      <c r="X37" s="36">
        <f>SUM('Day 10'!J25)</f>
        <v>46</v>
      </c>
      <c r="Y37" s="36">
        <f>SUM('Day 10'!L25)</f>
        <v>6</v>
      </c>
      <c r="Z37" s="38">
        <f t="shared" ref="Z37:AA37" si="30">X37+X38</f>
        <v>88</v>
      </c>
      <c r="AA37" s="38">
        <f t="shared" si="30"/>
        <v>12</v>
      </c>
      <c r="AB37" s="40"/>
      <c r="AC37" s="38">
        <f>SUM(AC13+AC14+F37+F38+K37+K38+P37+P38+U37+U38+Z37+Z38)</f>
        <v>742</v>
      </c>
      <c r="AD37" s="42">
        <f>SUM(AD13+G37+L37+Q37+V37+AA37)</f>
        <v>86</v>
      </c>
    </row>
    <row r="38" ht="15.75" customHeight="1">
      <c r="B38" s="43"/>
      <c r="C38" s="44" t="s">
        <v>17</v>
      </c>
      <c r="D38" s="36">
        <f>'Day 6'!J40</f>
        <v>35</v>
      </c>
      <c r="E38" s="37">
        <f>'Day 6'!L40</f>
        <v>4</v>
      </c>
      <c r="F38" s="45"/>
      <c r="G38" s="45"/>
      <c r="H38" s="40"/>
      <c r="I38" s="36">
        <f>'Day 7'!J75</f>
        <v>41</v>
      </c>
      <c r="J38" s="37">
        <f>'Day 7'!L75</f>
        <v>3</v>
      </c>
      <c r="K38" s="45"/>
      <c r="L38" s="45"/>
      <c r="M38" s="40"/>
      <c r="N38" s="36">
        <f>'Day 8'!J110</f>
        <v>33</v>
      </c>
      <c r="O38" s="37">
        <f>'Day 8'!L110</f>
        <v>3</v>
      </c>
      <c r="P38" s="45"/>
      <c r="Q38" s="45"/>
      <c r="R38" s="40"/>
      <c r="S38" s="36">
        <f>SUM('Day 9'!J110)</f>
        <v>46</v>
      </c>
      <c r="T38" s="37">
        <f>SUM('Day 9'!L110)</f>
        <v>7</v>
      </c>
      <c r="U38" s="45"/>
      <c r="V38" s="45"/>
      <c r="W38" s="40"/>
      <c r="X38" s="36">
        <f>SUM('Day 10'!J40)</f>
        <v>42</v>
      </c>
      <c r="Y38" s="36">
        <f>SUM('Day 10'!L40)</f>
        <v>6</v>
      </c>
      <c r="Z38" s="45"/>
      <c r="AA38" s="45"/>
      <c r="AB38" s="40"/>
      <c r="AC38" s="45"/>
      <c r="AD38" s="47"/>
    </row>
    <row r="39" ht="3.75" customHeight="1"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</row>
    <row r="40" ht="15.75" customHeight="1">
      <c r="B40" s="34" t="s">
        <v>18</v>
      </c>
      <c r="C40" s="44" t="s">
        <v>16</v>
      </c>
      <c r="D40" s="36">
        <f>'Day 6'!J95</f>
        <v>38</v>
      </c>
      <c r="E40" s="37">
        <f>'Day 6'!L95</f>
        <v>3</v>
      </c>
      <c r="F40" s="38">
        <f t="shared" ref="F40:G40" si="31">SUM(D40+D41)</f>
        <v>62</v>
      </c>
      <c r="G40" s="39">
        <f t="shared" si="31"/>
        <v>5</v>
      </c>
      <c r="H40" s="40"/>
      <c r="I40" s="36">
        <f>'Day 7'!J25</f>
        <v>37</v>
      </c>
      <c r="J40" s="37">
        <f>'Day 7'!L25</f>
        <v>3</v>
      </c>
      <c r="K40" s="38">
        <f t="shared" ref="K40:L40" si="32">I40+I41</f>
        <v>72</v>
      </c>
      <c r="L40" s="39">
        <f t="shared" si="32"/>
        <v>5</v>
      </c>
      <c r="M40" s="40"/>
      <c r="N40" s="36">
        <f>'Day 8'!K60</f>
        <v>37</v>
      </c>
      <c r="O40" s="37">
        <f>'Day 8'!M60</f>
        <v>3</v>
      </c>
      <c r="P40" s="38">
        <f t="shared" ref="P40:Q40" si="33">N40+N41</f>
        <v>84</v>
      </c>
      <c r="Q40" s="39">
        <f t="shared" si="33"/>
        <v>8</v>
      </c>
      <c r="R40" s="40"/>
      <c r="S40" s="36">
        <f>SUM('Day 9'!K95)</f>
        <v>29</v>
      </c>
      <c r="T40" s="37">
        <f>SUM('Day 9'!M95)</f>
        <v>3</v>
      </c>
      <c r="U40" s="38">
        <f t="shared" ref="U40:V40" si="34">S40+S41</f>
        <v>56</v>
      </c>
      <c r="V40" s="39">
        <f t="shared" si="34"/>
        <v>4</v>
      </c>
      <c r="W40" s="40"/>
      <c r="X40" s="36">
        <f>SUM('Day 10'!J60)</f>
        <v>41</v>
      </c>
      <c r="Y40" s="36">
        <f>SUM('Day 10'!L60)</f>
        <v>5</v>
      </c>
      <c r="Z40" s="38">
        <f t="shared" ref="Z40:AA40" si="35">X40+X41</f>
        <v>77</v>
      </c>
      <c r="AA40" s="38">
        <f t="shared" si="35"/>
        <v>9</v>
      </c>
      <c r="AB40" s="40"/>
      <c r="AC40" s="38">
        <f>SUM(AC16+AC17+F40+F41+K40+K41+P40+P41+U40+U41+Z40+Z41)</f>
        <v>713</v>
      </c>
      <c r="AD40" s="42">
        <f>SUM(AD16+G40+L40+Q40+V40+AA40)</f>
        <v>73</v>
      </c>
    </row>
    <row r="41" ht="15.75" customHeight="1">
      <c r="B41" s="43"/>
      <c r="C41" s="44" t="s">
        <v>17</v>
      </c>
      <c r="D41" s="36">
        <f>'Day 6'!J110</f>
        <v>24</v>
      </c>
      <c r="E41" s="37">
        <f>'Day 6'!L110</f>
        <v>2</v>
      </c>
      <c r="F41" s="45"/>
      <c r="G41" s="45"/>
      <c r="H41" s="40"/>
      <c r="I41" s="36">
        <f>'Day 7'!J40</f>
        <v>35</v>
      </c>
      <c r="J41" s="37">
        <f>'Day 7'!L40</f>
        <v>2</v>
      </c>
      <c r="K41" s="45"/>
      <c r="L41" s="45"/>
      <c r="M41" s="40"/>
      <c r="N41" s="36">
        <f>'Day 8'!K75</f>
        <v>47</v>
      </c>
      <c r="O41" s="37">
        <f>'Day 8'!M75</f>
        <v>5</v>
      </c>
      <c r="P41" s="45"/>
      <c r="Q41" s="45"/>
      <c r="R41" s="40"/>
      <c r="S41" s="51">
        <f>SUM('Day 9'!K110)</f>
        <v>27</v>
      </c>
      <c r="T41" s="52">
        <f>SUM('Day 9'!M110)</f>
        <v>1</v>
      </c>
      <c r="U41" s="45"/>
      <c r="V41" s="45"/>
      <c r="W41" s="40"/>
      <c r="X41" s="36">
        <f>SUM('Day 10'!J75)</f>
        <v>36</v>
      </c>
      <c r="Y41" s="36">
        <f>SUM('Day 10'!L75)</f>
        <v>4</v>
      </c>
      <c r="Z41" s="45"/>
      <c r="AA41" s="45"/>
      <c r="AB41" s="40"/>
      <c r="AC41" s="45"/>
      <c r="AD41" s="47"/>
    </row>
    <row r="42" ht="3.75" customHeight="1"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</row>
    <row r="43" ht="15.75" customHeight="1">
      <c r="B43" s="34" t="s">
        <v>19</v>
      </c>
      <c r="C43" s="44" t="s">
        <v>16</v>
      </c>
      <c r="D43" s="36">
        <f>'Day 6'!K25</f>
        <v>42</v>
      </c>
      <c r="E43" s="37">
        <f>'Day 6'!M25</f>
        <v>5</v>
      </c>
      <c r="F43" s="38">
        <f t="shared" ref="F43:G43" si="36">SUM(D43+D44)</f>
        <v>82</v>
      </c>
      <c r="G43" s="39">
        <f t="shared" si="36"/>
        <v>9</v>
      </c>
      <c r="H43" s="40"/>
      <c r="I43" s="36">
        <f>'Day 7'!K95</f>
        <v>24</v>
      </c>
      <c r="J43" s="37">
        <f>'Day 7'!M95</f>
        <v>0</v>
      </c>
      <c r="K43" s="38">
        <f t="shared" ref="K43:L43" si="37">I43+I44</f>
        <v>73</v>
      </c>
      <c r="L43" s="39">
        <f t="shared" si="37"/>
        <v>8</v>
      </c>
      <c r="M43" s="40"/>
      <c r="N43" s="36">
        <f>'Day 8'!J25</f>
        <v>26</v>
      </c>
      <c r="O43" s="37">
        <f>'Day 8'!L25</f>
        <v>2</v>
      </c>
      <c r="P43" s="38">
        <f t="shared" ref="P43:Q43" si="38">N43+N44</f>
        <v>56</v>
      </c>
      <c r="Q43" s="39">
        <f t="shared" si="38"/>
        <v>6</v>
      </c>
      <c r="R43" s="40"/>
      <c r="S43" s="36">
        <f>SUM('Day 9'!J60)</f>
        <v>48</v>
      </c>
      <c r="T43" s="37">
        <f>SUM('Day 9'!L60)</f>
        <v>6</v>
      </c>
      <c r="U43" s="38">
        <f t="shared" ref="U43:V43" si="39">S43+S44</f>
        <v>86</v>
      </c>
      <c r="V43" s="39">
        <f t="shared" si="39"/>
        <v>10</v>
      </c>
      <c r="W43" s="40"/>
      <c r="X43" s="36">
        <f>SUM('Day 10'!K60)</f>
        <v>25</v>
      </c>
      <c r="Y43" s="36">
        <f>SUM('Day 10'!M60)</f>
        <v>3</v>
      </c>
      <c r="Z43" s="38">
        <f t="shared" ref="Z43:AA43" si="40">X43+X44</f>
        <v>61</v>
      </c>
      <c r="AA43" s="38">
        <f t="shared" si="40"/>
        <v>7</v>
      </c>
      <c r="AB43" s="40"/>
      <c r="AC43" s="38">
        <f>SUM(AC19+AC20+F43+F44+K43+K44+P43+P44+U43+U44+Z43+Z44)</f>
        <v>706</v>
      </c>
      <c r="AD43" s="42">
        <f>SUM(AD19+G43+L43+Q43+V43+AA43)</f>
        <v>73</v>
      </c>
    </row>
    <row r="44" ht="15.75" customHeight="1">
      <c r="B44" s="43"/>
      <c r="C44" s="44" t="s">
        <v>17</v>
      </c>
      <c r="D44" s="51">
        <f>'Day 6'!K40</f>
        <v>40</v>
      </c>
      <c r="E44" s="52">
        <f>'Day 6'!M40</f>
        <v>4</v>
      </c>
      <c r="F44" s="45"/>
      <c r="G44" s="45"/>
      <c r="H44" s="40"/>
      <c r="I44" s="36">
        <f>'Day 7'!K110</f>
        <v>49</v>
      </c>
      <c r="J44" s="37">
        <f>'Day 7'!M110</f>
        <v>8</v>
      </c>
      <c r="K44" s="45"/>
      <c r="L44" s="45"/>
      <c r="M44" s="40"/>
      <c r="N44" s="36">
        <f>'Day 8'!J40</f>
        <v>30</v>
      </c>
      <c r="O44" s="37">
        <f>'Day 8'!L40</f>
        <v>4</v>
      </c>
      <c r="P44" s="45"/>
      <c r="Q44" s="45"/>
      <c r="R44" s="40"/>
      <c r="S44" s="36">
        <f>SUM('Day 9'!J75)</f>
        <v>38</v>
      </c>
      <c r="T44" s="37">
        <f>SUM('Day 9'!L75)</f>
        <v>4</v>
      </c>
      <c r="U44" s="45"/>
      <c r="V44" s="45"/>
      <c r="W44" s="40"/>
      <c r="X44" s="36">
        <f>SUM('Day 10'!K75)</f>
        <v>36</v>
      </c>
      <c r="Y44" s="36">
        <f>SUM('Day 10'!M75)</f>
        <v>4</v>
      </c>
      <c r="Z44" s="45"/>
      <c r="AA44" s="45"/>
      <c r="AB44" s="40"/>
      <c r="AC44" s="45"/>
      <c r="AD44" s="47"/>
    </row>
    <row r="45" ht="3.75" customHeight="1"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</row>
    <row r="46" ht="15.75" customHeight="1">
      <c r="B46" s="34" t="s">
        <v>20</v>
      </c>
      <c r="C46" s="44" t="s">
        <v>16</v>
      </c>
      <c r="D46" s="36">
        <f>'Day 6'!J60</f>
        <v>32</v>
      </c>
      <c r="E46" s="37">
        <f>'Day 6'!L60</f>
        <v>1</v>
      </c>
      <c r="F46" s="38">
        <f t="shared" ref="F46:G46" si="41">SUM(D46+D47)</f>
        <v>78</v>
      </c>
      <c r="G46" s="39">
        <f t="shared" si="41"/>
        <v>8</v>
      </c>
      <c r="H46" s="40"/>
      <c r="I46" s="36">
        <f>'Day 7'!J95</f>
        <v>48</v>
      </c>
      <c r="J46" s="37">
        <f>'Day 7'!L95</f>
        <v>8</v>
      </c>
      <c r="K46" s="38">
        <f t="shared" ref="K46:L46" si="42">I46+I47</f>
        <v>73</v>
      </c>
      <c r="L46" s="39">
        <f t="shared" si="42"/>
        <v>8</v>
      </c>
      <c r="M46" s="40"/>
      <c r="N46" s="36">
        <f>'Day 8'!J60</f>
        <v>39</v>
      </c>
      <c r="O46" s="37">
        <f>'Day 8'!L60</f>
        <v>5</v>
      </c>
      <c r="P46" s="38">
        <f t="shared" ref="P46:Q46" si="43">N46+N47</f>
        <v>79</v>
      </c>
      <c r="Q46" s="39">
        <f t="shared" si="43"/>
        <v>8</v>
      </c>
      <c r="R46" s="40"/>
      <c r="S46" s="36">
        <f>SUM('Day 9'!J25)</f>
        <v>5</v>
      </c>
      <c r="T46" s="37">
        <f>SUM('Day 9'!L25)</f>
        <v>0</v>
      </c>
      <c r="U46" s="38">
        <f t="shared" ref="U46:V46" si="44">S46+S47</f>
        <v>40</v>
      </c>
      <c r="V46" s="39">
        <f t="shared" si="44"/>
        <v>3</v>
      </c>
      <c r="W46" s="40"/>
      <c r="X46" s="36">
        <f>SUM('Day 10'!K25)</f>
        <v>27</v>
      </c>
      <c r="Y46" s="36">
        <f>SUM('Day 10'!M25)</f>
        <v>2</v>
      </c>
      <c r="Z46" s="38">
        <f t="shared" ref="Z46:AA46" si="45">X46+X47</f>
        <v>59</v>
      </c>
      <c r="AA46" s="38">
        <f t="shared" si="45"/>
        <v>4</v>
      </c>
      <c r="AB46" s="40"/>
      <c r="AC46" s="38">
        <f>SUM(AC22+AC23+F46+F47+K46+K47+P46+P47+U46+U47+Z46+Z47)</f>
        <v>691</v>
      </c>
      <c r="AD46" s="42">
        <f>SUM(AD22+G46+L46+Q46+V46+AA46)</f>
        <v>71</v>
      </c>
    </row>
    <row r="47" ht="15.75" customHeight="1">
      <c r="B47" s="43"/>
      <c r="C47" s="44" t="s">
        <v>17</v>
      </c>
      <c r="D47" s="36">
        <f>'Day 6'!J75</f>
        <v>46</v>
      </c>
      <c r="E47" s="37">
        <f>'Day 6'!L75</f>
        <v>7</v>
      </c>
      <c r="F47" s="45"/>
      <c r="G47" s="45"/>
      <c r="H47" s="40"/>
      <c r="I47" s="36">
        <f>'Day 7'!J110</f>
        <v>25</v>
      </c>
      <c r="J47" s="37">
        <f>'Day 7'!L110</f>
        <v>0</v>
      </c>
      <c r="K47" s="45"/>
      <c r="L47" s="45"/>
      <c r="M47" s="40"/>
      <c r="N47" s="36">
        <f>'Day 8'!J75</f>
        <v>40</v>
      </c>
      <c r="O47" s="37">
        <f>'Day 8'!L75</f>
        <v>3</v>
      </c>
      <c r="P47" s="45"/>
      <c r="Q47" s="45"/>
      <c r="R47" s="40"/>
      <c r="S47" s="36">
        <f>SUM('Day 9'!J40)</f>
        <v>35</v>
      </c>
      <c r="T47" s="37">
        <f>SUM('Day 9'!L40)</f>
        <v>3</v>
      </c>
      <c r="U47" s="45"/>
      <c r="V47" s="45"/>
      <c r="W47" s="40"/>
      <c r="X47" s="36">
        <f>SUM('Day 10'!K40)</f>
        <v>32</v>
      </c>
      <c r="Y47" s="36">
        <f>SUM('Day 10'!M40)</f>
        <v>2</v>
      </c>
      <c r="Z47" s="45"/>
      <c r="AA47" s="45"/>
      <c r="AB47" s="40"/>
      <c r="AC47" s="45"/>
      <c r="AD47" s="47"/>
    </row>
    <row r="48" ht="3.75" customHeight="1"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</row>
    <row r="49" ht="15.75" customHeight="1">
      <c r="B49" s="34" t="s">
        <v>21</v>
      </c>
      <c r="C49" s="44" t="s">
        <v>16</v>
      </c>
      <c r="D49" s="36">
        <f>'Day 6'!K60</f>
        <v>47</v>
      </c>
      <c r="E49" s="37">
        <f>'Day 6'!M60</f>
        <v>7</v>
      </c>
      <c r="F49" s="38">
        <f t="shared" ref="F49:G49" si="46">SUM(D49+D50)</f>
        <v>75</v>
      </c>
      <c r="G49" s="39">
        <f t="shared" si="46"/>
        <v>8</v>
      </c>
      <c r="H49" s="40"/>
      <c r="I49" s="36">
        <f>'Day 7'!K25</f>
        <v>44</v>
      </c>
      <c r="J49" s="37">
        <f>'Day 7'!M25</f>
        <v>5</v>
      </c>
      <c r="K49" s="38">
        <f t="shared" ref="K49:L49" si="47">I49+I50</f>
        <v>92</v>
      </c>
      <c r="L49" s="39">
        <f t="shared" si="47"/>
        <v>11</v>
      </c>
      <c r="M49" s="40"/>
      <c r="N49" s="36">
        <f>'Day 8'!K95</f>
        <v>29</v>
      </c>
      <c r="O49" s="37">
        <f>'Day 8'!M95</f>
        <v>1</v>
      </c>
      <c r="P49" s="38">
        <f t="shared" ref="P49:Q49" si="48">N49+N50</f>
        <v>69</v>
      </c>
      <c r="Q49" s="39">
        <f t="shared" si="48"/>
        <v>6</v>
      </c>
      <c r="R49" s="40"/>
      <c r="S49" s="36">
        <f>SUM('Day 9'!K60)</f>
        <v>36</v>
      </c>
      <c r="T49" s="37">
        <f>SUM('Day 9'!M60)</f>
        <v>2</v>
      </c>
      <c r="U49" s="38">
        <f t="shared" ref="U49:V49" si="49">S49+S50</f>
        <v>72</v>
      </c>
      <c r="V49" s="39">
        <f t="shared" si="49"/>
        <v>6</v>
      </c>
      <c r="W49" s="40"/>
      <c r="X49" s="36">
        <f>SUM('Day 10'!J95)</f>
        <v>28</v>
      </c>
      <c r="Y49" s="36">
        <f>SUM('Day 10'!L95)</f>
        <v>3</v>
      </c>
      <c r="Z49" s="38">
        <f t="shared" ref="Z49:AA49" si="50">X49+X50</f>
        <v>56</v>
      </c>
      <c r="AA49" s="38">
        <f t="shared" si="50"/>
        <v>6</v>
      </c>
      <c r="AB49" s="40"/>
      <c r="AC49" s="38">
        <f>SUM(AC25+AC26+F49+F50+K49+K50+P49+P50+U49+U50+Z49+Z50)</f>
        <v>693</v>
      </c>
      <c r="AD49" s="42">
        <f>SUM(AD25+G49+L49+Q49+V49+AA49)</f>
        <v>67</v>
      </c>
    </row>
    <row r="50" ht="15.75" customHeight="1">
      <c r="B50" s="43"/>
      <c r="C50" s="44" t="s">
        <v>17</v>
      </c>
      <c r="D50" s="36">
        <f>'Day 6'!K75</f>
        <v>28</v>
      </c>
      <c r="E50" s="37">
        <f>'Day 6'!M75</f>
        <v>1</v>
      </c>
      <c r="F50" s="45"/>
      <c r="G50" s="45"/>
      <c r="H50" s="40"/>
      <c r="I50" s="51">
        <f>'Day 7'!K40</f>
        <v>48</v>
      </c>
      <c r="J50" s="52">
        <f>'Day 7'!M40</f>
        <v>6</v>
      </c>
      <c r="K50" s="45"/>
      <c r="L50" s="45"/>
      <c r="M50" s="40"/>
      <c r="N50" s="36">
        <f>'Day 8'!K110</f>
        <v>40</v>
      </c>
      <c r="O50" s="37">
        <f>'Day 8'!M110</f>
        <v>5</v>
      </c>
      <c r="P50" s="45"/>
      <c r="Q50" s="45"/>
      <c r="R50" s="40"/>
      <c r="S50" s="36">
        <f>SUM('Day 9'!K75)</f>
        <v>36</v>
      </c>
      <c r="T50" s="37">
        <f>SUM('Day 9'!M75)</f>
        <v>4</v>
      </c>
      <c r="U50" s="45"/>
      <c r="V50" s="45"/>
      <c r="W50" s="40"/>
      <c r="X50" s="36">
        <f>SUM('Day 10'!J110)</f>
        <v>28</v>
      </c>
      <c r="Y50" s="36">
        <f>SUM('Day 10'!L110)</f>
        <v>3</v>
      </c>
      <c r="Z50" s="45"/>
      <c r="AA50" s="45"/>
      <c r="AB50" s="40"/>
      <c r="AC50" s="45"/>
      <c r="AD50" s="47"/>
    </row>
    <row r="51" ht="3.75" customHeight="1">
      <c r="B51" s="48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</row>
    <row r="52" ht="15.75" customHeight="1">
      <c r="B52" s="34" t="s">
        <v>22</v>
      </c>
      <c r="C52" s="44" t="s">
        <v>16</v>
      </c>
      <c r="D52" s="36">
        <f>'Day 6'!K95</f>
        <v>40</v>
      </c>
      <c r="E52" s="37">
        <f>'Day 6'!M95</f>
        <v>5</v>
      </c>
      <c r="F52" s="38">
        <f t="shared" ref="F52:G52" si="51">SUM(D52+D53)</f>
        <v>87</v>
      </c>
      <c r="G52" s="39">
        <f t="shared" si="51"/>
        <v>11</v>
      </c>
      <c r="H52" s="40"/>
      <c r="I52" s="36">
        <f>'Day 7'!K60</f>
        <v>44</v>
      </c>
      <c r="J52" s="37">
        <f>'Day 7'!M60</f>
        <v>6</v>
      </c>
      <c r="K52" s="38">
        <f t="shared" ref="K52:L52" si="52">I52+I53</f>
        <v>86</v>
      </c>
      <c r="L52" s="39">
        <f t="shared" si="52"/>
        <v>11</v>
      </c>
      <c r="M52" s="40"/>
      <c r="N52" s="36">
        <f>'Day 8'!K25</f>
        <v>38</v>
      </c>
      <c r="O52" s="37">
        <f>'Day 8'!M25</f>
        <v>6</v>
      </c>
      <c r="P52" s="38">
        <f t="shared" ref="P52:Q52" si="53">N52+N53</f>
        <v>79</v>
      </c>
      <c r="Q52" s="39">
        <f t="shared" si="53"/>
        <v>10</v>
      </c>
      <c r="R52" s="40"/>
      <c r="S52" s="36">
        <f>SUM('Day 9'!K25)</f>
        <v>48</v>
      </c>
      <c r="T52" s="37">
        <f>SUM('Day 9'!M25)</f>
        <v>8</v>
      </c>
      <c r="U52" s="38">
        <f t="shared" ref="U52:V52" si="54">S52+S53</f>
        <v>87</v>
      </c>
      <c r="V52" s="39">
        <f t="shared" si="54"/>
        <v>13</v>
      </c>
      <c r="W52" s="40"/>
      <c r="X52" s="36">
        <f>SUM('Day 10'!K95)</f>
        <v>34</v>
      </c>
      <c r="Y52" s="36">
        <f>SUM('Day 10'!M95)</f>
        <v>5</v>
      </c>
      <c r="Z52" s="38">
        <f t="shared" ref="Z52:AA52" si="55">X52+X53</f>
        <v>75</v>
      </c>
      <c r="AA52" s="38">
        <f t="shared" si="55"/>
        <v>10</v>
      </c>
      <c r="AB52" s="40"/>
      <c r="AC52" s="38">
        <f>SUM(AC28+AC29+F52+F53+K52+K53+P52+P53+U52+U53+Z52+Z53)</f>
        <v>823</v>
      </c>
      <c r="AD52" s="42">
        <f>SUM(AD28+G52+L52+Q52+V52+AA52)</f>
        <v>110</v>
      </c>
      <c r="AE52" s="14"/>
    </row>
    <row r="53" ht="15.75" customHeight="1">
      <c r="B53" s="53"/>
      <c r="C53" s="44" t="s">
        <v>17</v>
      </c>
      <c r="D53" s="36">
        <f>'Day 6'!K110</f>
        <v>47</v>
      </c>
      <c r="E53" s="37">
        <f>'Day 6'!M110</f>
        <v>6</v>
      </c>
      <c r="F53" s="55"/>
      <c r="G53" s="55"/>
      <c r="H53" s="56"/>
      <c r="I53" s="36">
        <f>'Day 7'!K75</f>
        <v>42</v>
      </c>
      <c r="J53" s="37">
        <f>'Day 7'!M75</f>
        <v>5</v>
      </c>
      <c r="K53" s="55"/>
      <c r="L53" s="55"/>
      <c r="M53" s="56"/>
      <c r="N53" s="51">
        <f>'Day 8'!K40</f>
        <v>41</v>
      </c>
      <c r="O53" s="52">
        <f>'Day 8'!M40</f>
        <v>4</v>
      </c>
      <c r="P53" s="45"/>
      <c r="Q53" s="55"/>
      <c r="R53" s="56"/>
      <c r="S53" s="36">
        <f>SUM('Day 9'!K40)</f>
        <v>39</v>
      </c>
      <c r="T53" s="37">
        <f>SUM('Day 9'!M40)</f>
        <v>5</v>
      </c>
      <c r="U53" s="55"/>
      <c r="V53" s="55"/>
      <c r="W53" s="56"/>
      <c r="X53" s="36">
        <f>SUM('Day 10'!K110)</f>
        <v>41</v>
      </c>
      <c r="Y53" s="36">
        <f>SUM('Day 10'!M110)</f>
        <v>5</v>
      </c>
      <c r="Z53" s="55"/>
      <c r="AA53" s="55"/>
      <c r="AB53" s="56"/>
      <c r="AC53" s="55"/>
      <c r="AD53" s="47"/>
      <c r="AE53" s="14"/>
    </row>
    <row r="54" ht="3.75" customHeight="1">
      <c r="B54" s="84"/>
      <c r="C54" s="85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3"/>
      <c r="T54" s="62"/>
      <c r="U54" s="63"/>
      <c r="V54" s="62"/>
      <c r="W54" s="62"/>
      <c r="X54" s="63"/>
      <c r="Y54" s="62"/>
      <c r="Z54" s="62"/>
      <c r="AA54" s="62"/>
      <c r="AB54" s="86"/>
      <c r="AC54" s="87"/>
      <c r="AD54" s="88"/>
    </row>
    <row r="55" ht="14.25" customHeight="1">
      <c r="B55" s="1"/>
      <c r="C55" s="2"/>
    </row>
    <row r="56" ht="14.25" customHeight="1">
      <c r="B56" s="1"/>
      <c r="C56" s="2"/>
      <c r="Q56" s="89" t="s">
        <v>35</v>
      </c>
    </row>
    <row r="57" ht="18.0" customHeight="1">
      <c r="B57" s="90"/>
      <c r="C57" s="2"/>
    </row>
    <row r="58" ht="18.0" customHeight="1">
      <c r="B58" s="90"/>
      <c r="C58" s="2"/>
    </row>
    <row r="59" ht="18.0" customHeight="1">
      <c r="B59" s="90"/>
      <c r="C59" s="2"/>
    </row>
    <row r="60" ht="18.0" customHeight="1">
      <c r="B60" s="90"/>
      <c r="C60" s="2"/>
      <c r="AE60" s="91"/>
    </row>
    <row r="61" ht="14.25" customHeight="1">
      <c r="B61" s="1"/>
      <c r="C61" s="2"/>
    </row>
    <row r="62" ht="14.25" customHeight="1">
      <c r="B62" s="1"/>
      <c r="C62" s="2"/>
    </row>
    <row r="63" ht="14.25" customHeight="1">
      <c r="B63" s="1"/>
      <c r="C63" s="2"/>
    </row>
    <row r="64" ht="14.25" customHeight="1">
      <c r="B64" s="1"/>
      <c r="C64" s="2"/>
    </row>
    <row r="65" ht="14.25" customHeight="1">
      <c r="B65" s="1"/>
      <c r="C65" s="2"/>
    </row>
    <row r="66" ht="14.25" customHeight="1">
      <c r="B66" s="1"/>
      <c r="C66" s="2"/>
    </row>
    <row r="67" ht="14.25" customHeight="1">
      <c r="B67" s="1"/>
      <c r="C67" s="2"/>
    </row>
    <row r="68" ht="14.25" customHeight="1">
      <c r="B68" s="1"/>
      <c r="C68" s="2"/>
    </row>
    <row r="69" ht="14.25" customHeight="1">
      <c r="B69" s="1"/>
      <c r="C69" s="2"/>
    </row>
    <row r="70" ht="14.25" customHeight="1">
      <c r="B70" s="1"/>
      <c r="C70" s="2"/>
    </row>
    <row r="71" ht="14.25" customHeight="1">
      <c r="B71" s="1"/>
      <c r="C71" s="2"/>
    </row>
    <row r="72" ht="14.25" customHeight="1">
      <c r="B72" s="1"/>
      <c r="C72" s="2"/>
    </row>
    <row r="73" ht="14.25" customHeight="1">
      <c r="B73" s="1"/>
      <c r="C73" s="2"/>
    </row>
    <row r="74" ht="14.25" customHeight="1">
      <c r="B74" s="1"/>
      <c r="C74" s="2"/>
    </row>
    <row r="75" ht="14.25" customHeight="1">
      <c r="B75" s="1"/>
      <c r="C75" s="2"/>
    </row>
    <row r="76" ht="14.25" customHeight="1">
      <c r="B76" s="1"/>
      <c r="C76" s="2"/>
    </row>
    <row r="77" ht="14.25" customHeight="1">
      <c r="B77" s="1"/>
      <c r="C77" s="2"/>
    </row>
    <row r="78" ht="14.25" customHeight="1">
      <c r="B78" s="1"/>
      <c r="C78" s="2"/>
    </row>
    <row r="79" ht="14.25" customHeight="1">
      <c r="B79" s="1"/>
      <c r="C79" s="2"/>
    </row>
    <row r="80" ht="14.25" customHeight="1">
      <c r="B80" s="1"/>
      <c r="C80" s="2"/>
    </row>
    <row r="81" ht="14.25" customHeight="1">
      <c r="B81" s="1"/>
      <c r="C81" s="2"/>
    </row>
    <row r="82" ht="14.25" customHeight="1">
      <c r="B82" s="1"/>
      <c r="C82" s="2"/>
    </row>
    <row r="83" ht="14.25" customHeight="1">
      <c r="B83" s="1"/>
      <c r="C83" s="2"/>
    </row>
    <row r="84" ht="14.25" customHeight="1">
      <c r="B84" s="1"/>
      <c r="C84" s="2"/>
    </row>
    <row r="85" ht="14.25" customHeight="1">
      <c r="B85" s="1"/>
      <c r="C85" s="2"/>
    </row>
    <row r="86" ht="14.25" customHeight="1">
      <c r="B86" s="1"/>
      <c r="C86" s="2"/>
    </row>
    <row r="87" ht="14.25" customHeight="1">
      <c r="B87" s="1"/>
      <c r="C87" s="2"/>
    </row>
    <row r="88" ht="14.25" customHeight="1">
      <c r="B88" s="1"/>
      <c r="C88" s="2"/>
    </row>
    <row r="89" ht="14.25" customHeight="1">
      <c r="B89" s="1"/>
      <c r="C89" s="2"/>
    </row>
    <row r="90" ht="14.25" customHeight="1">
      <c r="B90" s="1"/>
      <c r="C90" s="2"/>
    </row>
    <row r="91" ht="14.25" customHeight="1">
      <c r="B91" s="1"/>
      <c r="C91" s="2"/>
    </row>
    <row r="92" ht="14.25" customHeight="1">
      <c r="B92" s="1"/>
      <c r="C92" s="2"/>
    </row>
    <row r="93" ht="14.25" customHeight="1">
      <c r="B93" s="1"/>
      <c r="C93" s="2"/>
    </row>
    <row r="94" ht="14.25" customHeight="1">
      <c r="B94" s="1"/>
      <c r="C94" s="2"/>
    </row>
    <row r="95" ht="14.25" customHeight="1">
      <c r="B95" s="1"/>
      <c r="C95" s="2"/>
    </row>
    <row r="96" ht="14.25" customHeight="1">
      <c r="B96" s="1"/>
      <c r="C96" s="2"/>
    </row>
    <row r="97" ht="14.25" customHeight="1">
      <c r="B97" s="1"/>
      <c r="C97" s="2"/>
    </row>
    <row r="98" ht="14.25" customHeight="1">
      <c r="B98" s="1"/>
      <c r="C98" s="2"/>
    </row>
    <row r="99" ht="14.25" customHeight="1">
      <c r="B99" s="1"/>
      <c r="C99" s="2"/>
    </row>
    <row r="100" ht="14.25" customHeight="1">
      <c r="B100" s="1"/>
      <c r="C100" s="2"/>
    </row>
    <row r="101" ht="14.25" customHeight="1">
      <c r="B101" s="1"/>
      <c r="C101" s="2"/>
    </row>
    <row r="102" ht="14.25" customHeight="1">
      <c r="B102" s="1"/>
      <c r="C102" s="2"/>
    </row>
    <row r="103" ht="14.25" customHeight="1">
      <c r="B103" s="1"/>
      <c r="C103" s="2"/>
    </row>
    <row r="104" ht="14.25" customHeight="1">
      <c r="B104" s="1"/>
      <c r="C104" s="2"/>
    </row>
    <row r="105" ht="14.25" customHeight="1">
      <c r="B105" s="1"/>
      <c r="C105" s="2"/>
    </row>
    <row r="106" ht="14.25" customHeight="1">
      <c r="B106" s="1"/>
      <c r="C106" s="2"/>
    </row>
    <row r="107" ht="14.25" customHeight="1">
      <c r="B107" s="1"/>
      <c r="C107" s="2"/>
    </row>
    <row r="108" ht="14.25" customHeight="1">
      <c r="B108" s="1"/>
      <c r="C108" s="2"/>
    </row>
    <row r="109" ht="14.25" customHeight="1">
      <c r="B109" s="1"/>
      <c r="C109" s="2"/>
    </row>
    <row r="110" ht="14.25" customHeight="1">
      <c r="B110" s="1"/>
      <c r="C110" s="2"/>
    </row>
    <row r="111" ht="14.25" customHeight="1">
      <c r="B111" s="1"/>
      <c r="C111" s="2"/>
    </row>
    <row r="112" ht="14.25" customHeight="1">
      <c r="B112" s="1"/>
      <c r="C112" s="2"/>
    </row>
    <row r="113" ht="14.25" customHeight="1">
      <c r="B113" s="1"/>
      <c r="C113" s="2"/>
    </row>
    <row r="114" ht="14.25" customHeight="1">
      <c r="B114" s="1"/>
      <c r="C114" s="2"/>
    </row>
    <row r="115" ht="14.25" customHeight="1">
      <c r="B115" s="1"/>
      <c r="C115" s="2"/>
    </row>
    <row r="116" ht="14.25" customHeight="1">
      <c r="B116" s="1"/>
      <c r="C116" s="2"/>
    </row>
    <row r="117" ht="14.25" customHeight="1">
      <c r="B117" s="1"/>
      <c r="C117" s="2"/>
    </row>
    <row r="118" ht="14.25" customHeight="1">
      <c r="B118" s="1"/>
      <c r="C118" s="2"/>
    </row>
    <row r="119" ht="14.25" customHeight="1">
      <c r="B119" s="1"/>
      <c r="C119" s="2"/>
    </row>
    <row r="120" ht="14.25" customHeight="1">
      <c r="B120" s="1"/>
      <c r="C120" s="2"/>
    </row>
    <row r="121" ht="14.25" customHeight="1">
      <c r="B121" s="1"/>
      <c r="C121" s="2"/>
    </row>
    <row r="122" ht="14.25" customHeight="1">
      <c r="B122" s="1"/>
      <c r="C122" s="2"/>
    </row>
    <row r="123" ht="14.25" customHeight="1">
      <c r="B123" s="1"/>
      <c r="C123" s="2"/>
    </row>
    <row r="124" ht="14.25" customHeight="1">
      <c r="B124" s="1"/>
      <c r="C124" s="2"/>
    </row>
    <row r="125" ht="14.25" customHeight="1">
      <c r="B125" s="1"/>
      <c r="C125" s="2"/>
    </row>
    <row r="126" ht="14.25" customHeight="1">
      <c r="B126" s="1"/>
      <c r="C126" s="2"/>
    </row>
    <row r="127" ht="14.25" customHeight="1">
      <c r="B127" s="1"/>
      <c r="C127" s="2"/>
    </row>
    <row r="128" ht="14.25" customHeight="1">
      <c r="B128" s="1"/>
      <c r="C128" s="2"/>
    </row>
    <row r="129" ht="14.25" customHeight="1">
      <c r="B129" s="1"/>
      <c r="C129" s="2"/>
    </row>
    <row r="130" ht="14.25" customHeight="1">
      <c r="B130" s="1"/>
      <c r="C130" s="2"/>
    </row>
    <row r="131" ht="14.25" customHeight="1">
      <c r="B131" s="1"/>
      <c r="C131" s="2"/>
    </row>
    <row r="132" ht="14.25" customHeight="1">
      <c r="B132" s="1"/>
      <c r="C132" s="2"/>
    </row>
    <row r="133" ht="14.25" customHeight="1">
      <c r="B133" s="1"/>
      <c r="C133" s="2"/>
    </row>
    <row r="134" ht="14.25" customHeight="1">
      <c r="B134" s="1"/>
      <c r="C134" s="2"/>
    </row>
    <row r="135" ht="14.25" customHeight="1">
      <c r="B135" s="1"/>
      <c r="C135" s="2"/>
    </row>
    <row r="136" ht="14.25" customHeight="1">
      <c r="B136" s="1"/>
      <c r="C136" s="2"/>
    </row>
    <row r="137" ht="14.25" customHeight="1">
      <c r="B137" s="1"/>
      <c r="C137" s="2"/>
    </row>
    <row r="138" ht="14.25" customHeight="1">
      <c r="B138" s="1"/>
      <c r="C138" s="2"/>
    </row>
    <row r="139" ht="14.25" customHeight="1">
      <c r="B139" s="1"/>
      <c r="C139" s="2"/>
    </row>
    <row r="140" ht="14.25" customHeight="1">
      <c r="B140" s="1"/>
      <c r="C140" s="2"/>
    </row>
    <row r="141" ht="14.25" customHeight="1">
      <c r="B141" s="1"/>
      <c r="C141" s="2"/>
    </row>
    <row r="142" ht="14.25" customHeight="1">
      <c r="B142" s="1"/>
      <c r="C142" s="2"/>
    </row>
    <row r="143" ht="14.25" customHeight="1">
      <c r="B143" s="1"/>
      <c r="C143" s="2"/>
    </row>
    <row r="144" ht="14.25" customHeight="1">
      <c r="B144" s="1"/>
      <c r="C144" s="2"/>
    </row>
    <row r="145" ht="14.25" customHeight="1">
      <c r="B145" s="1"/>
      <c r="C145" s="2"/>
    </row>
    <row r="146" ht="14.25" customHeight="1">
      <c r="B146" s="1"/>
      <c r="C146" s="2"/>
    </row>
    <row r="147" ht="14.25" customHeight="1">
      <c r="B147" s="1"/>
      <c r="C147" s="2"/>
    </row>
    <row r="148" ht="14.25" customHeight="1">
      <c r="B148" s="1"/>
      <c r="C148" s="2"/>
    </row>
    <row r="149" ht="14.25" customHeight="1">
      <c r="B149" s="1"/>
      <c r="C149" s="2"/>
    </row>
    <row r="150" ht="14.25" customHeight="1">
      <c r="B150" s="1"/>
      <c r="C150" s="2"/>
    </row>
    <row r="151" ht="14.25" customHeight="1">
      <c r="B151" s="1"/>
      <c r="C151" s="2"/>
    </row>
    <row r="152" ht="14.25" customHeight="1">
      <c r="B152" s="1"/>
      <c r="C152" s="2"/>
    </row>
    <row r="153" ht="14.25" customHeight="1">
      <c r="B153" s="1"/>
      <c r="C153" s="2"/>
    </row>
    <row r="154" ht="14.25" customHeight="1">
      <c r="B154" s="1"/>
      <c r="C154" s="2"/>
    </row>
    <row r="155" ht="14.25" customHeight="1">
      <c r="B155" s="1"/>
      <c r="C155" s="2"/>
    </row>
    <row r="156" ht="14.25" customHeight="1">
      <c r="B156" s="1"/>
      <c r="C156" s="2"/>
    </row>
    <row r="157" ht="14.25" customHeight="1">
      <c r="B157" s="1"/>
      <c r="C157" s="2"/>
    </row>
    <row r="158" ht="14.25" customHeight="1">
      <c r="B158" s="1"/>
      <c r="C158" s="2"/>
    </row>
    <row r="159" ht="14.25" customHeight="1">
      <c r="B159" s="1"/>
      <c r="C159" s="2"/>
    </row>
    <row r="160" ht="14.25" customHeight="1">
      <c r="B160" s="1"/>
      <c r="C160" s="2"/>
    </row>
    <row r="161" ht="14.25" customHeight="1">
      <c r="B161" s="1"/>
      <c r="C161" s="2"/>
    </row>
    <row r="162" ht="14.25" customHeight="1">
      <c r="B162" s="1"/>
      <c r="C162" s="2"/>
    </row>
    <row r="163" ht="14.25" customHeight="1">
      <c r="B163" s="1"/>
      <c r="C163" s="2"/>
    </row>
    <row r="164" ht="14.25" customHeight="1">
      <c r="B164" s="1"/>
      <c r="C164" s="2"/>
    </row>
    <row r="165" ht="14.25" customHeight="1">
      <c r="B165" s="1"/>
      <c r="C165" s="2"/>
    </row>
    <row r="166" ht="14.25" customHeight="1">
      <c r="B166" s="1"/>
      <c r="C166" s="2"/>
    </row>
    <row r="167" ht="14.25" customHeight="1">
      <c r="B167" s="1"/>
      <c r="C167" s="2"/>
    </row>
    <row r="168" ht="14.25" customHeight="1">
      <c r="B168" s="1"/>
      <c r="C168" s="2"/>
    </row>
    <row r="169" ht="14.25" customHeight="1">
      <c r="B169" s="1"/>
      <c r="C169" s="2"/>
    </row>
    <row r="170" ht="14.25" customHeight="1">
      <c r="B170" s="1"/>
      <c r="C170" s="2"/>
    </row>
    <row r="171" ht="14.25" customHeight="1">
      <c r="B171" s="1"/>
      <c r="C171" s="2"/>
    </row>
    <row r="172" ht="14.25" customHeight="1">
      <c r="B172" s="1"/>
      <c r="C172" s="2"/>
    </row>
    <row r="173" ht="14.25" customHeight="1">
      <c r="B173" s="1"/>
      <c r="C173" s="2"/>
    </row>
    <row r="174" ht="14.25" customHeight="1">
      <c r="B174" s="1"/>
      <c r="C174" s="2"/>
    </row>
    <row r="175" ht="14.25" customHeight="1">
      <c r="B175" s="1"/>
      <c r="C175" s="2"/>
    </row>
    <row r="176" ht="14.25" customHeight="1">
      <c r="B176" s="1"/>
      <c r="C176" s="2"/>
    </row>
    <row r="177" ht="14.25" customHeight="1">
      <c r="B177" s="1"/>
      <c r="C177" s="2"/>
    </row>
    <row r="178" ht="14.25" customHeight="1">
      <c r="B178" s="1"/>
      <c r="C178" s="2"/>
    </row>
    <row r="179" ht="14.25" customHeight="1">
      <c r="B179" s="1"/>
      <c r="C179" s="2"/>
    </row>
    <row r="180" ht="14.25" customHeight="1">
      <c r="B180" s="1"/>
      <c r="C180" s="2"/>
    </row>
    <row r="181" ht="14.25" customHeight="1">
      <c r="B181" s="1"/>
      <c r="C181" s="2"/>
    </row>
    <row r="182" ht="14.25" customHeight="1">
      <c r="B182" s="1"/>
      <c r="C182" s="2"/>
    </row>
    <row r="183" ht="14.25" customHeight="1">
      <c r="B183" s="1"/>
      <c r="C183" s="2"/>
    </row>
    <row r="184" ht="14.25" customHeight="1">
      <c r="B184" s="1"/>
      <c r="C184" s="2"/>
    </row>
    <row r="185" ht="14.25" customHeight="1">
      <c r="B185" s="1"/>
      <c r="C185" s="2"/>
    </row>
    <row r="186" ht="14.25" customHeight="1">
      <c r="B186" s="1"/>
      <c r="C186" s="2"/>
    </row>
    <row r="187" ht="14.25" customHeight="1">
      <c r="B187" s="1"/>
      <c r="C187" s="2"/>
    </row>
    <row r="188" ht="14.25" customHeight="1">
      <c r="B188" s="1"/>
      <c r="C188" s="2"/>
    </row>
    <row r="189" ht="14.25" customHeight="1">
      <c r="B189" s="1"/>
      <c r="C189" s="2"/>
    </row>
    <row r="190" ht="14.25" customHeight="1">
      <c r="B190" s="1"/>
      <c r="C190" s="2"/>
    </row>
    <row r="191" ht="14.25" customHeight="1">
      <c r="B191" s="1"/>
      <c r="C191" s="2"/>
    </row>
    <row r="192" ht="14.25" customHeight="1">
      <c r="B192" s="1"/>
      <c r="C192" s="2"/>
    </row>
    <row r="193" ht="14.25" customHeight="1">
      <c r="B193" s="1"/>
      <c r="C193" s="2"/>
    </row>
    <row r="194" ht="14.25" customHeight="1">
      <c r="B194" s="1"/>
      <c r="C194" s="2"/>
    </row>
    <row r="195" ht="14.25" customHeight="1">
      <c r="B195" s="1"/>
      <c r="C195" s="2"/>
    </row>
    <row r="196" ht="14.25" customHeight="1">
      <c r="B196" s="1"/>
      <c r="C196" s="2"/>
    </row>
    <row r="197" ht="14.25" customHeight="1">
      <c r="B197" s="1"/>
      <c r="C197" s="2"/>
    </row>
    <row r="198" ht="14.25" customHeight="1">
      <c r="B198" s="1"/>
      <c r="C198" s="2"/>
    </row>
    <row r="199" ht="14.25" customHeight="1">
      <c r="B199" s="1"/>
      <c r="C199" s="2"/>
    </row>
    <row r="200" ht="14.25" customHeight="1">
      <c r="B200" s="1"/>
      <c r="C200" s="2"/>
    </row>
    <row r="201" ht="14.25" customHeight="1">
      <c r="B201" s="1"/>
      <c r="C201" s="2"/>
    </row>
    <row r="202" ht="14.25" customHeight="1">
      <c r="B202" s="1"/>
      <c r="C202" s="2"/>
    </row>
    <row r="203" ht="14.25" customHeight="1">
      <c r="B203" s="1"/>
      <c r="C203" s="2"/>
    </row>
    <row r="204" ht="14.25" customHeight="1">
      <c r="B204" s="1"/>
      <c r="C204" s="2"/>
    </row>
    <row r="205" ht="14.25" customHeight="1">
      <c r="B205" s="1"/>
      <c r="C205" s="2"/>
    </row>
    <row r="206" ht="14.25" customHeight="1">
      <c r="B206" s="1"/>
      <c r="C206" s="2"/>
    </row>
    <row r="207" ht="14.25" customHeight="1">
      <c r="B207" s="1"/>
      <c r="C207" s="2"/>
    </row>
    <row r="208" ht="14.25" customHeight="1">
      <c r="B208" s="1"/>
      <c r="C208" s="2"/>
    </row>
    <row r="209" ht="14.25" customHeight="1">
      <c r="B209" s="1"/>
      <c r="C209" s="2"/>
    </row>
    <row r="210" ht="14.25" customHeight="1">
      <c r="B210" s="1"/>
      <c r="C210" s="2"/>
    </row>
    <row r="211" ht="14.25" customHeight="1">
      <c r="B211" s="1"/>
      <c r="C211" s="2"/>
    </row>
    <row r="212" ht="14.25" customHeight="1">
      <c r="B212" s="1"/>
      <c r="C212" s="2"/>
    </row>
    <row r="213" ht="14.25" customHeight="1">
      <c r="B213" s="1"/>
      <c r="C213" s="2"/>
    </row>
    <row r="214" ht="14.25" customHeight="1">
      <c r="B214" s="1"/>
      <c r="C214" s="2"/>
    </row>
    <row r="215" ht="14.25" customHeight="1">
      <c r="B215" s="1"/>
      <c r="C215" s="2"/>
    </row>
    <row r="216" ht="14.25" customHeight="1">
      <c r="B216" s="1"/>
      <c r="C216" s="2"/>
    </row>
    <row r="217" ht="14.25" customHeight="1">
      <c r="B217" s="1"/>
      <c r="C217" s="2"/>
    </row>
    <row r="218" ht="14.25" customHeight="1">
      <c r="B218" s="1"/>
      <c r="C218" s="2"/>
    </row>
    <row r="219" ht="14.25" customHeight="1">
      <c r="B219" s="1"/>
      <c r="C219" s="2"/>
    </row>
    <row r="220" ht="14.25" customHeight="1">
      <c r="B220" s="1"/>
      <c r="C220" s="2"/>
    </row>
    <row r="221" ht="14.25" customHeight="1">
      <c r="B221" s="1"/>
      <c r="C221" s="2"/>
    </row>
    <row r="222" ht="14.25" customHeight="1">
      <c r="B222" s="1"/>
      <c r="C222" s="2"/>
    </row>
    <row r="223" ht="14.25" customHeight="1">
      <c r="B223" s="1"/>
      <c r="C223" s="2"/>
    </row>
    <row r="224" ht="14.25" customHeight="1">
      <c r="B224" s="1"/>
      <c r="C224" s="2"/>
    </row>
    <row r="225" ht="14.25" customHeight="1">
      <c r="B225" s="1"/>
      <c r="C225" s="2"/>
    </row>
    <row r="226" ht="14.25" customHeight="1">
      <c r="B226" s="1"/>
      <c r="C226" s="2"/>
    </row>
    <row r="227" ht="14.25" customHeight="1">
      <c r="B227" s="1"/>
      <c r="C227" s="2"/>
    </row>
    <row r="228" ht="14.25" customHeight="1">
      <c r="B228" s="1"/>
      <c r="C228" s="2"/>
    </row>
    <row r="229" ht="14.25" customHeight="1">
      <c r="B229" s="1"/>
      <c r="C229" s="2"/>
    </row>
    <row r="230" ht="14.25" customHeight="1">
      <c r="B230" s="1"/>
      <c r="C230" s="2"/>
    </row>
    <row r="231" ht="14.25" customHeight="1">
      <c r="B231" s="1"/>
      <c r="C231" s="2"/>
    </row>
    <row r="232" ht="14.25" customHeight="1">
      <c r="B232" s="1"/>
      <c r="C232" s="2"/>
    </row>
    <row r="233" ht="14.25" customHeight="1">
      <c r="B233" s="1"/>
      <c r="C233" s="2"/>
    </row>
    <row r="234" ht="14.25" customHeight="1">
      <c r="B234" s="1"/>
      <c r="C234" s="2"/>
    </row>
    <row r="235" ht="14.25" customHeight="1">
      <c r="B235" s="1"/>
      <c r="C235" s="2"/>
    </row>
    <row r="236" ht="14.25" customHeight="1">
      <c r="B236" s="1"/>
      <c r="C236" s="2"/>
    </row>
    <row r="237" ht="14.25" customHeight="1">
      <c r="B237" s="1"/>
      <c r="C237" s="2"/>
    </row>
    <row r="238" ht="14.25" customHeight="1">
      <c r="B238" s="1"/>
      <c r="C238" s="2"/>
    </row>
    <row r="239" ht="14.25" customHeight="1">
      <c r="B239" s="1"/>
      <c r="C239" s="2"/>
    </row>
    <row r="240" ht="14.25" customHeight="1">
      <c r="B240" s="1"/>
      <c r="C240" s="2"/>
    </row>
    <row r="241" ht="14.25" customHeight="1">
      <c r="B241" s="1"/>
      <c r="C241" s="2"/>
    </row>
    <row r="242" ht="14.25" customHeight="1">
      <c r="B242" s="1"/>
      <c r="C242" s="2"/>
    </row>
    <row r="243" ht="14.25" customHeight="1">
      <c r="B243" s="1"/>
      <c r="C243" s="2"/>
    </row>
    <row r="244" ht="14.25" customHeight="1">
      <c r="B244" s="1"/>
      <c r="C244" s="2"/>
    </row>
    <row r="245" ht="14.25" customHeight="1">
      <c r="B245" s="1"/>
      <c r="C245" s="2"/>
    </row>
    <row r="246" ht="14.25" customHeight="1">
      <c r="B246" s="1"/>
      <c r="C246" s="2"/>
    </row>
    <row r="247" ht="14.25" customHeight="1">
      <c r="B247" s="1"/>
      <c r="C247" s="2"/>
    </row>
    <row r="248" ht="14.25" customHeight="1">
      <c r="B248" s="1"/>
      <c r="C248" s="2"/>
    </row>
    <row r="249" ht="14.25" customHeight="1">
      <c r="B249" s="1"/>
      <c r="C249" s="2"/>
    </row>
    <row r="250" ht="14.25" customHeight="1">
      <c r="B250" s="1"/>
      <c r="C250" s="2"/>
    </row>
    <row r="251" ht="14.25" customHeight="1">
      <c r="B251" s="1"/>
      <c r="C251" s="2"/>
    </row>
    <row r="252" ht="14.25" customHeight="1">
      <c r="B252" s="1"/>
      <c r="C252" s="2"/>
    </row>
    <row r="253" ht="14.25" customHeight="1">
      <c r="B253" s="1"/>
      <c r="C253" s="2"/>
    </row>
    <row r="254" ht="14.25" customHeight="1">
      <c r="B254" s="1"/>
      <c r="C254" s="2"/>
    </row>
    <row r="255" ht="14.25" customHeight="1">
      <c r="B255" s="1"/>
      <c r="C255" s="2"/>
    </row>
    <row r="256" ht="14.25" customHeight="1">
      <c r="B256" s="1"/>
      <c r="C256" s="2"/>
    </row>
    <row r="257" ht="14.25" customHeight="1">
      <c r="B257" s="1"/>
      <c r="C257" s="2"/>
    </row>
    <row r="258" ht="14.25" customHeight="1">
      <c r="B258" s="1"/>
      <c r="C258" s="2"/>
    </row>
    <row r="259" ht="14.25" customHeight="1">
      <c r="B259" s="1"/>
      <c r="C259" s="2"/>
    </row>
    <row r="260" ht="14.25" customHeight="1">
      <c r="B260" s="1"/>
      <c r="C260" s="2"/>
    </row>
    <row r="261" ht="14.25" customHeight="1">
      <c r="B261" s="1"/>
      <c r="C261" s="2"/>
    </row>
    <row r="262" ht="14.25" customHeight="1">
      <c r="B262" s="1"/>
      <c r="C262" s="2"/>
    </row>
    <row r="263" ht="14.25" customHeight="1">
      <c r="B263" s="1"/>
      <c r="C263" s="2"/>
    </row>
    <row r="264" ht="14.25" customHeight="1">
      <c r="B264" s="1"/>
      <c r="C264" s="2"/>
    </row>
    <row r="265" ht="14.25" customHeight="1">
      <c r="B265" s="1"/>
      <c r="C265" s="2"/>
    </row>
    <row r="266" ht="14.25" customHeight="1">
      <c r="B266" s="1"/>
      <c r="C266" s="2"/>
    </row>
    <row r="267" ht="14.25" customHeight="1">
      <c r="B267" s="1"/>
      <c r="C267" s="2"/>
    </row>
    <row r="268" ht="14.25" customHeight="1">
      <c r="B268" s="1"/>
      <c r="C268" s="2"/>
    </row>
    <row r="269" ht="14.25" customHeight="1">
      <c r="B269" s="1"/>
      <c r="C269" s="2"/>
    </row>
    <row r="270" ht="14.25" customHeight="1">
      <c r="B270" s="1"/>
      <c r="C270" s="2"/>
    </row>
    <row r="271" ht="14.25" customHeight="1">
      <c r="B271" s="1"/>
      <c r="C271" s="2"/>
    </row>
    <row r="272" ht="14.25" customHeight="1">
      <c r="B272" s="1"/>
      <c r="C272" s="2"/>
    </row>
    <row r="273" ht="14.25" customHeight="1">
      <c r="B273" s="1"/>
      <c r="C273" s="2"/>
    </row>
    <row r="274" ht="14.25" customHeight="1">
      <c r="B274" s="1"/>
      <c r="C274" s="2"/>
    </row>
    <row r="275" ht="14.25" customHeight="1">
      <c r="B275" s="1"/>
      <c r="C275" s="2"/>
    </row>
    <row r="276" ht="14.25" customHeight="1">
      <c r="B276" s="1"/>
      <c r="C276" s="2"/>
    </row>
    <row r="277" ht="14.25" customHeight="1">
      <c r="B277" s="1"/>
      <c r="C277" s="2"/>
    </row>
    <row r="278" ht="14.25" customHeight="1">
      <c r="B278" s="1"/>
      <c r="C278" s="2"/>
    </row>
    <row r="279" ht="14.25" customHeight="1">
      <c r="B279" s="1"/>
      <c r="C279" s="2"/>
    </row>
    <row r="280" ht="14.25" customHeight="1">
      <c r="B280" s="1"/>
      <c r="C280" s="2"/>
    </row>
    <row r="281" ht="14.25" customHeight="1">
      <c r="B281" s="1"/>
      <c r="C281" s="2"/>
    </row>
    <row r="282" ht="14.25" customHeight="1">
      <c r="B282" s="1"/>
      <c r="C282" s="2"/>
    </row>
    <row r="283" ht="14.25" customHeight="1">
      <c r="B283" s="1"/>
      <c r="C283" s="2"/>
    </row>
    <row r="284" ht="14.25" customHeight="1">
      <c r="B284" s="1"/>
      <c r="C284" s="2"/>
    </row>
    <row r="285" ht="14.25" customHeight="1">
      <c r="B285" s="1"/>
      <c r="C285" s="2"/>
    </row>
    <row r="286" ht="14.25" customHeight="1">
      <c r="B286" s="1"/>
      <c r="C286" s="2"/>
    </row>
    <row r="287" ht="14.25" customHeight="1">
      <c r="B287" s="1"/>
      <c r="C287" s="2"/>
    </row>
    <row r="288" ht="14.25" customHeight="1">
      <c r="B288" s="1"/>
      <c r="C288" s="2"/>
    </row>
    <row r="289" ht="14.25" customHeight="1">
      <c r="B289" s="1"/>
      <c r="C289" s="2"/>
    </row>
    <row r="290" ht="14.25" customHeight="1">
      <c r="B290" s="1"/>
      <c r="C290" s="2"/>
    </row>
    <row r="291" ht="14.25" customHeight="1">
      <c r="B291" s="1"/>
      <c r="C291" s="2"/>
    </row>
    <row r="292" ht="14.25" customHeight="1">
      <c r="B292" s="1"/>
      <c r="C292" s="2"/>
    </row>
    <row r="293" ht="14.25" customHeight="1">
      <c r="B293" s="1"/>
      <c r="C293" s="2"/>
    </row>
    <row r="294" ht="14.25" customHeight="1">
      <c r="B294" s="1"/>
      <c r="C294" s="2"/>
    </row>
    <row r="295" ht="14.25" customHeight="1">
      <c r="B295" s="1"/>
      <c r="C295" s="2"/>
    </row>
    <row r="296" ht="14.25" customHeight="1">
      <c r="B296" s="1"/>
      <c r="C296" s="2"/>
    </row>
    <row r="297" ht="14.25" customHeight="1">
      <c r="B297" s="1"/>
      <c r="C297" s="2"/>
    </row>
    <row r="298" ht="14.25" customHeight="1">
      <c r="B298" s="1"/>
      <c r="C298" s="2"/>
    </row>
    <row r="299" ht="14.25" customHeight="1">
      <c r="B299" s="1"/>
      <c r="C299" s="2"/>
    </row>
    <row r="300" ht="14.25" customHeight="1">
      <c r="B300" s="1"/>
      <c r="C300" s="2"/>
    </row>
    <row r="301" ht="14.25" customHeight="1">
      <c r="B301" s="1"/>
      <c r="C301" s="2"/>
    </row>
    <row r="302" ht="14.25" customHeight="1">
      <c r="B302" s="1"/>
      <c r="C302" s="2"/>
    </row>
    <row r="303" ht="14.25" customHeight="1">
      <c r="B303" s="1"/>
      <c r="C303" s="2"/>
    </row>
    <row r="304" ht="14.25" customHeight="1">
      <c r="B304" s="1"/>
      <c r="C304" s="2"/>
    </row>
    <row r="305" ht="14.25" customHeight="1">
      <c r="B305" s="1"/>
      <c r="C305" s="2"/>
    </row>
    <row r="306" ht="14.25" customHeight="1">
      <c r="B306" s="1"/>
      <c r="C306" s="2"/>
    </row>
    <row r="307" ht="14.25" customHeight="1">
      <c r="B307" s="1"/>
      <c r="C307" s="2"/>
    </row>
    <row r="308" ht="14.25" customHeight="1">
      <c r="B308" s="1"/>
      <c r="C308" s="2"/>
    </row>
    <row r="309" ht="14.25" customHeight="1">
      <c r="B309" s="1"/>
      <c r="C309" s="2"/>
    </row>
    <row r="310" ht="14.25" customHeight="1">
      <c r="B310" s="1"/>
      <c r="C310" s="2"/>
    </row>
    <row r="311" ht="14.25" customHeight="1">
      <c r="B311" s="1"/>
      <c r="C311" s="2"/>
    </row>
    <row r="312" ht="14.25" customHeight="1">
      <c r="B312" s="1"/>
      <c r="C312" s="2"/>
    </row>
    <row r="313" ht="14.25" customHeight="1">
      <c r="B313" s="1"/>
      <c r="C313" s="2"/>
    </row>
    <row r="314" ht="14.25" customHeight="1">
      <c r="B314" s="1"/>
      <c r="C314" s="2"/>
    </row>
    <row r="315" ht="14.25" customHeight="1">
      <c r="B315" s="1"/>
      <c r="C315" s="2"/>
    </row>
    <row r="316" ht="14.25" customHeight="1">
      <c r="B316" s="1"/>
      <c r="C316" s="2"/>
    </row>
    <row r="317" ht="14.25" customHeight="1">
      <c r="B317" s="1"/>
      <c r="C317" s="2"/>
    </row>
    <row r="318" ht="14.25" customHeight="1">
      <c r="B318" s="1"/>
      <c r="C318" s="2"/>
    </row>
    <row r="319" ht="14.25" customHeight="1">
      <c r="B319" s="1"/>
      <c r="C319" s="2"/>
    </row>
    <row r="320" ht="14.25" customHeight="1">
      <c r="B320" s="1"/>
      <c r="C320" s="2"/>
    </row>
    <row r="321" ht="14.25" customHeight="1">
      <c r="B321" s="1"/>
      <c r="C321" s="2"/>
    </row>
    <row r="322" ht="14.25" customHeight="1">
      <c r="B322" s="1"/>
      <c r="C322" s="2"/>
    </row>
    <row r="323" ht="14.25" customHeight="1">
      <c r="B323" s="1"/>
      <c r="C323" s="2"/>
    </row>
    <row r="324" ht="14.25" customHeight="1">
      <c r="B324" s="1"/>
      <c r="C324" s="2"/>
    </row>
    <row r="325" ht="14.25" customHeight="1">
      <c r="B325" s="1"/>
      <c r="C325" s="2"/>
    </row>
    <row r="326" ht="14.25" customHeight="1">
      <c r="B326" s="1"/>
      <c r="C326" s="2"/>
    </row>
    <row r="327" ht="14.25" customHeight="1">
      <c r="B327" s="1"/>
      <c r="C327" s="2"/>
    </row>
    <row r="328" ht="14.25" customHeight="1">
      <c r="B328" s="1"/>
      <c r="C328" s="2"/>
    </row>
    <row r="329" ht="14.25" customHeight="1">
      <c r="B329" s="1"/>
      <c r="C329" s="2"/>
    </row>
    <row r="330" ht="14.25" customHeight="1">
      <c r="B330" s="1"/>
      <c r="C330" s="2"/>
    </row>
    <row r="331" ht="14.25" customHeight="1">
      <c r="B331" s="1"/>
      <c r="C331" s="2"/>
    </row>
    <row r="332" ht="14.25" customHeight="1">
      <c r="B332" s="1"/>
      <c r="C332" s="2"/>
    </row>
    <row r="333" ht="14.25" customHeight="1">
      <c r="B333" s="1"/>
      <c r="C333" s="2"/>
    </row>
    <row r="334" ht="14.25" customHeight="1">
      <c r="B334" s="1"/>
      <c r="C334" s="2"/>
    </row>
    <row r="335" ht="14.25" customHeight="1">
      <c r="B335" s="1"/>
      <c r="C335" s="2"/>
    </row>
    <row r="336" ht="14.25" customHeight="1">
      <c r="B336" s="1"/>
      <c r="C336" s="2"/>
    </row>
    <row r="337" ht="14.25" customHeight="1">
      <c r="B337" s="1"/>
      <c r="C337" s="2"/>
    </row>
    <row r="338" ht="14.25" customHeight="1">
      <c r="B338" s="1"/>
      <c r="C338" s="2"/>
    </row>
    <row r="339" ht="14.25" customHeight="1">
      <c r="B339" s="1"/>
      <c r="C339" s="2"/>
    </row>
    <row r="340" ht="14.25" customHeight="1">
      <c r="B340" s="1"/>
      <c r="C340" s="2"/>
    </row>
    <row r="341" ht="14.25" customHeight="1">
      <c r="B341" s="1"/>
      <c r="C341" s="2"/>
    </row>
    <row r="342" ht="14.25" customHeight="1">
      <c r="B342" s="1"/>
      <c r="C342" s="2"/>
    </row>
    <row r="343" ht="14.25" customHeight="1">
      <c r="B343" s="1"/>
      <c r="C343" s="2"/>
    </row>
    <row r="344" ht="14.25" customHeight="1">
      <c r="B344" s="1"/>
      <c r="C344" s="2"/>
    </row>
    <row r="345" ht="14.25" customHeight="1">
      <c r="B345" s="1"/>
      <c r="C345" s="2"/>
    </row>
    <row r="346" ht="14.25" customHeight="1">
      <c r="B346" s="1"/>
      <c r="C346" s="2"/>
    </row>
    <row r="347" ht="14.25" customHeight="1">
      <c r="B347" s="1"/>
      <c r="C347" s="2"/>
    </row>
    <row r="348" ht="14.25" customHeight="1">
      <c r="B348" s="1"/>
      <c r="C348" s="2"/>
    </row>
    <row r="349" ht="14.25" customHeight="1">
      <c r="B349" s="1"/>
      <c r="C349" s="2"/>
    </row>
    <row r="350" ht="14.25" customHeight="1">
      <c r="B350" s="1"/>
      <c r="C350" s="2"/>
    </row>
    <row r="351" ht="14.25" customHeight="1">
      <c r="B351" s="1"/>
      <c r="C351" s="2"/>
    </row>
    <row r="352" ht="14.25" customHeight="1">
      <c r="B352" s="1"/>
      <c r="C352" s="2"/>
    </row>
    <row r="353" ht="14.25" customHeight="1">
      <c r="B353" s="1"/>
      <c r="C353" s="2"/>
    </row>
    <row r="354" ht="14.25" customHeight="1">
      <c r="B354" s="1"/>
      <c r="C354" s="2"/>
    </row>
    <row r="355" ht="14.25" customHeight="1">
      <c r="B355" s="1"/>
      <c r="C355" s="2"/>
    </row>
    <row r="356" ht="14.25" customHeight="1">
      <c r="B356" s="1"/>
      <c r="C356" s="2"/>
    </row>
    <row r="357" ht="14.25" customHeight="1">
      <c r="B357" s="1"/>
      <c r="C357" s="2"/>
    </row>
    <row r="358" ht="14.25" customHeight="1">
      <c r="B358" s="1"/>
      <c r="C358" s="2"/>
    </row>
    <row r="359" ht="14.25" customHeight="1">
      <c r="B359" s="1"/>
      <c r="C359" s="2"/>
    </row>
    <row r="360" ht="14.25" customHeight="1">
      <c r="B360" s="1"/>
      <c r="C360" s="2"/>
    </row>
    <row r="361" ht="14.25" customHeight="1">
      <c r="B361" s="1"/>
      <c r="C361" s="2"/>
    </row>
    <row r="362" ht="14.25" customHeight="1">
      <c r="B362" s="1"/>
      <c r="C362" s="2"/>
    </row>
    <row r="363" ht="14.25" customHeight="1">
      <c r="B363" s="1"/>
      <c r="C363" s="2"/>
    </row>
    <row r="364" ht="14.25" customHeight="1">
      <c r="B364" s="1"/>
      <c r="C364" s="2"/>
    </row>
    <row r="365" ht="14.25" customHeight="1">
      <c r="B365" s="1"/>
      <c r="C365" s="2"/>
    </row>
    <row r="366" ht="14.25" customHeight="1">
      <c r="B366" s="1"/>
      <c r="C366" s="2"/>
    </row>
    <row r="367" ht="14.25" customHeight="1">
      <c r="B367" s="1"/>
      <c r="C367" s="2"/>
    </row>
    <row r="368" ht="14.25" customHeight="1">
      <c r="B368" s="1"/>
      <c r="C368" s="2"/>
    </row>
    <row r="369" ht="14.25" customHeight="1">
      <c r="B369" s="1"/>
      <c r="C369" s="2"/>
    </row>
    <row r="370" ht="14.25" customHeight="1">
      <c r="B370" s="1"/>
      <c r="C370" s="2"/>
    </row>
    <row r="371" ht="14.25" customHeight="1">
      <c r="B371" s="1"/>
      <c r="C371" s="2"/>
    </row>
    <row r="372" ht="14.25" customHeight="1">
      <c r="B372" s="1"/>
      <c r="C372" s="2"/>
    </row>
    <row r="373" ht="14.25" customHeight="1">
      <c r="B373" s="1"/>
      <c r="C373" s="2"/>
    </row>
    <row r="374" ht="14.25" customHeight="1">
      <c r="B374" s="1"/>
      <c r="C374" s="2"/>
    </row>
    <row r="375" ht="14.25" customHeight="1">
      <c r="B375" s="1"/>
      <c r="C375" s="2"/>
    </row>
    <row r="376" ht="14.25" customHeight="1">
      <c r="B376" s="1"/>
      <c r="C376" s="2"/>
    </row>
    <row r="377" ht="14.25" customHeight="1">
      <c r="B377" s="1"/>
      <c r="C377" s="2"/>
    </row>
    <row r="378" ht="14.25" customHeight="1">
      <c r="B378" s="1"/>
      <c r="C378" s="2"/>
    </row>
    <row r="379" ht="14.25" customHeight="1">
      <c r="B379" s="1"/>
      <c r="C379" s="2"/>
    </row>
    <row r="380" ht="14.25" customHeight="1">
      <c r="B380" s="1"/>
      <c r="C380" s="2"/>
    </row>
    <row r="381" ht="14.25" customHeight="1">
      <c r="B381" s="1"/>
      <c r="C381" s="2"/>
    </row>
    <row r="382" ht="14.25" customHeight="1">
      <c r="B382" s="1"/>
      <c r="C382" s="2"/>
    </row>
    <row r="383" ht="14.25" customHeight="1">
      <c r="B383" s="1"/>
      <c r="C383" s="2"/>
    </row>
    <row r="384" ht="14.25" customHeight="1">
      <c r="B384" s="1"/>
      <c r="C384" s="2"/>
    </row>
    <row r="385" ht="14.25" customHeight="1">
      <c r="B385" s="1"/>
      <c r="C385" s="2"/>
    </row>
    <row r="386" ht="14.25" customHeight="1">
      <c r="B386" s="1"/>
      <c r="C386" s="2"/>
    </row>
    <row r="387" ht="14.25" customHeight="1">
      <c r="B387" s="1"/>
      <c r="C387" s="2"/>
    </row>
    <row r="388" ht="14.25" customHeight="1">
      <c r="B388" s="1"/>
      <c r="C388" s="2"/>
    </row>
    <row r="389" ht="14.25" customHeight="1">
      <c r="B389" s="1"/>
      <c r="C389" s="2"/>
    </row>
    <row r="390" ht="14.25" customHeight="1">
      <c r="B390" s="1"/>
      <c r="C390" s="2"/>
    </row>
    <row r="391" ht="14.25" customHeight="1">
      <c r="B391" s="1"/>
      <c r="C391" s="2"/>
    </row>
    <row r="392" ht="14.25" customHeight="1">
      <c r="B392" s="1"/>
      <c r="C392" s="2"/>
    </row>
    <row r="393" ht="14.25" customHeight="1">
      <c r="B393" s="1"/>
      <c r="C393" s="2"/>
    </row>
    <row r="394" ht="14.25" customHeight="1">
      <c r="B394" s="1"/>
      <c r="C394" s="2"/>
    </row>
    <row r="395" ht="14.25" customHeight="1">
      <c r="B395" s="1"/>
      <c r="C395" s="2"/>
    </row>
    <row r="396" ht="14.25" customHeight="1">
      <c r="B396" s="1"/>
      <c r="C396" s="2"/>
    </row>
    <row r="397" ht="14.25" customHeight="1">
      <c r="B397" s="1"/>
      <c r="C397" s="2"/>
    </row>
    <row r="398" ht="14.25" customHeight="1">
      <c r="B398" s="1"/>
      <c r="C398" s="2"/>
    </row>
    <row r="399" ht="14.25" customHeight="1">
      <c r="B399" s="1"/>
      <c r="C399" s="2"/>
    </row>
    <row r="400" ht="14.25" customHeight="1">
      <c r="B400" s="1"/>
      <c r="C400" s="2"/>
    </row>
    <row r="401" ht="14.25" customHeight="1">
      <c r="B401" s="1"/>
      <c r="C401" s="2"/>
    </row>
    <row r="402" ht="14.25" customHeight="1">
      <c r="B402" s="1"/>
      <c r="C402" s="2"/>
    </row>
    <row r="403" ht="14.25" customHeight="1">
      <c r="B403" s="1"/>
      <c r="C403" s="2"/>
    </row>
    <row r="404" ht="14.25" customHeight="1">
      <c r="B404" s="1"/>
      <c r="C404" s="2"/>
    </row>
    <row r="405" ht="14.25" customHeight="1">
      <c r="B405" s="1"/>
      <c r="C405" s="2"/>
    </row>
    <row r="406" ht="14.25" customHeight="1">
      <c r="B406" s="1"/>
      <c r="C406" s="2"/>
    </row>
    <row r="407" ht="14.25" customHeight="1">
      <c r="B407" s="1"/>
      <c r="C407" s="2"/>
    </row>
    <row r="408" ht="14.25" customHeight="1">
      <c r="B408" s="1"/>
      <c r="C408" s="2"/>
    </row>
    <row r="409" ht="14.25" customHeight="1">
      <c r="B409" s="1"/>
      <c r="C409" s="2"/>
    </row>
    <row r="410" ht="14.25" customHeight="1">
      <c r="B410" s="1"/>
      <c r="C410" s="2"/>
    </row>
    <row r="411" ht="14.25" customHeight="1">
      <c r="B411" s="1"/>
      <c r="C411" s="2"/>
    </row>
    <row r="412" ht="14.25" customHeight="1">
      <c r="B412" s="1"/>
      <c r="C412" s="2"/>
    </row>
    <row r="413" ht="14.25" customHeight="1">
      <c r="B413" s="1"/>
      <c r="C413" s="2"/>
    </row>
    <row r="414" ht="14.25" customHeight="1">
      <c r="B414" s="1"/>
      <c r="C414" s="2"/>
    </row>
    <row r="415" ht="14.25" customHeight="1">
      <c r="B415" s="1"/>
      <c r="C415" s="2"/>
    </row>
    <row r="416" ht="14.25" customHeight="1">
      <c r="B416" s="1"/>
      <c r="C416" s="2"/>
    </row>
    <row r="417" ht="14.25" customHeight="1">
      <c r="B417" s="1"/>
      <c r="C417" s="2"/>
    </row>
    <row r="418" ht="14.25" customHeight="1">
      <c r="B418" s="1"/>
      <c r="C418" s="2"/>
    </row>
    <row r="419" ht="14.25" customHeight="1">
      <c r="B419" s="1"/>
      <c r="C419" s="2"/>
    </row>
    <row r="420" ht="14.25" customHeight="1">
      <c r="B420" s="1"/>
      <c r="C420" s="2"/>
    </row>
    <row r="421" ht="14.25" customHeight="1">
      <c r="B421" s="1"/>
      <c r="C421" s="2"/>
    </row>
    <row r="422" ht="14.25" customHeight="1">
      <c r="B422" s="1"/>
      <c r="C422" s="2"/>
    </row>
    <row r="423" ht="14.25" customHeight="1">
      <c r="B423" s="1"/>
      <c r="C423" s="2"/>
    </row>
    <row r="424" ht="14.25" customHeight="1">
      <c r="B424" s="1"/>
      <c r="C424" s="2"/>
    </row>
    <row r="425" ht="14.25" customHeight="1">
      <c r="B425" s="1"/>
      <c r="C425" s="2"/>
    </row>
    <row r="426" ht="14.25" customHeight="1">
      <c r="B426" s="1"/>
      <c r="C426" s="2"/>
    </row>
    <row r="427" ht="14.25" customHeight="1">
      <c r="B427" s="1"/>
      <c r="C427" s="2"/>
    </row>
    <row r="428" ht="14.25" customHeight="1">
      <c r="B428" s="1"/>
      <c r="C428" s="2"/>
    </row>
    <row r="429" ht="14.25" customHeight="1">
      <c r="B429" s="1"/>
      <c r="C429" s="2"/>
    </row>
    <row r="430" ht="14.25" customHeight="1">
      <c r="B430" s="1"/>
      <c r="C430" s="2"/>
    </row>
    <row r="431" ht="14.25" customHeight="1">
      <c r="B431" s="1"/>
      <c r="C431" s="2"/>
    </row>
    <row r="432" ht="14.25" customHeight="1">
      <c r="B432" s="1"/>
      <c r="C432" s="2"/>
    </row>
    <row r="433" ht="14.25" customHeight="1">
      <c r="B433" s="1"/>
      <c r="C433" s="2"/>
    </row>
    <row r="434" ht="14.25" customHeight="1">
      <c r="B434" s="1"/>
      <c r="C434" s="2"/>
    </row>
    <row r="435" ht="14.25" customHeight="1">
      <c r="B435" s="1"/>
      <c r="C435" s="2"/>
    </row>
    <row r="436" ht="14.25" customHeight="1">
      <c r="B436" s="1"/>
      <c r="C436" s="2"/>
    </row>
    <row r="437" ht="14.25" customHeight="1">
      <c r="B437" s="1"/>
      <c r="C437" s="2"/>
    </row>
    <row r="438" ht="14.25" customHeight="1">
      <c r="B438" s="1"/>
      <c r="C438" s="2"/>
    </row>
    <row r="439" ht="14.25" customHeight="1">
      <c r="B439" s="1"/>
      <c r="C439" s="2"/>
    </row>
    <row r="440" ht="14.25" customHeight="1">
      <c r="B440" s="1"/>
      <c r="C440" s="2"/>
    </row>
    <row r="441" ht="14.25" customHeight="1">
      <c r="B441" s="1"/>
      <c r="C441" s="2"/>
    </row>
    <row r="442" ht="14.25" customHeight="1">
      <c r="B442" s="1"/>
      <c r="C442" s="2"/>
    </row>
    <row r="443" ht="14.25" customHeight="1">
      <c r="B443" s="1"/>
      <c r="C443" s="2"/>
    </row>
    <row r="444" ht="14.25" customHeight="1">
      <c r="B444" s="1"/>
      <c r="C444" s="2"/>
    </row>
    <row r="445" ht="14.25" customHeight="1">
      <c r="B445" s="1"/>
      <c r="C445" s="2"/>
    </row>
    <row r="446" ht="14.25" customHeight="1">
      <c r="B446" s="1"/>
      <c r="C446" s="2"/>
    </row>
    <row r="447" ht="14.25" customHeight="1">
      <c r="B447" s="1"/>
      <c r="C447" s="2"/>
    </row>
    <row r="448" ht="14.25" customHeight="1">
      <c r="B448" s="1"/>
      <c r="C448" s="2"/>
    </row>
    <row r="449" ht="14.25" customHeight="1">
      <c r="B449" s="1"/>
      <c r="C449" s="2"/>
    </row>
    <row r="450" ht="14.25" customHeight="1">
      <c r="B450" s="1"/>
      <c r="C450" s="2"/>
    </row>
    <row r="451" ht="14.25" customHeight="1">
      <c r="B451" s="1"/>
      <c r="C451" s="2"/>
    </row>
    <row r="452" ht="14.25" customHeight="1">
      <c r="B452" s="1"/>
      <c r="C452" s="2"/>
    </row>
    <row r="453" ht="14.25" customHeight="1">
      <c r="B453" s="1"/>
      <c r="C453" s="2"/>
    </row>
    <row r="454" ht="14.25" customHeight="1">
      <c r="B454" s="1"/>
      <c r="C454" s="2"/>
    </row>
    <row r="455" ht="14.25" customHeight="1">
      <c r="B455" s="1"/>
      <c r="C455" s="2"/>
    </row>
    <row r="456" ht="14.25" customHeight="1">
      <c r="B456" s="1"/>
      <c r="C456" s="2"/>
    </row>
    <row r="457" ht="14.25" customHeight="1">
      <c r="B457" s="1"/>
      <c r="C457" s="2"/>
    </row>
    <row r="458" ht="14.25" customHeight="1">
      <c r="B458" s="1"/>
      <c r="C458" s="2"/>
    </row>
    <row r="459" ht="14.25" customHeight="1">
      <c r="B459" s="1"/>
      <c r="C459" s="2"/>
    </row>
    <row r="460" ht="14.25" customHeight="1">
      <c r="B460" s="1"/>
      <c r="C460" s="2"/>
    </row>
    <row r="461" ht="14.25" customHeight="1">
      <c r="B461" s="1"/>
      <c r="C461" s="2"/>
    </row>
    <row r="462" ht="14.25" customHeight="1">
      <c r="B462" s="1"/>
      <c r="C462" s="2"/>
    </row>
    <row r="463" ht="14.25" customHeight="1">
      <c r="B463" s="1"/>
      <c r="C463" s="2"/>
    </row>
    <row r="464" ht="14.25" customHeight="1">
      <c r="B464" s="1"/>
      <c r="C464" s="2"/>
    </row>
    <row r="465" ht="14.25" customHeight="1">
      <c r="B465" s="1"/>
      <c r="C465" s="2"/>
    </row>
    <row r="466" ht="14.25" customHeight="1">
      <c r="B466" s="1"/>
      <c r="C466" s="2"/>
    </row>
    <row r="467" ht="14.25" customHeight="1">
      <c r="B467" s="1"/>
      <c r="C467" s="2"/>
    </row>
    <row r="468" ht="14.25" customHeight="1">
      <c r="B468" s="1"/>
      <c r="C468" s="2"/>
    </row>
    <row r="469" ht="14.25" customHeight="1">
      <c r="B469" s="1"/>
      <c r="C469" s="2"/>
    </row>
    <row r="470" ht="14.25" customHeight="1">
      <c r="B470" s="1"/>
      <c r="C470" s="2"/>
    </row>
    <row r="471" ht="14.25" customHeight="1">
      <c r="B471" s="1"/>
      <c r="C471" s="2"/>
    </row>
    <row r="472" ht="14.25" customHeight="1">
      <c r="B472" s="1"/>
      <c r="C472" s="2"/>
    </row>
    <row r="473" ht="14.25" customHeight="1">
      <c r="B473" s="1"/>
      <c r="C473" s="2"/>
    </row>
    <row r="474" ht="14.25" customHeight="1">
      <c r="B474" s="1"/>
      <c r="C474" s="2"/>
    </row>
    <row r="475" ht="14.25" customHeight="1">
      <c r="B475" s="1"/>
      <c r="C475" s="2"/>
    </row>
    <row r="476" ht="14.25" customHeight="1">
      <c r="B476" s="1"/>
      <c r="C476" s="2"/>
    </row>
    <row r="477" ht="14.25" customHeight="1">
      <c r="B477" s="1"/>
      <c r="C477" s="2"/>
    </row>
    <row r="478" ht="14.25" customHeight="1">
      <c r="B478" s="1"/>
      <c r="C478" s="2"/>
    </row>
    <row r="479" ht="14.25" customHeight="1">
      <c r="B479" s="1"/>
      <c r="C479" s="2"/>
    </row>
    <row r="480" ht="14.25" customHeight="1">
      <c r="B480" s="1"/>
      <c r="C480" s="2"/>
    </row>
    <row r="481" ht="14.25" customHeight="1">
      <c r="B481" s="1"/>
      <c r="C481" s="2"/>
    </row>
    <row r="482" ht="14.25" customHeight="1">
      <c r="B482" s="1"/>
      <c r="C482" s="2"/>
    </row>
    <row r="483" ht="14.25" customHeight="1">
      <c r="B483" s="1"/>
      <c r="C483" s="2"/>
    </row>
    <row r="484" ht="14.25" customHeight="1">
      <c r="B484" s="1"/>
      <c r="C484" s="2"/>
    </row>
    <row r="485" ht="14.25" customHeight="1">
      <c r="B485" s="1"/>
      <c r="C485" s="2"/>
    </row>
    <row r="486" ht="14.25" customHeight="1">
      <c r="B486" s="1"/>
      <c r="C486" s="2"/>
    </row>
    <row r="487" ht="14.25" customHeight="1">
      <c r="B487" s="1"/>
      <c r="C487" s="2"/>
    </row>
    <row r="488" ht="14.25" customHeight="1">
      <c r="B488" s="1"/>
      <c r="C488" s="2"/>
    </row>
    <row r="489" ht="14.25" customHeight="1">
      <c r="B489" s="1"/>
      <c r="C489" s="2"/>
    </row>
    <row r="490" ht="14.25" customHeight="1">
      <c r="B490" s="1"/>
      <c r="C490" s="2"/>
    </row>
    <row r="491" ht="14.25" customHeight="1">
      <c r="B491" s="1"/>
      <c r="C491" s="2"/>
    </row>
    <row r="492" ht="14.25" customHeight="1">
      <c r="B492" s="1"/>
      <c r="C492" s="2"/>
    </row>
    <row r="493" ht="14.25" customHeight="1">
      <c r="B493" s="1"/>
      <c r="C493" s="2"/>
    </row>
    <row r="494" ht="14.25" customHeight="1">
      <c r="B494" s="1"/>
      <c r="C494" s="2"/>
    </row>
    <row r="495" ht="14.25" customHeight="1">
      <c r="B495" s="1"/>
      <c r="C495" s="2"/>
    </row>
    <row r="496" ht="14.25" customHeight="1">
      <c r="B496" s="1"/>
      <c r="C496" s="2"/>
    </row>
    <row r="497" ht="14.25" customHeight="1">
      <c r="B497" s="1"/>
      <c r="C497" s="2"/>
    </row>
    <row r="498" ht="14.25" customHeight="1">
      <c r="B498" s="1"/>
      <c r="C498" s="2"/>
    </row>
    <row r="499" ht="14.25" customHeight="1">
      <c r="B499" s="1"/>
      <c r="C499" s="2"/>
    </row>
    <row r="500" ht="14.25" customHeight="1">
      <c r="B500" s="1"/>
      <c r="C500" s="2"/>
    </row>
    <row r="501" ht="14.25" customHeight="1">
      <c r="B501" s="1"/>
      <c r="C501" s="2"/>
    </row>
    <row r="502" ht="14.25" customHeight="1">
      <c r="B502" s="1"/>
      <c r="C502" s="2"/>
    </row>
    <row r="503" ht="14.25" customHeight="1">
      <c r="B503" s="1"/>
      <c r="C503" s="2"/>
    </row>
    <row r="504" ht="14.25" customHeight="1">
      <c r="B504" s="1"/>
      <c r="C504" s="2"/>
    </row>
    <row r="505" ht="14.25" customHeight="1">
      <c r="B505" s="1"/>
      <c r="C505" s="2"/>
    </row>
    <row r="506" ht="14.25" customHeight="1">
      <c r="B506" s="1"/>
      <c r="C506" s="2"/>
    </row>
    <row r="507" ht="14.25" customHeight="1">
      <c r="B507" s="1"/>
      <c r="C507" s="2"/>
    </row>
    <row r="508" ht="14.25" customHeight="1">
      <c r="B508" s="1"/>
      <c r="C508" s="2"/>
    </row>
    <row r="509" ht="14.25" customHeight="1">
      <c r="B509" s="1"/>
      <c r="C509" s="2"/>
    </row>
    <row r="510" ht="14.25" customHeight="1">
      <c r="B510" s="1"/>
      <c r="C510" s="2"/>
    </row>
    <row r="511" ht="14.25" customHeight="1">
      <c r="B511" s="1"/>
      <c r="C511" s="2"/>
    </row>
    <row r="512" ht="14.25" customHeight="1">
      <c r="B512" s="1"/>
      <c r="C512" s="2"/>
    </row>
    <row r="513" ht="14.25" customHeight="1">
      <c r="B513" s="1"/>
      <c r="C513" s="2"/>
    </row>
    <row r="514" ht="14.25" customHeight="1">
      <c r="B514" s="1"/>
      <c r="C514" s="2"/>
    </row>
    <row r="515" ht="14.25" customHeight="1">
      <c r="B515" s="1"/>
      <c r="C515" s="2"/>
    </row>
    <row r="516" ht="14.25" customHeight="1">
      <c r="B516" s="1"/>
      <c r="C516" s="2"/>
    </row>
    <row r="517" ht="14.25" customHeight="1">
      <c r="B517" s="1"/>
      <c r="C517" s="2"/>
    </row>
    <row r="518" ht="14.25" customHeight="1">
      <c r="B518" s="1"/>
      <c r="C518" s="2"/>
    </row>
    <row r="519" ht="14.25" customHeight="1">
      <c r="B519" s="1"/>
      <c r="C519" s="2"/>
    </row>
    <row r="520" ht="14.25" customHeight="1">
      <c r="B520" s="1"/>
      <c r="C520" s="2"/>
    </row>
    <row r="521" ht="14.25" customHeight="1">
      <c r="B521" s="1"/>
      <c r="C521" s="2"/>
    </row>
    <row r="522" ht="14.25" customHeight="1">
      <c r="B522" s="1"/>
      <c r="C522" s="2"/>
    </row>
    <row r="523" ht="14.25" customHeight="1">
      <c r="B523" s="1"/>
      <c r="C523" s="2"/>
    </row>
    <row r="524" ht="14.25" customHeight="1">
      <c r="B524" s="1"/>
      <c r="C524" s="2"/>
    </row>
    <row r="525" ht="14.25" customHeight="1">
      <c r="B525" s="1"/>
      <c r="C525" s="2"/>
    </row>
    <row r="526" ht="14.25" customHeight="1">
      <c r="B526" s="1"/>
      <c r="C526" s="2"/>
    </row>
    <row r="527" ht="14.25" customHeight="1">
      <c r="B527" s="1"/>
      <c r="C527" s="2"/>
    </row>
    <row r="528" ht="14.25" customHeight="1">
      <c r="B528" s="1"/>
      <c r="C528" s="2"/>
    </row>
    <row r="529" ht="14.25" customHeight="1">
      <c r="B529" s="1"/>
      <c r="C529" s="2"/>
    </row>
    <row r="530" ht="14.25" customHeight="1">
      <c r="B530" s="1"/>
      <c r="C530" s="2"/>
    </row>
    <row r="531" ht="14.25" customHeight="1">
      <c r="B531" s="1"/>
      <c r="C531" s="2"/>
    </row>
    <row r="532" ht="14.25" customHeight="1">
      <c r="B532" s="1"/>
      <c r="C532" s="2"/>
    </row>
    <row r="533" ht="14.25" customHeight="1">
      <c r="B533" s="1"/>
      <c r="C533" s="2"/>
    </row>
    <row r="534" ht="14.25" customHeight="1">
      <c r="B534" s="1"/>
      <c r="C534" s="2"/>
    </row>
    <row r="535" ht="14.25" customHeight="1">
      <c r="B535" s="1"/>
      <c r="C535" s="2"/>
    </row>
    <row r="536" ht="14.25" customHeight="1">
      <c r="B536" s="1"/>
      <c r="C536" s="2"/>
    </row>
    <row r="537" ht="14.25" customHeight="1">
      <c r="B537" s="1"/>
      <c r="C537" s="2"/>
    </row>
    <row r="538" ht="14.25" customHeight="1">
      <c r="B538" s="1"/>
      <c r="C538" s="2"/>
    </row>
    <row r="539" ht="14.25" customHeight="1">
      <c r="B539" s="1"/>
      <c r="C539" s="2"/>
    </row>
    <row r="540" ht="14.25" customHeight="1">
      <c r="B540" s="1"/>
      <c r="C540" s="2"/>
    </row>
    <row r="541" ht="14.25" customHeight="1">
      <c r="B541" s="1"/>
      <c r="C541" s="2"/>
    </row>
    <row r="542" ht="14.25" customHeight="1">
      <c r="B542" s="1"/>
      <c r="C542" s="2"/>
    </row>
    <row r="543" ht="14.25" customHeight="1">
      <c r="B543" s="1"/>
      <c r="C543" s="2"/>
    </row>
    <row r="544" ht="14.25" customHeight="1">
      <c r="B544" s="1"/>
      <c r="C544" s="2"/>
    </row>
    <row r="545" ht="14.25" customHeight="1">
      <c r="B545" s="1"/>
      <c r="C545" s="2"/>
    </row>
    <row r="546" ht="14.25" customHeight="1">
      <c r="B546" s="1"/>
      <c r="C546" s="2"/>
    </row>
    <row r="547" ht="14.25" customHeight="1">
      <c r="B547" s="1"/>
      <c r="C547" s="2"/>
    </row>
    <row r="548" ht="14.25" customHeight="1">
      <c r="B548" s="1"/>
      <c r="C548" s="2"/>
    </row>
    <row r="549" ht="14.25" customHeight="1">
      <c r="B549" s="1"/>
      <c r="C549" s="2"/>
    </row>
    <row r="550" ht="14.25" customHeight="1">
      <c r="B550" s="1"/>
      <c r="C550" s="2"/>
    </row>
    <row r="551" ht="14.25" customHeight="1">
      <c r="B551" s="1"/>
      <c r="C551" s="2"/>
    </row>
    <row r="552" ht="14.25" customHeight="1">
      <c r="B552" s="1"/>
      <c r="C552" s="2"/>
    </row>
    <row r="553" ht="14.25" customHeight="1">
      <c r="B553" s="1"/>
      <c r="C553" s="2"/>
    </row>
    <row r="554" ht="14.25" customHeight="1">
      <c r="B554" s="1"/>
      <c r="C554" s="2"/>
    </row>
    <row r="555" ht="14.25" customHeight="1">
      <c r="B555" s="1"/>
      <c r="C555" s="2"/>
    </row>
    <row r="556" ht="14.25" customHeight="1">
      <c r="B556" s="1"/>
      <c r="C556" s="2"/>
    </row>
    <row r="557" ht="14.25" customHeight="1">
      <c r="B557" s="1"/>
      <c r="C557" s="2"/>
    </row>
    <row r="558" ht="14.25" customHeight="1">
      <c r="B558" s="1"/>
      <c r="C558" s="2"/>
    </row>
    <row r="559" ht="14.25" customHeight="1">
      <c r="B559" s="1"/>
      <c r="C559" s="2"/>
    </row>
    <row r="560" ht="14.25" customHeight="1">
      <c r="B560" s="1"/>
      <c r="C560" s="2"/>
    </row>
    <row r="561" ht="14.25" customHeight="1">
      <c r="B561" s="1"/>
      <c r="C561" s="2"/>
    </row>
    <row r="562" ht="14.25" customHeight="1">
      <c r="B562" s="1"/>
      <c r="C562" s="2"/>
    </row>
    <row r="563" ht="14.25" customHeight="1">
      <c r="B563" s="1"/>
      <c r="C563" s="2"/>
    </row>
    <row r="564" ht="14.25" customHeight="1">
      <c r="B564" s="1"/>
      <c r="C564" s="2"/>
    </row>
    <row r="565" ht="14.25" customHeight="1">
      <c r="B565" s="1"/>
      <c r="C565" s="2"/>
    </row>
    <row r="566" ht="14.25" customHeight="1">
      <c r="B566" s="1"/>
      <c r="C566" s="2"/>
    </row>
    <row r="567" ht="14.25" customHeight="1">
      <c r="B567" s="1"/>
      <c r="C567" s="2"/>
    </row>
    <row r="568" ht="14.25" customHeight="1">
      <c r="B568" s="1"/>
      <c r="C568" s="2"/>
    </row>
    <row r="569" ht="14.25" customHeight="1">
      <c r="B569" s="1"/>
      <c r="C569" s="2"/>
    </row>
    <row r="570" ht="14.25" customHeight="1">
      <c r="B570" s="1"/>
      <c r="C570" s="2"/>
    </row>
    <row r="571" ht="14.25" customHeight="1">
      <c r="B571" s="1"/>
      <c r="C571" s="2"/>
    </row>
    <row r="572" ht="14.25" customHeight="1">
      <c r="B572" s="1"/>
      <c r="C572" s="2"/>
    </row>
    <row r="573" ht="14.25" customHeight="1">
      <c r="B573" s="1"/>
      <c r="C573" s="2"/>
    </row>
    <row r="574" ht="14.25" customHeight="1">
      <c r="B574" s="1"/>
      <c r="C574" s="2"/>
    </row>
    <row r="575" ht="14.25" customHeight="1">
      <c r="B575" s="1"/>
      <c r="C575" s="2"/>
    </row>
    <row r="576" ht="14.25" customHeight="1">
      <c r="B576" s="1"/>
      <c r="C576" s="2"/>
    </row>
    <row r="577" ht="14.25" customHeight="1">
      <c r="B577" s="1"/>
      <c r="C577" s="2"/>
    </row>
    <row r="578" ht="14.25" customHeight="1">
      <c r="B578" s="1"/>
      <c r="C578" s="2"/>
    </row>
    <row r="579" ht="14.25" customHeight="1">
      <c r="B579" s="1"/>
      <c r="C579" s="2"/>
    </row>
    <row r="580" ht="14.25" customHeight="1">
      <c r="B580" s="1"/>
      <c r="C580" s="2"/>
    </row>
    <row r="581" ht="14.25" customHeight="1">
      <c r="B581" s="1"/>
      <c r="C581" s="2"/>
    </row>
    <row r="582" ht="14.25" customHeight="1">
      <c r="B582" s="1"/>
      <c r="C582" s="2"/>
    </row>
    <row r="583" ht="14.25" customHeight="1">
      <c r="B583" s="1"/>
      <c r="C583" s="2"/>
    </row>
    <row r="584" ht="14.25" customHeight="1">
      <c r="B584" s="1"/>
      <c r="C584" s="2"/>
    </row>
    <row r="585" ht="14.25" customHeight="1">
      <c r="B585" s="1"/>
      <c r="C585" s="2"/>
    </row>
    <row r="586" ht="14.25" customHeight="1">
      <c r="B586" s="1"/>
      <c r="C586" s="2"/>
    </row>
    <row r="587" ht="14.25" customHeight="1">
      <c r="B587" s="1"/>
      <c r="C587" s="2"/>
    </row>
    <row r="588" ht="14.25" customHeight="1">
      <c r="B588" s="1"/>
      <c r="C588" s="2"/>
    </row>
    <row r="589" ht="14.25" customHeight="1">
      <c r="B589" s="1"/>
      <c r="C589" s="2"/>
    </row>
    <row r="590" ht="14.25" customHeight="1">
      <c r="B590" s="1"/>
      <c r="C590" s="2"/>
    </row>
    <row r="591" ht="14.25" customHeight="1">
      <c r="B591" s="1"/>
      <c r="C591" s="2"/>
    </row>
    <row r="592" ht="14.25" customHeight="1">
      <c r="B592" s="1"/>
      <c r="C592" s="2"/>
    </row>
    <row r="593" ht="14.25" customHeight="1">
      <c r="B593" s="1"/>
      <c r="C593" s="2"/>
    </row>
    <row r="594" ht="14.25" customHeight="1">
      <c r="B594" s="1"/>
      <c r="C594" s="2"/>
    </row>
    <row r="595" ht="14.25" customHeight="1">
      <c r="B595" s="1"/>
      <c r="C595" s="2"/>
    </row>
    <row r="596" ht="14.25" customHeight="1">
      <c r="B596" s="1"/>
      <c r="C596" s="2"/>
    </row>
    <row r="597" ht="14.25" customHeight="1">
      <c r="B597" s="1"/>
      <c r="C597" s="2"/>
    </row>
    <row r="598" ht="14.25" customHeight="1">
      <c r="B598" s="1"/>
      <c r="C598" s="2"/>
    </row>
    <row r="599" ht="14.25" customHeight="1">
      <c r="B599" s="1"/>
      <c r="C599" s="2"/>
    </row>
    <row r="600" ht="14.25" customHeight="1">
      <c r="B600" s="1"/>
      <c r="C600" s="2"/>
    </row>
    <row r="601" ht="14.25" customHeight="1">
      <c r="B601" s="1"/>
      <c r="C601" s="2"/>
    </row>
    <row r="602" ht="14.25" customHeight="1">
      <c r="B602" s="1"/>
      <c r="C602" s="2"/>
    </row>
    <row r="603" ht="14.25" customHeight="1">
      <c r="B603" s="1"/>
      <c r="C603" s="2"/>
    </row>
    <row r="604" ht="14.25" customHeight="1">
      <c r="B604" s="1"/>
      <c r="C604" s="2"/>
    </row>
    <row r="605" ht="14.25" customHeight="1">
      <c r="B605" s="1"/>
      <c r="C605" s="2"/>
    </row>
    <row r="606" ht="14.25" customHeight="1">
      <c r="B606" s="1"/>
      <c r="C606" s="2"/>
    </row>
    <row r="607" ht="14.25" customHeight="1">
      <c r="B607" s="1"/>
      <c r="C607" s="2"/>
    </row>
    <row r="608" ht="14.25" customHeight="1">
      <c r="B608" s="1"/>
      <c r="C608" s="2"/>
    </row>
    <row r="609" ht="14.25" customHeight="1">
      <c r="B609" s="1"/>
      <c r="C609" s="2"/>
    </row>
    <row r="610" ht="14.25" customHeight="1">
      <c r="B610" s="1"/>
      <c r="C610" s="2"/>
    </row>
    <row r="611" ht="14.25" customHeight="1">
      <c r="B611" s="1"/>
      <c r="C611" s="2"/>
    </row>
    <row r="612" ht="14.25" customHeight="1">
      <c r="B612" s="1"/>
      <c r="C612" s="2"/>
    </row>
    <row r="613" ht="14.25" customHeight="1">
      <c r="B613" s="1"/>
      <c r="C613" s="2"/>
    </row>
    <row r="614" ht="14.25" customHeight="1">
      <c r="B614" s="1"/>
      <c r="C614" s="2"/>
    </row>
    <row r="615" ht="14.25" customHeight="1">
      <c r="B615" s="1"/>
      <c r="C615" s="2"/>
    </row>
    <row r="616" ht="14.25" customHeight="1">
      <c r="B616" s="1"/>
      <c r="C616" s="2"/>
    </row>
    <row r="617" ht="14.25" customHeight="1">
      <c r="B617" s="1"/>
      <c r="C617" s="2"/>
    </row>
    <row r="618" ht="14.25" customHeight="1">
      <c r="B618" s="1"/>
      <c r="C618" s="2"/>
    </row>
    <row r="619" ht="14.25" customHeight="1">
      <c r="B619" s="1"/>
      <c r="C619" s="2"/>
    </row>
    <row r="620" ht="14.25" customHeight="1">
      <c r="B620" s="1"/>
      <c r="C620" s="2"/>
    </row>
    <row r="621" ht="14.25" customHeight="1">
      <c r="B621" s="1"/>
      <c r="C621" s="2"/>
    </row>
    <row r="622" ht="14.25" customHeight="1">
      <c r="B622" s="1"/>
      <c r="C622" s="2"/>
    </row>
    <row r="623" ht="14.25" customHeight="1">
      <c r="B623" s="1"/>
      <c r="C623" s="2"/>
    </row>
    <row r="624" ht="14.25" customHeight="1">
      <c r="B624" s="1"/>
      <c r="C624" s="2"/>
    </row>
    <row r="625" ht="14.25" customHeight="1">
      <c r="B625" s="1"/>
      <c r="C625" s="2"/>
    </row>
    <row r="626" ht="14.25" customHeight="1">
      <c r="B626" s="1"/>
      <c r="C626" s="2"/>
    </row>
    <row r="627" ht="14.25" customHeight="1">
      <c r="B627" s="1"/>
      <c r="C627" s="2"/>
    </row>
    <row r="628" ht="14.25" customHeight="1">
      <c r="B628" s="1"/>
      <c r="C628" s="2"/>
    </row>
    <row r="629" ht="14.25" customHeight="1">
      <c r="B629" s="1"/>
      <c r="C629" s="2"/>
    </row>
    <row r="630" ht="14.25" customHeight="1">
      <c r="B630" s="1"/>
      <c r="C630" s="2"/>
    </row>
    <row r="631" ht="14.25" customHeight="1">
      <c r="B631" s="1"/>
      <c r="C631" s="2"/>
    </row>
    <row r="632" ht="14.25" customHeight="1">
      <c r="B632" s="1"/>
      <c r="C632" s="2"/>
    </row>
    <row r="633" ht="14.25" customHeight="1">
      <c r="B633" s="1"/>
      <c r="C633" s="2"/>
    </row>
    <row r="634" ht="14.25" customHeight="1">
      <c r="B634" s="1"/>
      <c r="C634" s="2"/>
    </row>
    <row r="635" ht="14.25" customHeight="1">
      <c r="B635" s="1"/>
      <c r="C635" s="2"/>
    </row>
    <row r="636" ht="14.25" customHeight="1">
      <c r="B636" s="1"/>
      <c r="C636" s="2"/>
    </row>
    <row r="637" ht="14.25" customHeight="1">
      <c r="B637" s="1"/>
      <c r="C637" s="2"/>
    </row>
    <row r="638" ht="14.25" customHeight="1">
      <c r="B638" s="1"/>
      <c r="C638" s="2"/>
    </row>
    <row r="639" ht="14.25" customHeight="1">
      <c r="B639" s="1"/>
      <c r="C639" s="2"/>
    </row>
    <row r="640" ht="14.25" customHeight="1">
      <c r="B640" s="1"/>
      <c r="C640" s="2"/>
    </row>
    <row r="641" ht="14.25" customHeight="1">
      <c r="B641" s="1"/>
      <c r="C641" s="2"/>
    </row>
    <row r="642" ht="14.25" customHeight="1">
      <c r="B642" s="1"/>
      <c r="C642" s="2"/>
    </row>
    <row r="643" ht="14.25" customHeight="1">
      <c r="B643" s="1"/>
      <c r="C643" s="2"/>
    </row>
    <row r="644" ht="14.25" customHeight="1">
      <c r="B644" s="1"/>
      <c r="C644" s="2"/>
    </row>
    <row r="645" ht="14.25" customHeight="1">
      <c r="B645" s="1"/>
      <c r="C645" s="2"/>
    </row>
    <row r="646" ht="14.25" customHeight="1">
      <c r="B646" s="1"/>
      <c r="C646" s="2"/>
    </row>
    <row r="647" ht="14.25" customHeight="1">
      <c r="B647" s="1"/>
      <c r="C647" s="2"/>
    </row>
    <row r="648" ht="14.25" customHeight="1">
      <c r="B648" s="1"/>
      <c r="C648" s="2"/>
    </row>
    <row r="649" ht="14.25" customHeight="1">
      <c r="B649" s="1"/>
      <c r="C649" s="2"/>
    </row>
    <row r="650" ht="14.25" customHeight="1">
      <c r="B650" s="1"/>
      <c r="C650" s="2"/>
    </row>
    <row r="651" ht="14.25" customHeight="1">
      <c r="B651" s="1"/>
      <c r="C651" s="2"/>
    </row>
    <row r="652" ht="14.25" customHeight="1">
      <c r="B652" s="1"/>
      <c r="C652" s="2"/>
    </row>
    <row r="653" ht="14.25" customHeight="1">
      <c r="B653" s="1"/>
      <c r="C653" s="2"/>
    </row>
    <row r="654" ht="14.25" customHeight="1">
      <c r="B654" s="1"/>
      <c r="C654" s="2"/>
    </row>
    <row r="655" ht="14.25" customHeight="1">
      <c r="B655" s="1"/>
      <c r="C655" s="2"/>
    </row>
    <row r="656" ht="14.25" customHeight="1">
      <c r="B656" s="1"/>
      <c r="C656" s="2"/>
    </row>
    <row r="657" ht="14.25" customHeight="1">
      <c r="B657" s="1"/>
      <c r="C657" s="2"/>
    </row>
    <row r="658" ht="14.25" customHeight="1">
      <c r="B658" s="1"/>
      <c r="C658" s="2"/>
    </row>
    <row r="659" ht="14.25" customHeight="1">
      <c r="B659" s="1"/>
      <c r="C659" s="2"/>
    </row>
    <row r="660" ht="14.25" customHeight="1">
      <c r="B660" s="1"/>
      <c r="C660" s="2"/>
    </row>
    <row r="661" ht="14.25" customHeight="1">
      <c r="B661" s="1"/>
      <c r="C661" s="2"/>
    </row>
    <row r="662" ht="14.25" customHeight="1">
      <c r="B662" s="1"/>
      <c r="C662" s="2"/>
    </row>
    <row r="663" ht="14.25" customHeight="1">
      <c r="B663" s="1"/>
      <c r="C663" s="2"/>
    </row>
    <row r="664" ht="14.25" customHeight="1">
      <c r="B664" s="1"/>
      <c r="C664" s="2"/>
    </row>
    <row r="665" ht="14.25" customHeight="1">
      <c r="B665" s="1"/>
      <c r="C665" s="2"/>
    </row>
    <row r="666" ht="14.25" customHeight="1">
      <c r="B666" s="1"/>
      <c r="C666" s="2"/>
    </row>
    <row r="667" ht="14.25" customHeight="1">
      <c r="B667" s="1"/>
      <c r="C667" s="2"/>
    </row>
    <row r="668" ht="14.25" customHeight="1">
      <c r="B668" s="1"/>
      <c r="C668" s="2"/>
    </row>
    <row r="669" ht="14.25" customHeight="1">
      <c r="B669" s="1"/>
      <c r="C669" s="2"/>
    </row>
    <row r="670" ht="14.25" customHeight="1">
      <c r="B670" s="1"/>
      <c r="C670" s="2"/>
    </row>
    <row r="671" ht="14.25" customHeight="1">
      <c r="B671" s="1"/>
      <c r="C671" s="2"/>
    </row>
    <row r="672" ht="14.25" customHeight="1">
      <c r="B672" s="1"/>
      <c r="C672" s="2"/>
    </row>
    <row r="673" ht="14.25" customHeight="1">
      <c r="B673" s="1"/>
      <c r="C673" s="2"/>
    </row>
    <row r="674" ht="14.25" customHeight="1">
      <c r="B674" s="1"/>
      <c r="C674" s="2"/>
    </row>
    <row r="675" ht="14.25" customHeight="1">
      <c r="B675" s="1"/>
      <c r="C675" s="2"/>
    </row>
    <row r="676" ht="14.25" customHeight="1">
      <c r="B676" s="1"/>
      <c r="C676" s="2"/>
    </row>
    <row r="677" ht="14.25" customHeight="1">
      <c r="B677" s="1"/>
      <c r="C677" s="2"/>
    </row>
    <row r="678" ht="14.25" customHeight="1">
      <c r="B678" s="1"/>
      <c r="C678" s="2"/>
    </row>
    <row r="679" ht="14.25" customHeight="1">
      <c r="B679" s="1"/>
      <c r="C679" s="2"/>
    </row>
    <row r="680" ht="14.25" customHeight="1">
      <c r="B680" s="1"/>
      <c r="C680" s="2"/>
    </row>
    <row r="681" ht="14.25" customHeight="1">
      <c r="B681" s="1"/>
      <c r="C681" s="2"/>
    </row>
    <row r="682" ht="14.25" customHeight="1">
      <c r="B682" s="1"/>
      <c r="C682" s="2"/>
    </row>
    <row r="683" ht="14.25" customHeight="1">
      <c r="B683" s="1"/>
      <c r="C683" s="2"/>
    </row>
    <row r="684" ht="14.25" customHeight="1">
      <c r="B684" s="1"/>
      <c r="C684" s="2"/>
    </row>
    <row r="685" ht="14.25" customHeight="1">
      <c r="B685" s="1"/>
      <c r="C685" s="2"/>
    </row>
    <row r="686" ht="14.25" customHeight="1">
      <c r="B686" s="1"/>
      <c r="C686" s="2"/>
    </row>
    <row r="687" ht="14.25" customHeight="1">
      <c r="B687" s="1"/>
      <c r="C687" s="2"/>
    </row>
    <row r="688" ht="14.25" customHeight="1">
      <c r="B688" s="1"/>
      <c r="C688" s="2"/>
    </row>
    <row r="689" ht="14.25" customHeight="1">
      <c r="B689" s="1"/>
      <c r="C689" s="2"/>
    </row>
    <row r="690" ht="14.25" customHeight="1">
      <c r="B690" s="1"/>
      <c r="C690" s="2"/>
    </row>
    <row r="691" ht="14.25" customHeight="1">
      <c r="B691" s="1"/>
      <c r="C691" s="2"/>
    </row>
    <row r="692" ht="14.25" customHeight="1">
      <c r="B692" s="1"/>
      <c r="C692" s="2"/>
    </row>
    <row r="693" ht="14.25" customHeight="1">
      <c r="B693" s="1"/>
      <c r="C693" s="2"/>
    </row>
    <row r="694" ht="14.25" customHeight="1">
      <c r="B694" s="1"/>
      <c r="C694" s="2"/>
    </row>
    <row r="695" ht="14.25" customHeight="1">
      <c r="B695" s="1"/>
      <c r="C695" s="2"/>
    </row>
    <row r="696" ht="14.25" customHeight="1">
      <c r="B696" s="1"/>
      <c r="C696" s="2"/>
    </row>
    <row r="697" ht="14.25" customHeight="1">
      <c r="B697" s="1"/>
      <c r="C697" s="2"/>
    </row>
    <row r="698" ht="14.25" customHeight="1">
      <c r="B698" s="1"/>
      <c r="C698" s="2"/>
    </row>
    <row r="699" ht="14.25" customHeight="1">
      <c r="B699" s="1"/>
      <c r="C699" s="2"/>
    </row>
    <row r="700" ht="14.25" customHeight="1">
      <c r="B700" s="1"/>
      <c r="C700" s="2"/>
    </row>
    <row r="701" ht="14.25" customHeight="1">
      <c r="B701" s="1"/>
      <c r="C701" s="2"/>
    </row>
    <row r="702" ht="14.25" customHeight="1">
      <c r="B702" s="1"/>
      <c r="C702" s="2"/>
    </row>
    <row r="703" ht="14.25" customHeight="1">
      <c r="B703" s="1"/>
      <c r="C703" s="2"/>
    </row>
    <row r="704" ht="14.25" customHeight="1">
      <c r="B704" s="1"/>
      <c r="C704" s="2"/>
    </row>
    <row r="705" ht="14.25" customHeight="1">
      <c r="B705" s="1"/>
      <c r="C705" s="2"/>
    </row>
    <row r="706" ht="14.25" customHeight="1">
      <c r="B706" s="1"/>
      <c r="C706" s="2"/>
    </row>
    <row r="707" ht="14.25" customHeight="1">
      <c r="B707" s="1"/>
      <c r="C707" s="2"/>
    </row>
    <row r="708" ht="14.25" customHeight="1">
      <c r="B708" s="1"/>
      <c r="C708" s="2"/>
    </row>
    <row r="709" ht="14.25" customHeight="1">
      <c r="B709" s="1"/>
      <c r="C709" s="2"/>
    </row>
    <row r="710" ht="14.25" customHeight="1">
      <c r="B710" s="1"/>
      <c r="C710" s="2"/>
    </row>
    <row r="711" ht="14.25" customHeight="1">
      <c r="B711" s="1"/>
      <c r="C711" s="2"/>
    </row>
    <row r="712" ht="14.25" customHeight="1">
      <c r="B712" s="1"/>
      <c r="C712" s="2"/>
    </row>
    <row r="713" ht="14.25" customHeight="1">
      <c r="B713" s="1"/>
      <c r="C713" s="2"/>
    </row>
    <row r="714" ht="14.25" customHeight="1">
      <c r="B714" s="1"/>
      <c r="C714" s="2"/>
    </row>
    <row r="715" ht="14.25" customHeight="1">
      <c r="B715" s="1"/>
      <c r="C715" s="2"/>
    </row>
    <row r="716" ht="14.25" customHeight="1">
      <c r="B716" s="1"/>
      <c r="C716" s="2"/>
    </row>
    <row r="717" ht="14.25" customHeight="1">
      <c r="B717" s="1"/>
      <c r="C717" s="2"/>
    </row>
    <row r="718" ht="14.25" customHeight="1">
      <c r="B718" s="1"/>
      <c r="C718" s="2"/>
    </row>
    <row r="719" ht="14.25" customHeight="1">
      <c r="B719" s="1"/>
      <c r="C719" s="2"/>
    </row>
    <row r="720" ht="14.25" customHeight="1">
      <c r="B720" s="1"/>
      <c r="C720" s="2"/>
    </row>
    <row r="721" ht="14.25" customHeight="1">
      <c r="B721" s="1"/>
      <c r="C721" s="2"/>
    </row>
    <row r="722" ht="14.25" customHeight="1">
      <c r="B722" s="1"/>
      <c r="C722" s="2"/>
    </row>
    <row r="723" ht="14.25" customHeight="1">
      <c r="B723" s="1"/>
      <c r="C723" s="2"/>
    </row>
    <row r="724" ht="14.25" customHeight="1">
      <c r="B724" s="1"/>
      <c r="C724" s="2"/>
    </row>
    <row r="725" ht="14.25" customHeight="1">
      <c r="B725" s="1"/>
      <c r="C725" s="2"/>
    </row>
    <row r="726" ht="14.25" customHeight="1">
      <c r="B726" s="1"/>
      <c r="C726" s="2"/>
    </row>
    <row r="727" ht="14.25" customHeight="1">
      <c r="B727" s="1"/>
      <c r="C727" s="2"/>
    </row>
    <row r="728" ht="14.25" customHeight="1">
      <c r="B728" s="1"/>
      <c r="C728" s="2"/>
    </row>
    <row r="729" ht="14.25" customHeight="1">
      <c r="B729" s="1"/>
      <c r="C729" s="2"/>
    </row>
    <row r="730" ht="14.25" customHeight="1">
      <c r="B730" s="1"/>
      <c r="C730" s="2"/>
    </row>
    <row r="731" ht="14.25" customHeight="1">
      <c r="B731" s="1"/>
      <c r="C731" s="2"/>
    </row>
    <row r="732" ht="14.25" customHeight="1">
      <c r="B732" s="1"/>
      <c r="C732" s="2"/>
    </row>
    <row r="733" ht="14.25" customHeight="1">
      <c r="B733" s="1"/>
      <c r="C733" s="2"/>
    </row>
    <row r="734" ht="14.25" customHeight="1">
      <c r="B734" s="1"/>
      <c r="C734" s="2"/>
    </row>
    <row r="735" ht="14.25" customHeight="1">
      <c r="B735" s="1"/>
      <c r="C735" s="2"/>
    </row>
    <row r="736" ht="14.25" customHeight="1">
      <c r="B736" s="1"/>
      <c r="C736" s="2"/>
    </row>
    <row r="737" ht="14.25" customHeight="1">
      <c r="B737" s="1"/>
      <c r="C737" s="2"/>
    </row>
    <row r="738" ht="14.25" customHeight="1">
      <c r="B738" s="1"/>
      <c r="C738" s="2"/>
    </row>
    <row r="739" ht="14.25" customHeight="1">
      <c r="B739" s="1"/>
      <c r="C739" s="2"/>
    </row>
    <row r="740" ht="14.25" customHeight="1">
      <c r="B740" s="1"/>
      <c r="C740" s="2"/>
    </row>
    <row r="741" ht="14.25" customHeight="1">
      <c r="B741" s="1"/>
      <c r="C741" s="2"/>
    </row>
    <row r="742" ht="14.25" customHeight="1">
      <c r="B742" s="1"/>
      <c r="C742" s="2"/>
    </row>
    <row r="743" ht="14.25" customHeight="1">
      <c r="B743" s="1"/>
      <c r="C743" s="2"/>
    </row>
    <row r="744" ht="14.25" customHeight="1">
      <c r="B744" s="1"/>
      <c r="C744" s="2"/>
    </row>
    <row r="745" ht="14.25" customHeight="1">
      <c r="B745" s="1"/>
      <c r="C745" s="2"/>
    </row>
    <row r="746" ht="14.25" customHeight="1">
      <c r="B746" s="1"/>
      <c r="C746" s="2"/>
    </row>
    <row r="747" ht="14.25" customHeight="1">
      <c r="B747" s="1"/>
      <c r="C747" s="2"/>
    </row>
    <row r="748" ht="14.25" customHeight="1">
      <c r="B748" s="1"/>
      <c r="C748" s="2"/>
    </row>
    <row r="749" ht="14.25" customHeight="1">
      <c r="B749" s="1"/>
      <c r="C749" s="2"/>
    </row>
    <row r="750" ht="14.25" customHeight="1">
      <c r="B750" s="1"/>
      <c r="C750" s="2"/>
    </row>
    <row r="751" ht="14.25" customHeight="1">
      <c r="B751" s="1"/>
      <c r="C751" s="2"/>
    </row>
    <row r="752" ht="14.25" customHeight="1">
      <c r="B752" s="1"/>
      <c r="C752" s="2"/>
    </row>
    <row r="753" ht="14.25" customHeight="1">
      <c r="B753" s="1"/>
      <c r="C753" s="2"/>
    </row>
    <row r="754" ht="14.25" customHeight="1">
      <c r="B754" s="1"/>
      <c r="C754" s="2"/>
    </row>
    <row r="755" ht="14.25" customHeight="1">
      <c r="B755" s="1"/>
      <c r="C755" s="2"/>
    </row>
    <row r="756" ht="14.25" customHeight="1">
      <c r="B756" s="1"/>
      <c r="C756" s="2"/>
    </row>
    <row r="757" ht="14.25" customHeight="1">
      <c r="B757" s="1"/>
      <c r="C757" s="2"/>
    </row>
    <row r="758" ht="14.25" customHeight="1">
      <c r="B758" s="1"/>
      <c r="C758" s="2"/>
    </row>
    <row r="759" ht="14.25" customHeight="1">
      <c r="B759" s="1"/>
      <c r="C759" s="2"/>
    </row>
    <row r="760" ht="14.25" customHeight="1">
      <c r="B760" s="1"/>
      <c r="C760" s="2"/>
    </row>
    <row r="761" ht="14.25" customHeight="1">
      <c r="B761" s="1"/>
      <c r="C761" s="2"/>
    </row>
    <row r="762" ht="14.25" customHeight="1">
      <c r="B762" s="1"/>
      <c r="C762" s="2"/>
    </row>
    <row r="763" ht="14.25" customHeight="1">
      <c r="B763" s="1"/>
      <c r="C763" s="2"/>
    </row>
    <row r="764" ht="14.25" customHeight="1">
      <c r="B764" s="1"/>
      <c r="C764" s="2"/>
    </row>
    <row r="765" ht="14.25" customHeight="1">
      <c r="B765" s="1"/>
      <c r="C765" s="2"/>
    </row>
    <row r="766" ht="14.25" customHeight="1">
      <c r="B766" s="1"/>
      <c r="C766" s="2"/>
    </row>
    <row r="767" ht="14.25" customHeight="1">
      <c r="B767" s="1"/>
      <c r="C767" s="2"/>
    </row>
    <row r="768" ht="14.25" customHeight="1">
      <c r="B768" s="1"/>
      <c r="C768" s="2"/>
    </row>
    <row r="769" ht="14.25" customHeight="1">
      <c r="B769" s="1"/>
      <c r="C769" s="2"/>
    </row>
    <row r="770" ht="14.25" customHeight="1">
      <c r="B770" s="1"/>
      <c r="C770" s="2"/>
    </row>
    <row r="771" ht="14.25" customHeight="1">
      <c r="B771" s="1"/>
      <c r="C771" s="2"/>
    </row>
    <row r="772" ht="14.25" customHeight="1">
      <c r="B772" s="1"/>
      <c r="C772" s="2"/>
    </row>
    <row r="773" ht="14.25" customHeight="1">
      <c r="B773" s="1"/>
      <c r="C773" s="2"/>
    </row>
    <row r="774" ht="14.25" customHeight="1">
      <c r="B774" s="1"/>
      <c r="C774" s="2"/>
    </row>
    <row r="775" ht="14.25" customHeight="1">
      <c r="B775" s="1"/>
      <c r="C775" s="2"/>
    </row>
    <row r="776" ht="14.25" customHeight="1">
      <c r="B776" s="1"/>
      <c r="C776" s="2"/>
    </row>
    <row r="777" ht="14.25" customHeight="1">
      <c r="B777" s="1"/>
      <c r="C777" s="2"/>
    </row>
    <row r="778" ht="14.25" customHeight="1">
      <c r="B778" s="1"/>
      <c r="C778" s="2"/>
    </row>
    <row r="779" ht="14.25" customHeight="1">
      <c r="B779" s="1"/>
      <c r="C779" s="2"/>
    </row>
    <row r="780" ht="14.25" customHeight="1">
      <c r="B780" s="1"/>
      <c r="C780" s="2"/>
    </row>
    <row r="781" ht="14.25" customHeight="1">
      <c r="B781" s="1"/>
      <c r="C781" s="2"/>
    </row>
    <row r="782" ht="14.25" customHeight="1">
      <c r="B782" s="1"/>
      <c r="C782" s="2"/>
    </row>
    <row r="783" ht="14.25" customHeight="1">
      <c r="B783" s="1"/>
      <c r="C783" s="2"/>
    </row>
    <row r="784" ht="14.25" customHeight="1">
      <c r="B784" s="1"/>
      <c r="C784" s="2"/>
    </row>
    <row r="785" ht="14.25" customHeight="1">
      <c r="B785" s="1"/>
      <c r="C785" s="2"/>
    </row>
    <row r="786" ht="14.25" customHeight="1">
      <c r="B786" s="1"/>
      <c r="C786" s="2"/>
    </row>
    <row r="787" ht="14.25" customHeight="1">
      <c r="B787" s="1"/>
      <c r="C787" s="2"/>
    </row>
    <row r="788" ht="14.25" customHeight="1">
      <c r="B788" s="1"/>
      <c r="C788" s="2"/>
    </row>
    <row r="789" ht="14.25" customHeight="1">
      <c r="B789" s="1"/>
      <c r="C789" s="2"/>
    </row>
    <row r="790" ht="14.25" customHeight="1">
      <c r="B790" s="1"/>
      <c r="C790" s="2"/>
    </row>
    <row r="791" ht="14.25" customHeight="1">
      <c r="B791" s="1"/>
      <c r="C791" s="2"/>
    </row>
    <row r="792" ht="14.25" customHeight="1">
      <c r="B792" s="1"/>
      <c r="C792" s="2"/>
    </row>
    <row r="793" ht="14.25" customHeight="1">
      <c r="B793" s="1"/>
      <c r="C793" s="2"/>
    </row>
    <row r="794" ht="14.25" customHeight="1">
      <c r="B794" s="1"/>
      <c r="C794" s="2"/>
    </row>
    <row r="795" ht="14.25" customHeight="1">
      <c r="B795" s="1"/>
      <c r="C795" s="2"/>
    </row>
    <row r="796" ht="14.25" customHeight="1">
      <c r="B796" s="1"/>
      <c r="C796" s="2"/>
    </row>
    <row r="797" ht="14.25" customHeight="1">
      <c r="B797" s="1"/>
      <c r="C797" s="2"/>
    </row>
    <row r="798" ht="14.25" customHeight="1">
      <c r="B798" s="1"/>
      <c r="C798" s="2"/>
    </row>
    <row r="799" ht="14.25" customHeight="1">
      <c r="B799" s="1"/>
      <c r="C799" s="2"/>
    </row>
    <row r="800" ht="14.25" customHeight="1">
      <c r="B800" s="1"/>
      <c r="C800" s="2"/>
    </row>
    <row r="801" ht="14.25" customHeight="1">
      <c r="B801" s="1"/>
      <c r="C801" s="2"/>
    </row>
    <row r="802" ht="14.25" customHeight="1">
      <c r="B802" s="1"/>
      <c r="C802" s="2"/>
    </row>
    <row r="803" ht="14.25" customHeight="1">
      <c r="B803" s="1"/>
      <c r="C803" s="2"/>
    </row>
    <row r="804" ht="14.25" customHeight="1">
      <c r="B804" s="1"/>
      <c r="C804" s="2"/>
    </row>
    <row r="805" ht="14.25" customHeight="1">
      <c r="B805" s="1"/>
      <c r="C805" s="2"/>
    </row>
    <row r="806" ht="14.25" customHeight="1">
      <c r="B806" s="1"/>
      <c r="C806" s="2"/>
    </row>
    <row r="807" ht="14.25" customHeight="1">
      <c r="B807" s="1"/>
      <c r="C807" s="2"/>
    </row>
    <row r="808" ht="14.25" customHeight="1">
      <c r="B808" s="1"/>
      <c r="C808" s="2"/>
    </row>
    <row r="809" ht="14.25" customHeight="1">
      <c r="B809" s="1"/>
      <c r="C809" s="2"/>
    </row>
    <row r="810" ht="14.25" customHeight="1">
      <c r="B810" s="1"/>
      <c r="C810" s="2"/>
    </row>
    <row r="811" ht="14.25" customHeight="1">
      <c r="B811" s="1"/>
      <c r="C811" s="2"/>
    </row>
    <row r="812" ht="14.25" customHeight="1">
      <c r="B812" s="1"/>
      <c r="C812" s="2"/>
    </row>
    <row r="813" ht="14.25" customHeight="1">
      <c r="B813" s="1"/>
      <c r="C813" s="2"/>
    </row>
    <row r="814" ht="14.25" customHeight="1">
      <c r="B814" s="1"/>
      <c r="C814" s="2"/>
    </row>
    <row r="815" ht="14.25" customHeight="1">
      <c r="B815" s="1"/>
      <c r="C815" s="2"/>
    </row>
    <row r="816" ht="14.25" customHeight="1">
      <c r="B816" s="1"/>
      <c r="C816" s="2"/>
    </row>
    <row r="817" ht="14.25" customHeight="1">
      <c r="B817" s="1"/>
      <c r="C817" s="2"/>
    </row>
    <row r="818" ht="14.25" customHeight="1">
      <c r="B818" s="1"/>
      <c r="C818" s="2"/>
    </row>
    <row r="819" ht="14.25" customHeight="1">
      <c r="B819" s="1"/>
      <c r="C819" s="2"/>
    </row>
    <row r="820" ht="14.25" customHeight="1">
      <c r="B820" s="1"/>
      <c r="C820" s="2"/>
    </row>
    <row r="821" ht="14.25" customHeight="1">
      <c r="B821" s="1"/>
      <c r="C821" s="2"/>
    </row>
    <row r="822" ht="14.25" customHeight="1">
      <c r="B822" s="1"/>
      <c r="C822" s="2"/>
    </row>
    <row r="823" ht="14.25" customHeight="1">
      <c r="B823" s="1"/>
      <c r="C823" s="2"/>
    </row>
    <row r="824" ht="14.25" customHeight="1">
      <c r="B824" s="1"/>
      <c r="C824" s="2"/>
    </row>
    <row r="825" ht="14.25" customHeight="1">
      <c r="B825" s="1"/>
      <c r="C825" s="2"/>
    </row>
    <row r="826" ht="14.25" customHeight="1">
      <c r="B826" s="1"/>
      <c r="C826" s="2"/>
    </row>
    <row r="827" ht="14.25" customHeight="1">
      <c r="B827" s="1"/>
      <c r="C827" s="2"/>
    </row>
    <row r="828" ht="14.25" customHeight="1">
      <c r="B828" s="1"/>
      <c r="C828" s="2"/>
    </row>
    <row r="829" ht="14.25" customHeight="1">
      <c r="B829" s="1"/>
      <c r="C829" s="2"/>
    </row>
    <row r="830" ht="14.25" customHeight="1">
      <c r="B830" s="1"/>
      <c r="C830" s="2"/>
    </row>
    <row r="831" ht="14.25" customHeight="1">
      <c r="B831" s="1"/>
      <c r="C831" s="2"/>
    </row>
    <row r="832" ht="14.25" customHeight="1">
      <c r="B832" s="1"/>
      <c r="C832" s="2"/>
    </row>
    <row r="833" ht="14.25" customHeight="1">
      <c r="B833" s="1"/>
      <c r="C833" s="2"/>
    </row>
    <row r="834" ht="14.25" customHeight="1">
      <c r="B834" s="1"/>
      <c r="C834" s="2"/>
    </row>
    <row r="835" ht="14.25" customHeight="1">
      <c r="B835" s="1"/>
      <c r="C835" s="2"/>
    </row>
    <row r="836" ht="14.25" customHeight="1">
      <c r="B836" s="1"/>
      <c r="C836" s="2"/>
    </row>
    <row r="837" ht="14.25" customHeight="1">
      <c r="B837" s="1"/>
      <c r="C837" s="2"/>
    </row>
    <row r="838" ht="14.25" customHeight="1">
      <c r="B838" s="1"/>
      <c r="C838" s="2"/>
    </row>
    <row r="839" ht="14.25" customHeight="1">
      <c r="B839" s="1"/>
      <c r="C839" s="2"/>
    </row>
    <row r="840" ht="14.25" customHeight="1">
      <c r="B840" s="1"/>
      <c r="C840" s="2"/>
    </row>
    <row r="841" ht="14.25" customHeight="1">
      <c r="B841" s="1"/>
      <c r="C841" s="2"/>
    </row>
    <row r="842" ht="14.25" customHeight="1">
      <c r="B842" s="1"/>
      <c r="C842" s="2"/>
    </row>
    <row r="843" ht="14.25" customHeight="1">
      <c r="B843" s="1"/>
      <c r="C843" s="2"/>
    </row>
    <row r="844" ht="14.25" customHeight="1">
      <c r="B844" s="1"/>
      <c r="C844" s="2"/>
    </row>
    <row r="845" ht="14.25" customHeight="1">
      <c r="B845" s="1"/>
      <c r="C845" s="2"/>
    </row>
    <row r="846" ht="14.25" customHeight="1">
      <c r="B846" s="1"/>
      <c r="C846" s="2"/>
    </row>
    <row r="847" ht="14.25" customHeight="1">
      <c r="B847" s="1"/>
      <c r="C847" s="2"/>
    </row>
    <row r="848" ht="14.25" customHeight="1">
      <c r="B848" s="1"/>
      <c r="C848" s="2"/>
    </row>
    <row r="849" ht="14.25" customHeight="1">
      <c r="B849" s="1"/>
      <c r="C849" s="2"/>
    </row>
    <row r="850" ht="14.25" customHeight="1">
      <c r="B850" s="1"/>
      <c r="C850" s="2"/>
    </row>
    <row r="851" ht="14.25" customHeight="1">
      <c r="B851" s="1"/>
      <c r="C851" s="2"/>
    </row>
    <row r="852" ht="14.25" customHeight="1">
      <c r="B852" s="1"/>
      <c r="C852" s="2"/>
    </row>
    <row r="853" ht="14.25" customHeight="1">
      <c r="B853" s="1"/>
      <c r="C853" s="2"/>
    </row>
    <row r="854" ht="14.25" customHeight="1">
      <c r="B854" s="1"/>
      <c r="C854" s="2"/>
    </row>
    <row r="855" ht="14.25" customHeight="1">
      <c r="B855" s="1"/>
      <c r="C855" s="2"/>
    </row>
    <row r="856" ht="14.25" customHeight="1">
      <c r="B856" s="1"/>
      <c r="C856" s="2"/>
    </row>
    <row r="857" ht="14.25" customHeight="1">
      <c r="B857" s="1"/>
      <c r="C857" s="2"/>
    </row>
    <row r="858" ht="14.25" customHeight="1">
      <c r="B858" s="1"/>
      <c r="C858" s="2"/>
    </row>
    <row r="859" ht="14.25" customHeight="1">
      <c r="B859" s="1"/>
      <c r="C859" s="2"/>
    </row>
    <row r="860" ht="14.25" customHeight="1">
      <c r="B860" s="1"/>
      <c r="C860" s="2"/>
    </row>
    <row r="861" ht="14.25" customHeight="1">
      <c r="B861" s="1"/>
      <c r="C861" s="2"/>
    </row>
    <row r="862" ht="14.25" customHeight="1">
      <c r="B862" s="1"/>
      <c r="C862" s="2"/>
    </row>
    <row r="863" ht="14.25" customHeight="1">
      <c r="B863" s="1"/>
      <c r="C863" s="2"/>
    </row>
    <row r="864" ht="14.25" customHeight="1">
      <c r="B864" s="1"/>
      <c r="C864" s="2"/>
    </row>
    <row r="865" ht="14.25" customHeight="1">
      <c r="B865" s="1"/>
      <c r="C865" s="2"/>
    </row>
    <row r="866" ht="14.25" customHeight="1">
      <c r="B866" s="1"/>
      <c r="C866" s="2"/>
    </row>
    <row r="867" ht="14.25" customHeight="1">
      <c r="B867" s="1"/>
      <c r="C867" s="2"/>
    </row>
    <row r="868" ht="14.25" customHeight="1">
      <c r="B868" s="1"/>
      <c r="C868" s="2"/>
    </row>
    <row r="869" ht="14.25" customHeight="1">
      <c r="B869" s="1"/>
      <c r="C869" s="2"/>
    </row>
    <row r="870" ht="14.25" customHeight="1">
      <c r="B870" s="1"/>
      <c r="C870" s="2"/>
    </row>
    <row r="871" ht="14.25" customHeight="1">
      <c r="B871" s="1"/>
      <c r="C871" s="2"/>
    </row>
    <row r="872" ht="14.25" customHeight="1">
      <c r="B872" s="1"/>
      <c r="C872" s="2"/>
    </row>
    <row r="873" ht="14.25" customHeight="1">
      <c r="B873" s="1"/>
      <c r="C873" s="2"/>
    </row>
    <row r="874" ht="14.25" customHeight="1">
      <c r="B874" s="1"/>
      <c r="C874" s="2"/>
    </row>
    <row r="875" ht="14.25" customHeight="1">
      <c r="B875" s="1"/>
      <c r="C875" s="2"/>
    </row>
    <row r="876" ht="14.25" customHeight="1">
      <c r="B876" s="1"/>
      <c r="C876" s="2"/>
    </row>
    <row r="877" ht="14.25" customHeight="1">
      <c r="B877" s="1"/>
      <c r="C877" s="2"/>
    </row>
    <row r="878" ht="14.25" customHeight="1">
      <c r="B878" s="1"/>
      <c r="C878" s="2"/>
    </row>
    <row r="879" ht="14.25" customHeight="1">
      <c r="B879" s="1"/>
      <c r="C879" s="2"/>
    </row>
    <row r="880" ht="14.25" customHeight="1">
      <c r="B880" s="1"/>
      <c r="C880" s="2"/>
    </row>
    <row r="881" ht="14.25" customHeight="1">
      <c r="B881" s="1"/>
      <c r="C881" s="2"/>
    </row>
    <row r="882" ht="14.25" customHeight="1">
      <c r="B882" s="1"/>
      <c r="C882" s="2"/>
    </row>
    <row r="883" ht="14.25" customHeight="1">
      <c r="B883" s="1"/>
      <c r="C883" s="2"/>
    </row>
    <row r="884" ht="14.25" customHeight="1">
      <c r="B884" s="1"/>
      <c r="C884" s="2"/>
    </row>
    <row r="885" ht="14.25" customHeight="1">
      <c r="B885" s="1"/>
      <c r="C885" s="2"/>
    </row>
    <row r="886" ht="14.25" customHeight="1">
      <c r="B886" s="1"/>
      <c r="C886" s="2"/>
    </row>
    <row r="887" ht="14.25" customHeight="1">
      <c r="B887" s="1"/>
      <c r="C887" s="2"/>
    </row>
    <row r="888" ht="14.25" customHeight="1">
      <c r="B888" s="1"/>
      <c r="C888" s="2"/>
    </row>
    <row r="889" ht="14.25" customHeight="1">
      <c r="B889" s="1"/>
      <c r="C889" s="2"/>
    </row>
    <row r="890" ht="14.25" customHeight="1">
      <c r="B890" s="1"/>
      <c r="C890" s="2"/>
    </row>
    <row r="891" ht="14.25" customHeight="1">
      <c r="B891" s="1"/>
      <c r="C891" s="2"/>
    </row>
    <row r="892" ht="14.25" customHeight="1">
      <c r="B892" s="1"/>
      <c r="C892" s="2"/>
    </row>
    <row r="893" ht="14.25" customHeight="1">
      <c r="B893" s="1"/>
      <c r="C893" s="2"/>
    </row>
    <row r="894" ht="14.25" customHeight="1">
      <c r="B894" s="1"/>
      <c r="C894" s="2"/>
    </row>
    <row r="895" ht="14.25" customHeight="1">
      <c r="B895" s="1"/>
      <c r="C895" s="2"/>
    </row>
    <row r="896" ht="14.25" customHeight="1">
      <c r="B896" s="1"/>
      <c r="C896" s="2"/>
    </row>
    <row r="897" ht="14.25" customHeight="1">
      <c r="B897" s="1"/>
      <c r="C897" s="2"/>
    </row>
    <row r="898" ht="14.25" customHeight="1">
      <c r="B898" s="1"/>
      <c r="C898" s="2"/>
    </row>
    <row r="899" ht="14.25" customHeight="1">
      <c r="B899" s="1"/>
      <c r="C899" s="2"/>
    </row>
    <row r="900" ht="14.25" customHeight="1">
      <c r="B900" s="1"/>
      <c r="C900" s="2"/>
    </row>
    <row r="901" ht="14.25" customHeight="1">
      <c r="B901" s="1"/>
      <c r="C901" s="2"/>
    </row>
    <row r="902" ht="14.25" customHeight="1">
      <c r="B902" s="1"/>
      <c r="C902" s="2"/>
    </row>
    <row r="903" ht="14.25" customHeight="1">
      <c r="B903" s="1"/>
      <c r="C903" s="2"/>
    </row>
    <row r="904" ht="14.25" customHeight="1">
      <c r="B904" s="1"/>
      <c r="C904" s="2"/>
    </row>
    <row r="905" ht="14.25" customHeight="1">
      <c r="B905" s="1"/>
      <c r="C905" s="2"/>
    </row>
    <row r="906" ht="14.25" customHeight="1">
      <c r="B906" s="1"/>
      <c r="C906" s="2"/>
    </row>
    <row r="907" ht="14.25" customHeight="1">
      <c r="B907" s="1"/>
      <c r="C907" s="2"/>
    </row>
    <row r="908" ht="14.25" customHeight="1">
      <c r="B908" s="1"/>
      <c r="C908" s="2"/>
    </row>
    <row r="909" ht="14.25" customHeight="1">
      <c r="B909" s="1"/>
      <c r="C909" s="2"/>
    </row>
    <row r="910" ht="14.25" customHeight="1">
      <c r="B910" s="1"/>
      <c r="C910" s="2"/>
    </row>
    <row r="911" ht="14.25" customHeight="1">
      <c r="B911" s="1"/>
      <c r="C911" s="2"/>
    </row>
    <row r="912" ht="14.25" customHeight="1">
      <c r="B912" s="1"/>
      <c r="C912" s="2"/>
    </row>
    <row r="913" ht="14.25" customHeight="1">
      <c r="B913" s="1"/>
      <c r="C913" s="2"/>
    </row>
    <row r="914" ht="14.25" customHeight="1">
      <c r="B914" s="1"/>
      <c r="C914" s="2"/>
    </row>
    <row r="915" ht="14.25" customHeight="1">
      <c r="B915" s="1"/>
      <c r="C915" s="2"/>
    </row>
    <row r="916" ht="14.25" customHeight="1">
      <c r="B916" s="1"/>
      <c r="C916" s="2"/>
    </row>
    <row r="917" ht="14.25" customHeight="1">
      <c r="B917" s="1"/>
      <c r="C917" s="2"/>
    </row>
    <row r="918" ht="14.25" customHeight="1">
      <c r="B918" s="1"/>
      <c r="C918" s="2"/>
    </row>
    <row r="919" ht="14.25" customHeight="1">
      <c r="B919" s="1"/>
      <c r="C919" s="2"/>
    </row>
    <row r="920" ht="14.25" customHeight="1">
      <c r="B920" s="1"/>
      <c r="C920" s="2"/>
    </row>
    <row r="921" ht="14.25" customHeight="1">
      <c r="B921" s="1"/>
      <c r="C921" s="2"/>
    </row>
    <row r="922" ht="14.25" customHeight="1">
      <c r="B922" s="1"/>
      <c r="C922" s="2"/>
    </row>
    <row r="923" ht="14.25" customHeight="1">
      <c r="B923" s="1"/>
      <c r="C923" s="2"/>
    </row>
    <row r="924" ht="14.25" customHeight="1">
      <c r="B924" s="1"/>
      <c r="C924" s="2"/>
    </row>
    <row r="925" ht="14.25" customHeight="1">
      <c r="B925" s="1"/>
      <c r="C925" s="2"/>
    </row>
    <row r="926" ht="14.25" customHeight="1">
      <c r="B926" s="1"/>
      <c r="C926" s="2"/>
    </row>
    <row r="927" ht="14.25" customHeight="1">
      <c r="B927" s="1"/>
      <c r="C927" s="2"/>
    </row>
    <row r="928" ht="14.25" customHeight="1">
      <c r="B928" s="1"/>
      <c r="C928" s="2"/>
    </row>
    <row r="929" ht="14.25" customHeight="1">
      <c r="B929" s="1"/>
      <c r="C929" s="2"/>
    </row>
    <row r="930" ht="14.25" customHeight="1">
      <c r="B930" s="1"/>
      <c r="C930" s="2"/>
    </row>
    <row r="931" ht="14.25" customHeight="1">
      <c r="B931" s="1"/>
      <c r="C931" s="2"/>
    </row>
    <row r="932" ht="14.25" customHeight="1">
      <c r="B932" s="1"/>
      <c r="C932" s="2"/>
    </row>
    <row r="933" ht="14.25" customHeight="1">
      <c r="B933" s="1"/>
      <c r="C933" s="2"/>
    </row>
    <row r="934" ht="14.25" customHeight="1">
      <c r="B934" s="1"/>
      <c r="C934" s="2"/>
    </row>
    <row r="935" ht="14.25" customHeight="1">
      <c r="B935" s="1"/>
      <c r="C935" s="2"/>
    </row>
    <row r="936" ht="14.25" customHeight="1">
      <c r="B936" s="1"/>
      <c r="C936" s="2"/>
    </row>
    <row r="937" ht="14.25" customHeight="1">
      <c r="B937" s="1"/>
      <c r="C937" s="2"/>
    </row>
    <row r="938" ht="14.25" customHeight="1">
      <c r="B938" s="1"/>
      <c r="C938" s="2"/>
    </row>
    <row r="939" ht="14.25" customHeight="1">
      <c r="B939" s="1"/>
      <c r="C939" s="2"/>
    </row>
    <row r="940" ht="14.25" customHeight="1">
      <c r="B940" s="1"/>
      <c r="C940" s="2"/>
    </row>
    <row r="941" ht="14.25" customHeight="1">
      <c r="B941" s="1"/>
      <c r="C941" s="2"/>
    </row>
    <row r="942" ht="14.25" customHeight="1">
      <c r="B942" s="1"/>
      <c r="C942" s="2"/>
    </row>
    <row r="943" ht="14.25" customHeight="1">
      <c r="B943" s="1"/>
      <c r="C943" s="2"/>
    </row>
    <row r="944" ht="14.25" customHeight="1">
      <c r="B944" s="1"/>
      <c r="C944" s="2"/>
    </row>
    <row r="945" ht="14.25" customHeight="1">
      <c r="B945" s="1"/>
      <c r="C945" s="2"/>
    </row>
    <row r="946" ht="14.25" customHeight="1">
      <c r="B946" s="1"/>
      <c r="C946" s="2"/>
    </row>
    <row r="947" ht="14.25" customHeight="1">
      <c r="B947" s="1"/>
      <c r="C947" s="2"/>
    </row>
    <row r="948" ht="14.25" customHeight="1">
      <c r="B948" s="1"/>
      <c r="C948" s="2"/>
    </row>
    <row r="949" ht="14.25" customHeight="1">
      <c r="B949" s="1"/>
      <c r="C949" s="2"/>
    </row>
    <row r="950" ht="14.25" customHeight="1">
      <c r="B950" s="1"/>
      <c r="C950" s="2"/>
    </row>
    <row r="951" ht="14.25" customHeight="1">
      <c r="B951" s="1"/>
      <c r="C951" s="2"/>
    </row>
    <row r="952" ht="14.25" customHeight="1">
      <c r="B952" s="1"/>
      <c r="C952" s="2"/>
    </row>
    <row r="953" ht="14.25" customHeight="1">
      <c r="B953" s="1"/>
      <c r="C953" s="2"/>
    </row>
    <row r="954" ht="14.25" customHeight="1">
      <c r="B954" s="1"/>
      <c r="C954" s="2"/>
    </row>
    <row r="955" ht="14.25" customHeight="1">
      <c r="B955" s="1"/>
      <c r="C955" s="2"/>
    </row>
    <row r="956" ht="14.25" customHeight="1">
      <c r="B956" s="1"/>
      <c r="C956" s="2"/>
    </row>
    <row r="957" ht="14.25" customHeight="1">
      <c r="B957" s="1"/>
      <c r="C957" s="2"/>
    </row>
    <row r="958" ht="14.25" customHeight="1">
      <c r="B958" s="1"/>
      <c r="C958" s="2"/>
    </row>
    <row r="959" ht="14.25" customHeight="1">
      <c r="B959" s="1"/>
      <c r="C959" s="2"/>
    </row>
    <row r="960" ht="14.25" customHeight="1">
      <c r="B960" s="1"/>
      <c r="C960" s="2"/>
    </row>
    <row r="961" ht="14.25" customHeight="1">
      <c r="B961" s="1"/>
      <c r="C961" s="2"/>
    </row>
    <row r="962" ht="14.25" customHeight="1">
      <c r="B962" s="1"/>
      <c r="C962" s="2"/>
    </row>
    <row r="963" ht="14.25" customHeight="1">
      <c r="B963" s="1"/>
      <c r="C963" s="2"/>
    </row>
    <row r="964" ht="14.25" customHeight="1">
      <c r="B964" s="1"/>
      <c r="C964" s="2"/>
    </row>
    <row r="965" ht="14.25" customHeight="1">
      <c r="B965" s="1"/>
      <c r="C965" s="2"/>
    </row>
    <row r="966" ht="14.25" customHeight="1">
      <c r="B966" s="1"/>
      <c r="C966" s="2"/>
    </row>
    <row r="967" ht="14.25" customHeight="1">
      <c r="B967" s="1"/>
      <c r="C967" s="2"/>
    </row>
    <row r="968" ht="14.25" customHeight="1">
      <c r="B968" s="1"/>
      <c r="C968" s="2"/>
    </row>
    <row r="969" ht="14.25" customHeight="1">
      <c r="B969" s="1"/>
      <c r="C969" s="2"/>
    </row>
    <row r="970" ht="14.25" customHeight="1">
      <c r="B970" s="1"/>
      <c r="C970" s="2"/>
    </row>
    <row r="971" ht="14.25" customHeight="1">
      <c r="B971" s="1"/>
      <c r="C971" s="2"/>
    </row>
    <row r="972" ht="14.25" customHeight="1">
      <c r="B972" s="1"/>
      <c r="C972" s="2"/>
    </row>
    <row r="973" ht="14.25" customHeight="1">
      <c r="B973" s="1"/>
      <c r="C973" s="2"/>
    </row>
    <row r="974" ht="14.25" customHeight="1">
      <c r="B974" s="1"/>
      <c r="C974" s="2"/>
    </row>
    <row r="975" ht="14.25" customHeight="1">
      <c r="B975" s="1"/>
      <c r="C975" s="2"/>
    </row>
    <row r="976" ht="14.25" customHeight="1">
      <c r="B976" s="1"/>
      <c r="C976" s="2"/>
    </row>
    <row r="977" ht="14.25" customHeight="1">
      <c r="B977" s="1"/>
      <c r="C977" s="2"/>
    </row>
    <row r="978" ht="14.25" customHeight="1">
      <c r="B978" s="1"/>
      <c r="C978" s="2"/>
    </row>
    <row r="979" ht="14.25" customHeight="1">
      <c r="B979" s="1"/>
      <c r="C979" s="2"/>
    </row>
    <row r="980" ht="14.25" customHeight="1">
      <c r="B980" s="1"/>
      <c r="C980" s="2"/>
    </row>
    <row r="981" ht="14.25" customHeight="1">
      <c r="B981" s="1"/>
      <c r="C981" s="2"/>
    </row>
    <row r="982" ht="14.25" customHeight="1">
      <c r="B982" s="1"/>
      <c r="C982" s="2"/>
    </row>
    <row r="983" ht="14.25" customHeight="1">
      <c r="B983" s="1"/>
      <c r="C983" s="2"/>
    </row>
    <row r="984" ht="14.25" customHeight="1">
      <c r="B984" s="1"/>
      <c r="C984" s="2"/>
    </row>
    <row r="985" ht="14.25" customHeight="1">
      <c r="B985" s="1"/>
      <c r="C985" s="2"/>
    </row>
    <row r="986" ht="14.25" customHeight="1">
      <c r="B986" s="1"/>
      <c r="C986" s="2"/>
    </row>
    <row r="987" ht="14.25" customHeight="1">
      <c r="B987" s="1"/>
      <c r="C987" s="2"/>
    </row>
    <row r="988" ht="14.25" customHeight="1">
      <c r="B988" s="1"/>
      <c r="C988" s="2"/>
    </row>
    <row r="989" ht="14.25" customHeight="1">
      <c r="B989" s="1"/>
      <c r="C989" s="2"/>
    </row>
    <row r="990" ht="14.25" customHeight="1">
      <c r="B990" s="1"/>
      <c r="C990" s="2"/>
    </row>
    <row r="991" ht="14.25" customHeight="1">
      <c r="B991" s="1"/>
      <c r="C991" s="2"/>
    </row>
    <row r="992" ht="14.25" customHeight="1">
      <c r="B992" s="1"/>
      <c r="C992" s="2"/>
    </row>
    <row r="993" ht="14.25" customHeight="1">
      <c r="B993" s="1"/>
      <c r="C993" s="2"/>
    </row>
    <row r="994" ht="14.25" customHeight="1">
      <c r="B994" s="1"/>
      <c r="C994" s="2"/>
    </row>
    <row r="995" ht="14.25" customHeight="1">
      <c r="B995" s="1"/>
      <c r="C995" s="2"/>
    </row>
    <row r="996" ht="14.25" customHeight="1">
      <c r="B996" s="1"/>
      <c r="C996" s="2"/>
    </row>
    <row r="997" ht="14.25" customHeight="1">
      <c r="B997" s="1"/>
      <c r="C997" s="2"/>
    </row>
    <row r="998" ht="14.25" customHeight="1">
      <c r="B998" s="1"/>
      <c r="C998" s="2"/>
    </row>
    <row r="999" ht="14.25" customHeight="1">
      <c r="B999" s="1"/>
      <c r="C999" s="2"/>
    </row>
    <row r="1000" ht="14.25" customHeight="1">
      <c r="B1000" s="1"/>
      <c r="C1000" s="2"/>
    </row>
  </sheetData>
  <mergeCells count="181">
    <mergeCell ref="U10:V10"/>
    <mergeCell ref="X10:Y10"/>
    <mergeCell ref="Z10:AA10"/>
    <mergeCell ref="AC10:AD10"/>
    <mergeCell ref="C2:X4"/>
    <mergeCell ref="C8:AD9"/>
    <mergeCell ref="D10:E10"/>
    <mergeCell ref="F10:G10"/>
    <mergeCell ref="I10:J10"/>
    <mergeCell ref="K10:L10"/>
    <mergeCell ref="N10:O10"/>
    <mergeCell ref="P13:P14"/>
    <mergeCell ref="Q13:Q14"/>
    <mergeCell ref="U16:U17"/>
    <mergeCell ref="V16:V17"/>
    <mergeCell ref="Z16:Z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F13:F14"/>
    <mergeCell ref="F16:F17"/>
    <mergeCell ref="K13:K14"/>
    <mergeCell ref="K16:K17"/>
    <mergeCell ref="Q25:Q26"/>
    <mergeCell ref="U25:U26"/>
    <mergeCell ref="V25:V26"/>
    <mergeCell ref="Z25:Z26"/>
    <mergeCell ref="AA25:AA26"/>
    <mergeCell ref="AC25:AC26"/>
    <mergeCell ref="AD25:AD26"/>
    <mergeCell ref="P25:P26"/>
    <mergeCell ref="P28:P29"/>
    <mergeCell ref="Q28:Q29"/>
    <mergeCell ref="U28:U29"/>
    <mergeCell ref="V28:V29"/>
    <mergeCell ref="Z28:Z29"/>
    <mergeCell ref="AA28:AA29"/>
    <mergeCell ref="X34:Y34"/>
    <mergeCell ref="Z34:AA34"/>
    <mergeCell ref="AC28:AC29"/>
    <mergeCell ref="AD28:AD29"/>
    <mergeCell ref="C32:AD33"/>
    <mergeCell ref="I34:J34"/>
    <mergeCell ref="K34:L34"/>
    <mergeCell ref="N34:O34"/>
    <mergeCell ref="P34:Q34"/>
    <mergeCell ref="AC34:AD34"/>
    <mergeCell ref="P10:Q10"/>
    <mergeCell ref="S10:T10"/>
    <mergeCell ref="B13:B14"/>
    <mergeCell ref="G13:G14"/>
    <mergeCell ref="L13:L14"/>
    <mergeCell ref="G16:G17"/>
    <mergeCell ref="Q16:Q17"/>
    <mergeCell ref="AA19:AA20"/>
    <mergeCell ref="AC19:AC20"/>
    <mergeCell ref="AD19:AD20"/>
    <mergeCell ref="L16:L17"/>
    <mergeCell ref="P16:P17"/>
    <mergeCell ref="P19:P20"/>
    <mergeCell ref="Q19:Q20"/>
    <mergeCell ref="U19:U20"/>
    <mergeCell ref="V19:V20"/>
    <mergeCell ref="Z19:Z20"/>
    <mergeCell ref="AA22:AA23"/>
    <mergeCell ref="AC22:AC23"/>
    <mergeCell ref="AD22:AD23"/>
    <mergeCell ref="K22:K23"/>
    <mergeCell ref="L22:L23"/>
    <mergeCell ref="P22:P23"/>
    <mergeCell ref="Q22:Q23"/>
    <mergeCell ref="U22:U23"/>
    <mergeCell ref="V22:V23"/>
    <mergeCell ref="Z22:Z23"/>
    <mergeCell ref="F25:F26"/>
    <mergeCell ref="F28:F29"/>
    <mergeCell ref="D34:E34"/>
    <mergeCell ref="F34:G34"/>
    <mergeCell ref="S34:T34"/>
    <mergeCell ref="U34:V34"/>
    <mergeCell ref="B28:B29"/>
    <mergeCell ref="B37:B38"/>
    <mergeCell ref="F37:F38"/>
    <mergeCell ref="G37:G38"/>
    <mergeCell ref="B40:B41"/>
    <mergeCell ref="G40:G41"/>
    <mergeCell ref="G43:G44"/>
    <mergeCell ref="V46:V47"/>
    <mergeCell ref="Z46:Z47"/>
    <mergeCell ref="AA46:AA47"/>
    <mergeCell ref="AC46:AC47"/>
    <mergeCell ref="AD46:AD47"/>
    <mergeCell ref="F46:F47"/>
    <mergeCell ref="G46:G47"/>
    <mergeCell ref="K46:K47"/>
    <mergeCell ref="L46:L47"/>
    <mergeCell ref="P46:P47"/>
    <mergeCell ref="Q46:Q47"/>
    <mergeCell ref="U46:U47"/>
    <mergeCell ref="P49:P50"/>
    <mergeCell ref="Q49:Q50"/>
    <mergeCell ref="U49:U50"/>
    <mergeCell ref="V49:V50"/>
    <mergeCell ref="Z49:Z50"/>
    <mergeCell ref="AA49:AA50"/>
    <mergeCell ref="AC49:AC50"/>
    <mergeCell ref="AD49:AD50"/>
    <mergeCell ref="F49:F50"/>
    <mergeCell ref="F52:F53"/>
    <mergeCell ref="B43:B44"/>
    <mergeCell ref="B46:B47"/>
    <mergeCell ref="B49:B50"/>
    <mergeCell ref="G49:G50"/>
    <mergeCell ref="L49:L50"/>
    <mergeCell ref="B52:B53"/>
    <mergeCell ref="G52:G53"/>
    <mergeCell ref="L52:L53"/>
    <mergeCell ref="AA52:AA53"/>
    <mergeCell ref="AC52:AC53"/>
    <mergeCell ref="AD52:AD53"/>
    <mergeCell ref="K49:K50"/>
    <mergeCell ref="K52:K53"/>
    <mergeCell ref="P52:P53"/>
    <mergeCell ref="Q52:Q53"/>
    <mergeCell ref="U52:U53"/>
    <mergeCell ref="V52:V53"/>
    <mergeCell ref="Z52:Z53"/>
    <mergeCell ref="B16:B17"/>
    <mergeCell ref="B19:B20"/>
    <mergeCell ref="F19:F20"/>
    <mergeCell ref="G19:G20"/>
    <mergeCell ref="K19:K20"/>
    <mergeCell ref="L19:L20"/>
    <mergeCell ref="B22:B23"/>
    <mergeCell ref="F22:F23"/>
    <mergeCell ref="G22:G23"/>
    <mergeCell ref="B25:B26"/>
    <mergeCell ref="G25:G26"/>
    <mergeCell ref="L25:L26"/>
    <mergeCell ref="G28:G29"/>
    <mergeCell ref="L28:L29"/>
    <mergeCell ref="V37:V38"/>
    <mergeCell ref="Z37:Z38"/>
    <mergeCell ref="AA37:AA38"/>
    <mergeCell ref="AC37:AC38"/>
    <mergeCell ref="AD37:AD38"/>
    <mergeCell ref="K25:K26"/>
    <mergeCell ref="K28:K29"/>
    <mergeCell ref="K37:K38"/>
    <mergeCell ref="L37:L38"/>
    <mergeCell ref="P37:P38"/>
    <mergeCell ref="Q37:Q38"/>
    <mergeCell ref="U37:U38"/>
    <mergeCell ref="AA40:AA41"/>
    <mergeCell ref="AC40:AC41"/>
    <mergeCell ref="AD40:AD41"/>
    <mergeCell ref="Z43:Z44"/>
    <mergeCell ref="AA43:AA44"/>
    <mergeCell ref="AC43:AC44"/>
    <mergeCell ref="AD43:AD44"/>
    <mergeCell ref="K40:K41"/>
    <mergeCell ref="L40:L41"/>
    <mergeCell ref="P40:P41"/>
    <mergeCell ref="Q40:Q41"/>
    <mergeCell ref="U40:U41"/>
    <mergeCell ref="V40:V41"/>
    <mergeCell ref="Z40:Z41"/>
    <mergeCell ref="F40:F41"/>
    <mergeCell ref="F43:F44"/>
    <mergeCell ref="K43:K44"/>
    <mergeCell ref="L43:L44"/>
    <mergeCell ref="P43:P44"/>
    <mergeCell ref="Q43:Q44"/>
    <mergeCell ref="U43:U44"/>
    <mergeCell ref="V43:V4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7.29"/>
    <col customWidth="1" min="3" max="3" width="26.43"/>
    <col customWidth="1" min="4" max="4" width="28.0"/>
    <col customWidth="1" min="5" max="5" width="24.86"/>
    <col customWidth="1" min="6" max="6" width="29.43"/>
    <col customWidth="1" min="7" max="7" width="29.57"/>
    <col customWidth="1" min="8" max="22" width="8.0"/>
  </cols>
  <sheetData>
    <row r="1" ht="23.25" customHeight="1">
      <c r="A1" s="92" t="s">
        <v>36</v>
      </c>
    </row>
    <row r="2" ht="19.5" customHeight="1">
      <c r="A2" s="93" t="s">
        <v>37</v>
      </c>
    </row>
    <row r="3" ht="11.25" customHeight="1">
      <c r="A3" s="94"/>
    </row>
    <row r="4" ht="15.75" customHeight="1">
      <c r="A4" s="95"/>
      <c r="B4" s="96" t="s">
        <v>38</v>
      </c>
      <c r="C4" s="97" t="s">
        <v>39</v>
      </c>
      <c r="D4" s="97" t="s">
        <v>40</v>
      </c>
      <c r="E4" s="97" t="s">
        <v>41</v>
      </c>
      <c r="F4" s="97" t="s">
        <v>42</v>
      </c>
      <c r="G4" s="98" t="s">
        <v>43</v>
      </c>
    </row>
    <row r="5" ht="18.0" customHeight="1">
      <c r="A5" s="99" t="s">
        <v>44</v>
      </c>
      <c r="B5" s="100" t="s">
        <v>45</v>
      </c>
      <c r="C5" s="100" t="s">
        <v>46</v>
      </c>
      <c r="D5" s="100" t="s">
        <v>47</v>
      </c>
      <c r="E5" s="100" t="s">
        <v>48</v>
      </c>
      <c r="F5" s="100" t="s">
        <v>49</v>
      </c>
      <c r="G5" s="100" t="s">
        <v>50</v>
      </c>
    </row>
    <row r="6" ht="18.0" customHeight="1">
      <c r="A6" s="101" t="s">
        <v>51</v>
      </c>
      <c r="B6" s="102"/>
      <c r="C6" s="103"/>
      <c r="D6" s="103"/>
      <c r="E6" s="103"/>
      <c r="F6" s="103"/>
      <c r="G6" s="104"/>
    </row>
    <row r="7" ht="18.0" customHeight="1">
      <c r="A7" s="105" t="s">
        <v>52</v>
      </c>
      <c r="B7" s="106" t="s">
        <v>53</v>
      </c>
      <c r="C7" s="106" t="s">
        <v>54</v>
      </c>
      <c r="D7" s="106" t="s">
        <v>55</v>
      </c>
      <c r="E7" s="106" t="s">
        <v>56</v>
      </c>
      <c r="F7" s="107" t="s">
        <v>57</v>
      </c>
      <c r="G7" s="108" t="s">
        <v>58</v>
      </c>
    </row>
    <row r="8" ht="18.0" customHeight="1">
      <c r="A8" s="105" t="s">
        <v>59</v>
      </c>
      <c r="B8" s="109" t="s">
        <v>60</v>
      </c>
      <c r="C8" s="108" t="s">
        <v>61</v>
      </c>
      <c r="D8" s="108" t="s">
        <v>62</v>
      </c>
      <c r="E8" s="108" t="s">
        <v>63</v>
      </c>
      <c r="F8" s="108" t="s">
        <v>64</v>
      </c>
      <c r="G8" s="108" t="s">
        <v>65</v>
      </c>
    </row>
    <row r="9" ht="18.0" customHeight="1">
      <c r="A9" s="105" t="s">
        <v>66</v>
      </c>
      <c r="B9" s="108" t="s">
        <v>67</v>
      </c>
      <c r="C9" s="108" t="s">
        <v>68</v>
      </c>
      <c r="D9" s="108" t="s">
        <v>69</v>
      </c>
      <c r="E9" s="108" t="s">
        <v>70</v>
      </c>
      <c r="F9" s="108" t="s">
        <v>71</v>
      </c>
      <c r="G9" s="108" t="s">
        <v>72</v>
      </c>
    </row>
    <row r="10" ht="9.75" customHeight="1">
      <c r="A10" s="110"/>
      <c r="B10" s="111"/>
      <c r="C10" s="111"/>
      <c r="D10" s="111"/>
      <c r="E10" s="111"/>
      <c r="F10" s="111"/>
      <c r="G10" s="112"/>
    </row>
    <row r="11" ht="18.0" customHeight="1">
      <c r="A11" s="113" t="s">
        <v>73</v>
      </c>
      <c r="B11" s="114" t="s">
        <v>74</v>
      </c>
      <c r="C11" s="115" t="s">
        <v>75</v>
      </c>
      <c r="D11" s="116" t="s">
        <v>76</v>
      </c>
      <c r="E11" s="115" t="s">
        <v>77</v>
      </c>
      <c r="F11" s="115" t="s">
        <v>78</v>
      </c>
      <c r="G11" s="115" t="s">
        <v>79</v>
      </c>
    </row>
    <row r="12" ht="18.0" customHeight="1">
      <c r="A12" s="113" t="s">
        <v>80</v>
      </c>
      <c r="B12" s="115" t="s">
        <v>81</v>
      </c>
      <c r="C12" s="115" t="s">
        <v>82</v>
      </c>
      <c r="D12" s="115" t="s">
        <v>83</v>
      </c>
      <c r="E12" s="115" t="s">
        <v>84</v>
      </c>
      <c r="F12" s="115" t="s">
        <v>85</v>
      </c>
      <c r="G12" s="115" t="s">
        <v>86</v>
      </c>
    </row>
    <row r="13" ht="18.0" customHeight="1">
      <c r="A13" s="105" t="s">
        <v>87</v>
      </c>
      <c r="B13" s="117" t="s">
        <v>45</v>
      </c>
      <c r="C13" s="115" t="s">
        <v>88</v>
      </c>
      <c r="D13" s="115" t="s">
        <v>89</v>
      </c>
      <c r="E13" s="117" t="s">
        <v>48</v>
      </c>
      <c r="F13" s="115" t="s">
        <v>90</v>
      </c>
      <c r="G13" s="115" t="s">
        <v>91</v>
      </c>
    </row>
    <row r="14" ht="18.0" customHeight="1">
      <c r="A14" s="118" t="s">
        <v>92</v>
      </c>
      <c r="B14" s="115" t="s">
        <v>93</v>
      </c>
      <c r="C14" s="115" t="s">
        <v>94</v>
      </c>
      <c r="D14" s="115" t="s">
        <v>95</v>
      </c>
      <c r="E14" s="115" t="s">
        <v>96</v>
      </c>
      <c r="F14" s="115" t="s">
        <v>97</v>
      </c>
      <c r="G14" s="116" t="s">
        <v>98</v>
      </c>
    </row>
    <row r="15" ht="9.75" customHeight="1">
      <c r="A15" s="119"/>
      <c r="B15" s="111"/>
      <c r="C15" s="111"/>
      <c r="D15" s="111"/>
      <c r="E15" s="111"/>
      <c r="F15" s="111"/>
      <c r="G15" s="112"/>
    </row>
    <row r="16" ht="18.0" customHeight="1">
      <c r="A16" s="105" t="s">
        <v>99</v>
      </c>
      <c r="B16" s="120" t="s">
        <v>100</v>
      </c>
      <c r="C16" s="120" t="s">
        <v>101</v>
      </c>
      <c r="D16" s="120" t="s">
        <v>102</v>
      </c>
      <c r="E16" s="120" t="s">
        <v>103</v>
      </c>
      <c r="F16" s="120" t="s">
        <v>104</v>
      </c>
      <c r="G16" s="120" t="s">
        <v>105</v>
      </c>
    </row>
    <row r="17" ht="18.0" customHeight="1">
      <c r="A17" s="105" t="s">
        <v>106</v>
      </c>
      <c r="B17" s="120" t="s">
        <v>107</v>
      </c>
      <c r="C17" s="120" t="s">
        <v>108</v>
      </c>
      <c r="D17" s="120" t="s">
        <v>109</v>
      </c>
      <c r="E17" s="120" t="s">
        <v>110</v>
      </c>
      <c r="F17" s="120" t="s">
        <v>111</v>
      </c>
      <c r="G17" s="120" t="s">
        <v>112</v>
      </c>
    </row>
    <row r="18" ht="18.0" customHeight="1">
      <c r="A18" s="105" t="s">
        <v>113</v>
      </c>
      <c r="B18" s="120" t="s">
        <v>114</v>
      </c>
      <c r="C18" s="120" t="s">
        <v>115</v>
      </c>
      <c r="D18" s="120" t="s">
        <v>116</v>
      </c>
      <c r="E18" s="120" t="s">
        <v>117</v>
      </c>
      <c r="F18" s="121" t="s">
        <v>49</v>
      </c>
      <c r="G18" s="120" t="s">
        <v>118</v>
      </c>
    </row>
    <row r="19" ht="9.75" customHeight="1">
      <c r="A19" s="122"/>
      <c r="B19" s="123"/>
      <c r="C19" s="123"/>
      <c r="D19" s="123"/>
      <c r="E19" s="123"/>
      <c r="F19" s="123"/>
      <c r="G19" s="124"/>
    </row>
    <row r="20" ht="18.0" customHeight="1">
      <c r="A20" s="105" t="s">
        <v>119</v>
      </c>
      <c r="B20" s="120" t="s">
        <v>120</v>
      </c>
      <c r="C20" s="120" t="s">
        <v>121</v>
      </c>
      <c r="D20" s="120" t="s">
        <v>122</v>
      </c>
      <c r="E20" s="120" t="s">
        <v>123</v>
      </c>
      <c r="F20" s="120" t="s">
        <v>124</v>
      </c>
      <c r="G20" s="120" t="s">
        <v>125</v>
      </c>
    </row>
    <row r="21" ht="18.0" customHeight="1">
      <c r="A21" s="105" t="s">
        <v>126</v>
      </c>
      <c r="B21" s="120" t="s">
        <v>127</v>
      </c>
      <c r="C21" s="120" t="s">
        <v>128</v>
      </c>
      <c r="D21" s="120" t="s">
        <v>129</v>
      </c>
      <c r="E21" s="120" t="s">
        <v>130</v>
      </c>
      <c r="F21" s="120" t="s">
        <v>131</v>
      </c>
      <c r="G21" s="120" t="s">
        <v>132</v>
      </c>
    </row>
    <row r="22" ht="18.0" customHeight="1">
      <c r="A22" s="105" t="s">
        <v>133</v>
      </c>
      <c r="B22" s="120" t="s">
        <v>134</v>
      </c>
      <c r="C22" s="120" t="s">
        <v>135</v>
      </c>
      <c r="D22" s="120" t="s">
        <v>136</v>
      </c>
      <c r="E22" s="120" t="s">
        <v>137</v>
      </c>
      <c r="F22" s="120" t="s">
        <v>138</v>
      </c>
      <c r="G22" s="120" t="s">
        <v>139</v>
      </c>
    </row>
    <row r="23" ht="18.0" customHeight="1">
      <c r="A23" s="113"/>
      <c r="B23" s="111"/>
      <c r="C23" s="111"/>
      <c r="D23" s="111"/>
      <c r="E23" s="111"/>
      <c r="F23" s="111"/>
      <c r="G23" s="112"/>
    </row>
    <row r="24" ht="18.0" customHeight="1">
      <c r="A24" s="125" t="s">
        <v>140</v>
      </c>
      <c r="B24" s="102"/>
      <c r="C24" s="103"/>
      <c r="D24" s="103"/>
      <c r="E24" s="103"/>
      <c r="F24" s="103"/>
      <c r="G24" s="104"/>
    </row>
    <row r="25" ht="18.0" customHeight="1">
      <c r="A25" s="105" t="s">
        <v>52</v>
      </c>
      <c r="B25" s="126" t="s">
        <v>141</v>
      </c>
      <c r="C25" s="126" t="s">
        <v>142</v>
      </c>
      <c r="D25" s="126" t="s">
        <v>143</v>
      </c>
      <c r="E25" s="126" t="s">
        <v>144</v>
      </c>
      <c r="F25" s="126" t="s">
        <v>145</v>
      </c>
      <c r="G25" s="126" t="s">
        <v>146</v>
      </c>
    </row>
    <row r="26" ht="18.0" customHeight="1">
      <c r="A26" s="105" t="s">
        <v>59</v>
      </c>
      <c r="B26" s="127" t="s">
        <v>147</v>
      </c>
      <c r="C26" s="127" t="s">
        <v>148</v>
      </c>
      <c r="D26" s="121" t="s">
        <v>47</v>
      </c>
      <c r="E26" s="127" t="s">
        <v>149</v>
      </c>
      <c r="F26" s="127" t="s">
        <v>150</v>
      </c>
      <c r="G26" s="127" t="s">
        <v>151</v>
      </c>
    </row>
    <row r="27" ht="18.0" customHeight="1">
      <c r="A27" s="105" t="s">
        <v>66</v>
      </c>
      <c r="B27" s="127" t="s">
        <v>152</v>
      </c>
      <c r="C27" s="127" t="s">
        <v>153</v>
      </c>
      <c r="D27" s="127" t="s">
        <v>154</v>
      </c>
      <c r="E27" s="127" t="s">
        <v>155</v>
      </c>
      <c r="F27" s="127" t="s">
        <v>156</v>
      </c>
      <c r="G27" s="120" t="s">
        <v>157</v>
      </c>
    </row>
    <row r="28" ht="18.0" customHeight="1">
      <c r="A28" s="118" t="s">
        <v>158</v>
      </c>
      <c r="B28" s="127" t="s">
        <v>159</v>
      </c>
      <c r="C28" s="128" t="s">
        <v>160</v>
      </c>
      <c r="D28" s="127" t="s">
        <v>161</v>
      </c>
      <c r="E28" s="127" t="s">
        <v>162</v>
      </c>
      <c r="F28" s="129" t="s">
        <v>163</v>
      </c>
      <c r="G28" s="120" t="s">
        <v>164</v>
      </c>
    </row>
    <row r="29" ht="9.75" customHeight="1">
      <c r="A29" s="119"/>
      <c r="B29" s="111"/>
      <c r="C29" s="111"/>
      <c r="D29" s="111"/>
      <c r="E29" s="111"/>
      <c r="F29" s="111"/>
      <c r="G29" s="112"/>
    </row>
    <row r="30" ht="18.0" customHeight="1">
      <c r="A30" s="105" t="s">
        <v>73</v>
      </c>
      <c r="B30" s="127" t="s">
        <v>165</v>
      </c>
      <c r="C30" s="127" t="s">
        <v>166</v>
      </c>
      <c r="D30" s="127" t="s">
        <v>167</v>
      </c>
      <c r="E30" s="128" t="s">
        <v>168</v>
      </c>
      <c r="F30" s="127" t="s">
        <v>169</v>
      </c>
      <c r="G30" s="127" t="s">
        <v>170</v>
      </c>
    </row>
    <row r="31" ht="18.0" customHeight="1">
      <c r="A31" s="105" t="s">
        <v>80</v>
      </c>
      <c r="B31" s="126" t="s">
        <v>171</v>
      </c>
      <c r="C31" s="127" t="s">
        <v>172</v>
      </c>
      <c r="D31" s="127" t="s">
        <v>173</v>
      </c>
      <c r="E31" s="127" t="s">
        <v>174</v>
      </c>
      <c r="F31" s="127" t="s">
        <v>175</v>
      </c>
      <c r="G31" s="127" t="s">
        <v>176</v>
      </c>
    </row>
    <row r="32" ht="18.0" customHeight="1">
      <c r="A32" s="105" t="s">
        <v>87</v>
      </c>
      <c r="B32" s="127" t="s">
        <v>177</v>
      </c>
      <c r="C32" s="127" t="s">
        <v>178</v>
      </c>
      <c r="D32" s="127" t="s">
        <v>179</v>
      </c>
      <c r="E32" s="127" t="s">
        <v>180</v>
      </c>
      <c r="F32" s="127" t="s">
        <v>181</v>
      </c>
      <c r="G32" s="100" t="s">
        <v>50</v>
      </c>
    </row>
    <row r="33" ht="9.75" customHeight="1">
      <c r="A33" s="130"/>
      <c r="B33" s="123"/>
      <c r="C33" s="123"/>
      <c r="D33" s="123"/>
      <c r="E33" s="123"/>
      <c r="F33" s="123"/>
      <c r="G33" s="124"/>
    </row>
    <row r="34" ht="18.0" customHeight="1">
      <c r="A34" s="105" t="s">
        <v>99</v>
      </c>
      <c r="B34" s="131" t="s">
        <v>182</v>
      </c>
      <c r="C34" s="131" t="s">
        <v>183</v>
      </c>
      <c r="D34" s="128" t="s">
        <v>184</v>
      </c>
      <c r="E34" s="131" t="s">
        <v>185</v>
      </c>
      <c r="F34" s="131" t="s">
        <v>186</v>
      </c>
      <c r="G34" s="131" t="s">
        <v>187</v>
      </c>
    </row>
    <row r="35" ht="18.0" customHeight="1">
      <c r="A35" s="105" t="s">
        <v>106</v>
      </c>
      <c r="B35" s="131" t="s">
        <v>188</v>
      </c>
      <c r="C35" s="131" t="s">
        <v>189</v>
      </c>
      <c r="D35" s="131" t="s">
        <v>190</v>
      </c>
      <c r="E35" s="131" t="s">
        <v>191</v>
      </c>
      <c r="F35" s="131" t="s">
        <v>192</v>
      </c>
      <c r="G35" s="131" t="s">
        <v>193</v>
      </c>
    </row>
    <row r="36" ht="18.0" customHeight="1">
      <c r="A36" s="105" t="s">
        <v>113</v>
      </c>
      <c r="B36" s="131" t="s">
        <v>194</v>
      </c>
      <c r="C36" s="131" t="s">
        <v>195</v>
      </c>
      <c r="D36" s="131" t="s">
        <v>196</v>
      </c>
      <c r="E36" s="131" t="s">
        <v>197</v>
      </c>
      <c r="F36" s="132" t="s">
        <v>198</v>
      </c>
      <c r="G36" s="131" t="s">
        <v>199</v>
      </c>
    </row>
    <row r="37" ht="9.75" customHeight="1">
      <c r="A37" s="133"/>
      <c r="B37" s="134"/>
      <c r="C37" s="133"/>
      <c r="D37" s="134"/>
      <c r="E37" s="134"/>
      <c r="F37" s="134"/>
      <c r="G37" s="134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8">
    <mergeCell ref="A1:G1"/>
    <mergeCell ref="A2:G2"/>
    <mergeCell ref="A10:G10"/>
    <mergeCell ref="A15:G15"/>
    <mergeCell ref="A19:G19"/>
    <mergeCell ref="A23:G23"/>
    <mergeCell ref="A29:G29"/>
    <mergeCell ref="A33:G33"/>
  </mergeCells>
  <printOptions/>
  <pageMargins bottom="0.748" footer="0.0" header="0.0" left="0.2362204724409449" right="0.2362204724409449" top="0.0"/>
  <pageSetup paperSize="9"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0.57"/>
    <col customWidth="1" min="3" max="27" width="8.0"/>
  </cols>
  <sheetData>
    <row r="1" ht="12.75" customHeight="1"/>
    <row r="2" ht="12.75" customHeight="1">
      <c r="C2" s="3" t="s">
        <v>0</v>
      </c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 ht="12.75" customHeight="1"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 ht="12.75" customHeight="1"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 ht="15.0" customHeight="1">
      <c r="A5" s="136" t="s">
        <v>45</v>
      </c>
      <c r="B5" s="137"/>
      <c r="C5" s="138" t="s">
        <v>2</v>
      </c>
      <c r="D5" s="138" t="s">
        <v>4</v>
      </c>
      <c r="E5" s="138" t="s">
        <v>6</v>
      </c>
      <c r="F5" s="138" t="s">
        <v>8</v>
      </c>
      <c r="G5" s="138" t="s">
        <v>10</v>
      </c>
      <c r="H5" s="138" t="s">
        <v>24</v>
      </c>
      <c r="I5" s="138" t="s">
        <v>26</v>
      </c>
      <c r="J5" s="138" t="s">
        <v>28</v>
      </c>
      <c r="K5" s="138" t="s">
        <v>30</v>
      </c>
      <c r="L5" s="138" t="s">
        <v>32</v>
      </c>
      <c r="M5" s="139" t="s">
        <v>200</v>
      </c>
    </row>
    <row r="6" ht="15.0" customHeight="1">
      <c r="A6" s="140" t="s">
        <v>52</v>
      </c>
      <c r="B6" s="141" t="s">
        <v>53</v>
      </c>
      <c r="C6" s="142"/>
      <c r="D6" s="142">
        <v>1.0</v>
      </c>
      <c r="E6" s="142">
        <v>1.0</v>
      </c>
      <c r="F6" s="143"/>
      <c r="G6" s="142">
        <v>1.0</v>
      </c>
      <c r="H6" s="144">
        <v>1.0</v>
      </c>
      <c r="I6" s="144">
        <v>1.0</v>
      </c>
      <c r="J6" s="144">
        <v>1.0</v>
      </c>
      <c r="K6" s="144">
        <v>1.0</v>
      </c>
      <c r="L6" s="144">
        <v>1.0</v>
      </c>
      <c r="M6" s="143">
        <f t="shared" ref="M6:M28" si="1">SUM(C6:L6)</f>
        <v>8</v>
      </c>
    </row>
    <row r="7" ht="15.0" customHeight="1">
      <c r="A7" s="140" t="s">
        <v>59</v>
      </c>
      <c r="B7" s="145" t="s">
        <v>60</v>
      </c>
      <c r="C7" s="142">
        <v>1.0</v>
      </c>
      <c r="D7" s="142"/>
      <c r="E7" s="142">
        <v>1.0</v>
      </c>
      <c r="F7" s="146">
        <v>1.0</v>
      </c>
      <c r="G7" s="142">
        <v>1.0</v>
      </c>
      <c r="H7" s="144"/>
      <c r="I7" s="144">
        <v>1.0</v>
      </c>
      <c r="J7" s="144"/>
      <c r="K7" s="144">
        <v>1.0</v>
      </c>
      <c r="L7" s="147"/>
      <c r="M7" s="143">
        <f t="shared" si="1"/>
        <v>6</v>
      </c>
    </row>
    <row r="8" ht="15.0" customHeight="1">
      <c r="A8" s="140" t="s">
        <v>66</v>
      </c>
      <c r="B8" s="148" t="s">
        <v>67</v>
      </c>
      <c r="C8" s="142">
        <v>1.0</v>
      </c>
      <c r="D8" s="142">
        <v>1.0</v>
      </c>
      <c r="E8" s="143"/>
      <c r="F8" s="142">
        <v>1.0</v>
      </c>
      <c r="G8" s="142"/>
      <c r="H8" s="144">
        <v>1.0</v>
      </c>
      <c r="I8" s="147"/>
      <c r="J8" s="144">
        <v>1.0</v>
      </c>
      <c r="K8" s="144"/>
      <c r="L8" s="144">
        <v>1.0</v>
      </c>
      <c r="M8" s="143">
        <f t="shared" si="1"/>
        <v>6</v>
      </c>
    </row>
    <row r="9" ht="15.0" customHeight="1">
      <c r="A9" s="140" t="s">
        <v>73</v>
      </c>
      <c r="B9" s="149" t="s">
        <v>74</v>
      </c>
      <c r="C9" s="142">
        <v>1.0</v>
      </c>
      <c r="D9" s="142"/>
      <c r="E9" s="142">
        <v>1.0</v>
      </c>
      <c r="F9" s="142">
        <v>1.0</v>
      </c>
      <c r="G9" s="142">
        <v>1.0</v>
      </c>
      <c r="H9" s="144">
        <v>1.0</v>
      </c>
      <c r="I9" s="144">
        <v>1.0</v>
      </c>
      <c r="J9" s="144">
        <v>1.0</v>
      </c>
      <c r="K9" s="144"/>
      <c r="L9" s="144">
        <v>1.0</v>
      </c>
      <c r="M9" s="143">
        <f t="shared" si="1"/>
        <v>8</v>
      </c>
    </row>
    <row r="10" ht="15.0" customHeight="1">
      <c r="A10" s="140" t="s">
        <v>80</v>
      </c>
      <c r="B10" s="149" t="s">
        <v>81</v>
      </c>
      <c r="C10" s="142">
        <v>1.0</v>
      </c>
      <c r="D10" s="142">
        <v>1.0</v>
      </c>
      <c r="E10" s="142"/>
      <c r="F10" s="142">
        <v>1.0</v>
      </c>
      <c r="G10" s="142">
        <v>1.0</v>
      </c>
      <c r="H10" s="144">
        <v>1.0</v>
      </c>
      <c r="I10" s="144"/>
      <c r="J10" s="144">
        <v>1.0</v>
      </c>
      <c r="K10" s="144">
        <v>1.0</v>
      </c>
      <c r="L10" s="144">
        <v>1.0</v>
      </c>
      <c r="M10" s="143">
        <f t="shared" si="1"/>
        <v>8</v>
      </c>
    </row>
    <row r="11" ht="15.0" customHeight="1">
      <c r="A11" s="140" t="s">
        <v>87</v>
      </c>
      <c r="B11" s="150" t="s">
        <v>45</v>
      </c>
      <c r="C11" s="142">
        <v>1.0</v>
      </c>
      <c r="D11" s="142">
        <v>1.0</v>
      </c>
      <c r="E11" s="142">
        <v>1.0</v>
      </c>
      <c r="F11" s="142"/>
      <c r="G11" s="142">
        <v>1.0</v>
      </c>
      <c r="H11" s="144"/>
      <c r="I11" s="144">
        <v>1.0</v>
      </c>
      <c r="J11" s="144">
        <v>1.0</v>
      </c>
      <c r="K11" s="144">
        <v>1.0</v>
      </c>
      <c r="L11" s="144">
        <v>1.0</v>
      </c>
      <c r="M11" s="143">
        <f t="shared" si="1"/>
        <v>8</v>
      </c>
    </row>
    <row r="12" ht="15.0" customHeight="1">
      <c r="A12" s="140" t="s">
        <v>92</v>
      </c>
      <c r="B12" s="149" t="s">
        <v>93</v>
      </c>
      <c r="C12" s="142"/>
      <c r="D12" s="142">
        <v>1.0</v>
      </c>
      <c r="E12" s="142">
        <v>1.0</v>
      </c>
      <c r="F12" s="142">
        <v>1.0</v>
      </c>
      <c r="G12" s="143"/>
      <c r="H12" s="144">
        <v>1.0</v>
      </c>
      <c r="I12" s="144">
        <v>1.0</v>
      </c>
      <c r="J12" s="144"/>
      <c r="K12" s="144">
        <v>1.0</v>
      </c>
      <c r="L12" s="147"/>
      <c r="M12" s="143">
        <f t="shared" si="1"/>
        <v>6</v>
      </c>
    </row>
    <row r="13" ht="15.0" customHeight="1">
      <c r="A13" s="140" t="s">
        <v>99</v>
      </c>
      <c r="B13" s="148" t="s">
        <v>100</v>
      </c>
      <c r="C13" s="142">
        <v>1.0</v>
      </c>
      <c r="D13" s="142"/>
      <c r="E13" s="142"/>
      <c r="F13" s="142"/>
      <c r="G13" s="142">
        <v>1.0</v>
      </c>
      <c r="H13" s="144">
        <v>1.0</v>
      </c>
      <c r="I13" s="144"/>
      <c r="J13" s="151">
        <v>1.0</v>
      </c>
      <c r="K13" s="151">
        <v>1.0</v>
      </c>
      <c r="L13" s="151">
        <v>1.0</v>
      </c>
      <c r="M13" s="143">
        <f t="shared" si="1"/>
        <v>6</v>
      </c>
    </row>
    <row r="14" ht="15.0" customHeight="1">
      <c r="A14" s="140" t="s">
        <v>106</v>
      </c>
      <c r="B14" s="148" t="s">
        <v>107</v>
      </c>
      <c r="C14" s="142"/>
      <c r="D14" s="142">
        <v>1.0</v>
      </c>
      <c r="E14" s="142">
        <v>1.0</v>
      </c>
      <c r="F14" s="142">
        <v>1.0</v>
      </c>
      <c r="G14" s="142">
        <v>1.0</v>
      </c>
      <c r="H14" s="147"/>
      <c r="I14" s="144">
        <v>1.0</v>
      </c>
      <c r="J14" s="144"/>
      <c r="K14" s="144">
        <v>1.0</v>
      </c>
      <c r="L14" s="144">
        <v>1.0</v>
      </c>
      <c r="M14" s="143">
        <f t="shared" si="1"/>
        <v>7</v>
      </c>
    </row>
    <row r="15" ht="15.0" customHeight="1">
      <c r="A15" s="140" t="s">
        <v>113</v>
      </c>
      <c r="B15" s="148" t="s">
        <v>114</v>
      </c>
      <c r="C15" s="142">
        <v>1.0</v>
      </c>
      <c r="D15" s="142">
        <v>1.0</v>
      </c>
      <c r="E15" s="142">
        <v>1.0</v>
      </c>
      <c r="F15" s="142">
        <v>1.0</v>
      </c>
      <c r="G15" s="142"/>
      <c r="H15" s="144">
        <v>1.0</v>
      </c>
      <c r="I15" s="144">
        <v>1.0</v>
      </c>
      <c r="J15" s="144">
        <v>1.0</v>
      </c>
      <c r="K15" s="144"/>
      <c r="L15" s="144"/>
      <c r="M15" s="143">
        <f t="shared" si="1"/>
        <v>7</v>
      </c>
    </row>
    <row r="16" ht="15.0" customHeight="1">
      <c r="A16" s="140" t="s">
        <v>119</v>
      </c>
      <c r="B16" s="148" t="s">
        <v>120</v>
      </c>
      <c r="C16" s="142">
        <v>1.0</v>
      </c>
      <c r="D16" s="142"/>
      <c r="E16" s="142">
        <v>1.0</v>
      </c>
      <c r="F16" s="142">
        <v>1.0</v>
      </c>
      <c r="G16" s="142">
        <v>1.0</v>
      </c>
      <c r="H16" s="144">
        <v>1.0</v>
      </c>
      <c r="I16" s="144">
        <v>1.0</v>
      </c>
      <c r="J16" s="144">
        <v>1.0</v>
      </c>
      <c r="K16" s="144"/>
      <c r="L16" s="144">
        <v>1.0</v>
      </c>
      <c r="M16" s="143">
        <f t="shared" si="1"/>
        <v>8</v>
      </c>
    </row>
    <row r="17" ht="15.0" customHeight="1">
      <c r="A17" s="140" t="s">
        <v>126</v>
      </c>
      <c r="B17" s="148" t="s">
        <v>127</v>
      </c>
      <c r="C17" s="142"/>
      <c r="D17" s="142">
        <v>1.0</v>
      </c>
      <c r="E17" s="142">
        <v>1.0</v>
      </c>
      <c r="F17" s="142">
        <v>1.0</v>
      </c>
      <c r="G17" s="143"/>
      <c r="H17" s="144">
        <v>1.0</v>
      </c>
      <c r="I17" s="147"/>
      <c r="J17" s="144">
        <v>1.0</v>
      </c>
      <c r="K17" s="144">
        <v>1.0</v>
      </c>
      <c r="L17" s="144"/>
      <c r="M17" s="143">
        <f t="shared" si="1"/>
        <v>6</v>
      </c>
    </row>
    <row r="18" ht="15.0" customHeight="1">
      <c r="A18" s="140" t="s">
        <v>133</v>
      </c>
      <c r="B18" s="148" t="s">
        <v>134</v>
      </c>
      <c r="C18" s="142">
        <v>1.0</v>
      </c>
      <c r="D18" s="142">
        <v>1.0</v>
      </c>
      <c r="E18" s="143"/>
      <c r="F18" s="142"/>
      <c r="G18" s="142">
        <v>1.0</v>
      </c>
      <c r="H18" s="147"/>
      <c r="I18" s="144">
        <v>1.0</v>
      </c>
      <c r="J18" s="144"/>
      <c r="K18" s="144">
        <v>1.0</v>
      </c>
      <c r="L18" s="144">
        <v>1.0</v>
      </c>
      <c r="M18" s="143">
        <f t="shared" si="1"/>
        <v>6</v>
      </c>
    </row>
    <row r="19" ht="15.0" customHeight="1">
      <c r="A19" s="152" t="s">
        <v>52</v>
      </c>
      <c r="B19" s="153" t="s">
        <v>141</v>
      </c>
      <c r="C19" s="142">
        <v>1.0</v>
      </c>
      <c r="D19" s="142">
        <v>1.0</v>
      </c>
      <c r="E19" s="142"/>
      <c r="F19" s="142">
        <v>1.0</v>
      </c>
      <c r="G19" s="142">
        <v>1.0</v>
      </c>
      <c r="H19" s="144">
        <v>1.0</v>
      </c>
      <c r="I19" s="144">
        <v>1.0</v>
      </c>
      <c r="J19" s="144"/>
      <c r="K19" s="144">
        <v>1.0</v>
      </c>
      <c r="L19" s="144">
        <v>1.0</v>
      </c>
      <c r="M19" s="143">
        <f t="shared" si="1"/>
        <v>8</v>
      </c>
    </row>
    <row r="20" ht="15.0" customHeight="1">
      <c r="A20" s="152" t="s">
        <v>59</v>
      </c>
      <c r="B20" s="154" t="s">
        <v>147</v>
      </c>
      <c r="C20" s="142">
        <v>1.0</v>
      </c>
      <c r="D20" s="142">
        <v>1.0</v>
      </c>
      <c r="E20" s="142">
        <v>1.0</v>
      </c>
      <c r="F20" s="143"/>
      <c r="G20" s="142">
        <v>1.0</v>
      </c>
      <c r="H20" s="144">
        <v>1.0</v>
      </c>
      <c r="I20" s="144">
        <v>1.0</v>
      </c>
      <c r="J20" s="144">
        <v>1.0</v>
      </c>
      <c r="K20" s="144"/>
      <c r="L20" s="144">
        <v>1.0</v>
      </c>
      <c r="M20" s="143">
        <f t="shared" si="1"/>
        <v>8</v>
      </c>
    </row>
    <row r="21" ht="15.0" customHeight="1">
      <c r="A21" s="152" t="s">
        <v>66</v>
      </c>
      <c r="B21" s="154" t="s">
        <v>152</v>
      </c>
      <c r="C21" s="143"/>
      <c r="D21" s="142">
        <v>1.0</v>
      </c>
      <c r="E21" s="142">
        <v>1.0</v>
      </c>
      <c r="F21" s="142">
        <v>1.0</v>
      </c>
      <c r="G21" s="142">
        <v>1.0</v>
      </c>
      <c r="H21" s="144"/>
      <c r="I21" s="144">
        <v>1.0</v>
      </c>
      <c r="J21" s="144">
        <v>1.0</v>
      </c>
      <c r="K21" s="144">
        <v>1.0</v>
      </c>
      <c r="L21" s="144">
        <v>1.0</v>
      </c>
      <c r="M21" s="143">
        <f t="shared" si="1"/>
        <v>8</v>
      </c>
    </row>
    <row r="22" ht="15.0" customHeight="1">
      <c r="A22" s="152" t="s">
        <v>158</v>
      </c>
      <c r="B22" s="154" t="s">
        <v>159</v>
      </c>
      <c r="C22" s="142">
        <v>1.0</v>
      </c>
      <c r="D22" s="142"/>
      <c r="E22" s="142">
        <v>1.0</v>
      </c>
      <c r="F22" s="142">
        <v>1.0</v>
      </c>
      <c r="G22" s="142"/>
      <c r="H22" s="144">
        <v>1.0</v>
      </c>
      <c r="I22" s="147"/>
      <c r="J22" s="144">
        <v>1.0</v>
      </c>
      <c r="K22" s="144">
        <v>1.0</v>
      </c>
      <c r="L22" s="144"/>
      <c r="M22" s="143">
        <f t="shared" si="1"/>
        <v>6</v>
      </c>
    </row>
    <row r="23" ht="15.0" customHeight="1">
      <c r="A23" s="152" t="s">
        <v>73</v>
      </c>
      <c r="B23" s="154" t="s">
        <v>165</v>
      </c>
      <c r="C23" s="142">
        <v>1.0</v>
      </c>
      <c r="D23" s="143"/>
      <c r="E23" s="142">
        <v>1.0</v>
      </c>
      <c r="F23" s="142">
        <v>1.0</v>
      </c>
      <c r="G23" s="142">
        <v>1.0</v>
      </c>
      <c r="H23" s="147"/>
      <c r="I23" s="144"/>
      <c r="J23" s="144">
        <v>1.0</v>
      </c>
      <c r="K23" s="144">
        <v>1.0</v>
      </c>
      <c r="L23" s="144">
        <v>1.0</v>
      </c>
      <c r="M23" s="143">
        <f t="shared" si="1"/>
        <v>7</v>
      </c>
    </row>
    <row r="24" ht="15.0" customHeight="1">
      <c r="A24" s="152" t="s">
        <v>80</v>
      </c>
      <c r="B24" s="153" t="s">
        <v>171</v>
      </c>
      <c r="C24" s="142">
        <v>1.0</v>
      </c>
      <c r="D24" s="142">
        <v>1.0</v>
      </c>
      <c r="E24" s="142"/>
      <c r="F24" s="142">
        <v>1.0</v>
      </c>
      <c r="G24" s="143"/>
      <c r="H24" s="144">
        <v>1.0</v>
      </c>
      <c r="I24" s="144">
        <v>1.0</v>
      </c>
      <c r="J24" s="151">
        <v>1.0</v>
      </c>
      <c r="K24" s="144"/>
      <c r="L24" s="147"/>
      <c r="M24" s="143">
        <f t="shared" si="1"/>
        <v>6</v>
      </c>
    </row>
    <row r="25" ht="15.0" customHeight="1">
      <c r="A25" s="152" t="s">
        <v>87</v>
      </c>
      <c r="B25" s="154" t="s">
        <v>177</v>
      </c>
      <c r="C25" s="142"/>
      <c r="D25" s="142">
        <v>1.0</v>
      </c>
      <c r="E25" s="142">
        <v>1.0</v>
      </c>
      <c r="F25" s="142"/>
      <c r="G25" s="142">
        <v>1.0</v>
      </c>
      <c r="H25" s="144">
        <v>1.0</v>
      </c>
      <c r="I25" s="144">
        <v>1.0</v>
      </c>
      <c r="J25" s="144"/>
      <c r="K25" s="144">
        <v>1.0</v>
      </c>
      <c r="L25" s="144">
        <v>1.0</v>
      </c>
      <c r="M25" s="143">
        <f t="shared" si="1"/>
        <v>7</v>
      </c>
    </row>
    <row r="26" ht="15.0" customHeight="1">
      <c r="A26" s="152" t="s">
        <v>99</v>
      </c>
      <c r="B26" s="155" t="s">
        <v>182</v>
      </c>
      <c r="C26" s="142">
        <v>1.0</v>
      </c>
      <c r="D26" s="142">
        <v>1.0</v>
      </c>
      <c r="E26" s="142"/>
      <c r="F26" s="142">
        <v>1.0</v>
      </c>
      <c r="G26" s="142">
        <v>1.0</v>
      </c>
      <c r="H26" s="144">
        <v>1.0</v>
      </c>
      <c r="I26" s="144">
        <v>1.0</v>
      </c>
      <c r="J26" s="147"/>
      <c r="K26" s="144">
        <v>1.0</v>
      </c>
      <c r="L26" s="144"/>
      <c r="M26" s="143">
        <f t="shared" si="1"/>
        <v>7</v>
      </c>
    </row>
    <row r="27" ht="15.0" customHeight="1">
      <c r="A27" s="152" t="s">
        <v>106</v>
      </c>
      <c r="B27" s="155" t="s">
        <v>188</v>
      </c>
      <c r="C27" s="142"/>
      <c r="D27" s="142">
        <v>1.0</v>
      </c>
      <c r="E27" s="142">
        <v>1.0</v>
      </c>
      <c r="F27" s="142">
        <v>1.0</v>
      </c>
      <c r="G27" s="142"/>
      <c r="H27" s="144">
        <v>1.0</v>
      </c>
      <c r="I27" s="144"/>
      <c r="J27" s="144">
        <v>1.0</v>
      </c>
      <c r="K27" s="144">
        <v>1.0</v>
      </c>
      <c r="L27" s="144">
        <v>1.0</v>
      </c>
      <c r="M27" s="143">
        <f t="shared" si="1"/>
        <v>7</v>
      </c>
    </row>
    <row r="28" ht="15.0" customHeight="1">
      <c r="A28" s="152" t="s">
        <v>113</v>
      </c>
      <c r="B28" s="155" t="s">
        <v>194</v>
      </c>
      <c r="C28" s="142">
        <v>1.0</v>
      </c>
      <c r="D28" s="143"/>
      <c r="E28" s="142">
        <v>1.0</v>
      </c>
      <c r="F28" s="143"/>
      <c r="G28" s="142">
        <v>1.0</v>
      </c>
      <c r="H28" s="147"/>
      <c r="I28" s="144">
        <v>1.0</v>
      </c>
      <c r="J28" s="144">
        <v>1.0</v>
      </c>
      <c r="K28" s="144"/>
      <c r="L28" s="151">
        <v>1.0</v>
      </c>
      <c r="M28" s="143">
        <f t="shared" si="1"/>
        <v>6</v>
      </c>
    </row>
    <row r="29" ht="12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</row>
    <row r="30" ht="15.0" customHeight="1">
      <c r="A30" s="136" t="s">
        <v>46</v>
      </c>
      <c r="B30" s="137"/>
      <c r="C30" s="138" t="s">
        <v>2</v>
      </c>
      <c r="D30" s="138" t="s">
        <v>4</v>
      </c>
      <c r="E30" s="138" t="s">
        <v>6</v>
      </c>
      <c r="F30" s="138" t="s">
        <v>8</v>
      </c>
      <c r="G30" s="138" t="s">
        <v>10</v>
      </c>
      <c r="H30" s="138" t="s">
        <v>24</v>
      </c>
      <c r="I30" s="138" t="s">
        <v>26</v>
      </c>
      <c r="J30" s="138" t="s">
        <v>28</v>
      </c>
      <c r="K30" s="138" t="s">
        <v>30</v>
      </c>
      <c r="L30" s="138" t="s">
        <v>32</v>
      </c>
      <c r="M30" s="139" t="s">
        <v>200</v>
      </c>
    </row>
    <row r="31" ht="15.0" customHeight="1">
      <c r="A31" s="148" t="s">
        <v>52</v>
      </c>
      <c r="B31" s="141" t="s">
        <v>54</v>
      </c>
      <c r="C31" s="144">
        <v>1.0</v>
      </c>
      <c r="D31" s="144">
        <v>1.0</v>
      </c>
      <c r="E31" s="144"/>
      <c r="F31" s="144">
        <v>1.0</v>
      </c>
      <c r="G31" s="144">
        <v>1.0</v>
      </c>
      <c r="H31" s="147"/>
      <c r="I31" s="144">
        <v>1.0</v>
      </c>
      <c r="J31" s="144">
        <v>1.0</v>
      </c>
      <c r="K31" s="144"/>
      <c r="L31" s="144">
        <v>1.0</v>
      </c>
      <c r="M31" s="143">
        <f t="shared" ref="M31:M53" si="2">SUM(C31:L31)</f>
        <v>7</v>
      </c>
    </row>
    <row r="32" ht="15.0" customHeight="1">
      <c r="A32" s="148" t="s">
        <v>59</v>
      </c>
      <c r="B32" s="148" t="s">
        <v>61</v>
      </c>
      <c r="C32" s="144">
        <v>1.0</v>
      </c>
      <c r="D32" s="147"/>
      <c r="E32" s="144">
        <v>1.0</v>
      </c>
      <c r="F32" s="144">
        <v>1.0</v>
      </c>
      <c r="G32" s="144">
        <v>1.0</v>
      </c>
      <c r="H32" s="144">
        <v>1.0</v>
      </c>
      <c r="I32" s="147"/>
      <c r="J32" s="144"/>
      <c r="K32" s="144">
        <v>1.0</v>
      </c>
      <c r="L32" s="144">
        <v>1.0</v>
      </c>
      <c r="M32" s="143">
        <f t="shared" si="2"/>
        <v>7</v>
      </c>
    </row>
    <row r="33" ht="15.0" customHeight="1">
      <c r="A33" s="148" t="s">
        <v>66</v>
      </c>
      <c r="B33" s="148" t="s">
        <v>68</v>
      </c>
      <c r="C33" s="147"/>
      <c r="D33" s="144">
        <v>1.0</v>
      </c>
      <c r="E33" s="144">
        <v>1.0</v>
      </c>
      <c r="F33" s="147"/>
      <c r="G33" s="144"/>
      <c r="H33" s="144">
        <v>1.0</v>
      </c>
      <c r="I33" s="144">
        <v>1.0</v>
      </c>
      <c r="J33" s="144">
        <v>1.0</v>
      </c>
      <c r="K33" s="144">
        <v>1.0</v>
      </c>
      <c r="L33" s="144"/>
      <c r="M33" s="143">
        <f t="shared" si="2"/>
        <v>6</v>
      </c>
    </row>
    <row r="34" ht="15.0" customHeight="1">
      <c r="A34" s="148" t="s">
        <v>73</v>
      </c>
      <c r="B34" s="149" t="s">
        <v>75</v>
      </c>
      <c r="C34" s="144">
        <v>1.0</v>
      </c>
      <c r="D34" s="144">
        <v>1.0</v>
      </c>
      <c r="E34" s="144">
        <v>1.0</v>
      </c>
      <c r="F34" s="144">
        <v>1.0</v>
      </c>
      <c r="G34" s="144">
        <v>1.0</v>
      </c>
      <c r="H34" s="144">
        <v>1.0</v>
      </c>
      <c r="I34" s="144"/>
      <c r="J34" s="147"/>
      <c r="K34" s="144">
        <v>1.0</v>
      </c>
      <c r="L34" s="144">
        <v>1.0</v>
      </c>
      <c r="M34" s="143">
        <f t="shared" si="2"/>
        <v>8</v>
      </c>
    </row>
    <row r="35" ht="15.0" customHeight="1">
      <c r="A35" s="148" t="s">
        <v>80</v>
      </c>
      <c r="B35" s="149" t="s">
        <v>82</v>
      </c>
      <c r="C35" s="144">
        <v>1.0</v>
      </c>
      <c r="D35" s="144">
        <v>1.0</v>
      </c>
      <c r="E35" s="144"/>
      <c r="F35" s="144">
        <v>1.0</v>
      </c>
      <c r="G35" s="144">
        <v>1.0</v>
      </c>
      <c r="H35" s="144"/>
      <c r="I35" s="144">
        <v>1.0</v>
      </c>
      <c r="J35" s="144">
        <v>1.0</v>
      </c>
      <c r="K35" s="144">
        <v>1.0</v>
      </c>
      <c r="L35" s="144">
        <v>1.0</v>
      </c>
      <c r="M35" s="143">
        <f t="shared" si="2"/>
        <v>8</v>
      </c>
    </row>
    <row r="36" ht="15.0" customHeight="1">
      <c r="A36" s="148" t="s">
        <v>87</v>
      </c>
      <c r="B36" s="149" t="s">
        <v>88</v>
      </c>
      <c r="C36" s="147"/>
      <c r="D36" s="144">
        <v>1.0</v>
      </c>
      <c r="E36" s="144">
        <v>1.0</v>
      </c>
      <c r="F36" s="144"/>
      <c r="G36" s="144">
        <v>1.0</v>
      </c>
      <c r="H36" s="144">
        <v>1.0</v>
      </c>
      <c r="I36" s="144">
        <v>1.0</v>
      </c>
      <c r="J36" s="144">
        <v>1.0</v>
      </c>
      <c r="K36" s="144"/>
      <c r="L36" s="144">
        <v>1.0</v>
      </c>
      <c r="M36" s="143">
        <f t="shared" si="2"/>
        <v>7</v>
      </c>
    </row>
    <row r="37" ht="15.0" customHeight="1">
      <c r="A37" s="148" t="s">
        <v>92</v>
      </c>
      <c r="B37" s="149" t="s">
        <v>94</v>
      </c>
      <c r="C37" s="144">
        <v>1.0</v>
      </c>
      <c r="D37" s="144"/>
      <c r="E37" s="144">
        <v>1.0</v>
      </c>
      <c r="F37" s="144">
        <v>1.0</v>
      </c>
      <c r="G37" s="144"/>
      <c r="H37" s="144">
        <v>1.0</v>
      </c>
      <c r="I37" s="144">
        <v>1.0</v>
      </c>
      <c r="J37" s="144">
        <v>1.0</v>
      </c>
      <c r="K37" s="144">
        <v>1.0</v>
      </c>
      <c r="L37" s="147"/>
      <c r="M37" s="143">
        <f t="shared" si="2"/>
        <v>7</v>
      </c>
    </row>
    <row r="38" ht="15.0" customHeight="1">
      <c r="A38" s="148" t="s">
        <v>99</v>
      </c>
      <c r="B38" s="148" t="s">
        <v>101</v>
      </c>
      <c r="C38" s="144">
        <v>1.0</v>
      </c>
      <c r="D38" s="144">
        <v>1.0</v>
      </c>
      <c r="E38" s="144">
        <v>1.0</v>
      </c>
      <c r="F38" s="144">
        <v>1.0</v>
      </c>
      <c r="G38" s="144"/>
      <c r="H38" s="144"/>
      <c r="I38" s="144"/>
      <c r="J38" s="144"/>
      <c r="K38" s="151">
        <v>1.0</v>
      </c>
      <c r="L38" s="151">
        <v>1.0</v>
      </c>
      <c r="M38" s="143">
        <f t="shared" si="2"/>
        <v>6</v>
      </c>
    </row>
    <row r="39" ht="15.0" customHeight="1">
      <c r="A39" s="148" t="s">
        <v>106</v>
      </c>
      <c r="B39" s="148" t="s">
        <v>108</v>
      </c>
      <c r="C39" s="144">
        <v>1.0</v>
      </c>
      <c r="D39" s="144">
        <v>1.0</v>
      </c>
      <c r="E39" s="147"/>
      <c r="F39" s="144">
        <v>1.0</v>
      </c>
      <c r="G39" s="144">
        <v>1.0</v>
      </c>
      <c r="H39" s="144">
        <v>1.0</v>
      </c>
      <c r="I39" s="144">
        <v>1.0</v>
      </c>
      <c r="J39" s="144">
        <v>1.0</v>
      </c>
      <c r="K39" s="144"/>
      <c r="L39" s="144">
        <v>1.0</v>
      </c>
      <c r="M39" s="143">
        <f t="shared" si="2"/>
        <v>8</v>
      </c>
    </row>
    <row r="40" ht="15.0" customHeight="1">
      <c r="A40" s="148" t="s">
        <v>113</v>
      </c>
      <c r="B40" s="148" t="s">
        <v>115</v>
      </c>
      <c r="C40" s="144"/>
      <c r="D40" s="147"/>
      <c r="E40" s="144">
        <v>1.0</v>
      </c>
      <c r="F40" s="147"/>
      <c r="G40" s="144">
        <v>1.0</v>
      </c>
      <c r="H40" s="144">
        <v>1.0</v>
      </c>
      <c r="I40" s="144">
        <v>1.0</v>
      </c>
      <c r="J40" s="144">
        <v>1.0</v>
      </c>
      <c r="K40" s="144">
        <v>1.0</v>
      </c>
      <c r="L40" s="144"/>
      <c r="M40" s="143">
        <f t="shared" si="2"/>
        <v>6</v>
      </c>
    </row>
    <row r="41" ht="15.0" customHeight="1">
      <c r="A41" s="148" t="s">
        <v>119</v>
      </c>
      <c r="B41" s="148" t="s">
        <v>121</v>
      </c>
      <c r="C41" s="144">
        <v>1.0</v>
      </c>
      <c r="D41" s="144">
        <v>1.0</v>
      </c>
      <c r="E41" s="144">
        <v>1.0</v>
      </c>
      <c r="F41" s="144"/>
      <c r="G41" s="144">
        <v>1.0</v>
      </c>
      <c r="H41" s="144">
        <v>1.0</v>
      </c>
      <c r="I41" s="144">
        <v>1.0</v>
      </c>
      <c r="J41" s="144"/>
      <c r="K41" s="144">
        <v>1.0</v>
      </c>
      <c r="L41" s="144">
        <v>1.0</v>
      </c>
      <c r="M41" s="143">
        <f t="shared" si="2"/>
        <v>8</v>
      </c>
    </row>
    <row r="42" ht="15.0" customHeight="1">
      <c r="A42" s="148" t="s">
        <v>126</v>
      </c>
      <c r="B42" s="148" t="s">
        <v>128</v>
      </c>
      <c r="C42" s="144">
        <v>1.0</v>
      </c>
      <c r="D42" s="147"/>
      <c r="E42" s="144"/>
      <c r="F42" s="144">
        <v>1.0</v>
      </c>
      <c r="G42" s="144"/>
      <c r="H42" s="144">
        <v>1.0</v>
      </c>
      <c r="I42" s="144">
        <v>1.0</v>
      </c>
      <c r="J42" s="144">
        <v>1.0</v>
      </c>
      <c r="K42" s="144">
        <v>1.0</v>
      </c>
      <c r="L42" s="144"/>
      <c r="M42" s="143">
        <f t="shared" si="2"/>
        <v>6</v>
      </c>
    </row>
    <row r="43" ht="15.0" customHeight="1">
      <c r="A43" s="148" t="s">
        <v>133</v>
      </c>
      <c r="B43" s="148" t="s">
        <v>135</v>
      </c>
      <c r="C43" s="144"/>
      <c r="D43" s="144">
        <v>1.0</v>
      </c>
      <c r="E43" s="144">
        <v>1.0</v>
      </c>
      <c r="F43" s="144">
        <v>1.0</v>
      </c>
      <c r="G43" s="144">
        <v>1.0</v>
      </c>
      <c r="H43" s="144"/>
      <c r="I43" s="147"/>
      <c r="J43" s="144">
        <v>1.0</v>
      </c>
      <c r="K43" s="144"/>
      <c r="L43" s="144">
        <v>1.0</v>
      </c>
      <c r="M43" s="143">
        <f t="shared" si="2"/>
        <v>6</v>
      </c>
    </row>
    <row r="44" ht="15.0" customHeight="1">
      <c r="A44" s="154" t="s">
        <v>52</v>
      </c>
      <c r="B44" s="153" t="s">
        <v>142</v>
      </c>
      <c r="C44" s="144"/>
      <c r="D44" s="144">
        <v>1.0</v>
      </c>
      <c r="E44" s="144">
        <v>1.0</v>
      </c>
      <c r="F44" s="144"/>
      <c r="G44" s="147"/>
      <c r="H44" s="144">
        <v>1.0</v>
      </c>
      <c r="I44" s="151">
        <v>1.0</v>
      </c>
      <c r="J44" s="144">
        <v>1.0</v>
      </c>
      <c r="K44" s="144">
        <v>1.0</v>
      </c>
      <c r="L44" s="144">
        <v>1.0</v>
      </c>
      <c r="M44" s="143">
        <f t="shared" si="2"/>
        <v>7</v>
      </c>
    </row>
    <row r="45" ht="15.0" customHeight="1">
      <c r="A45" s="154" t="s">
        <v>59</v>
      </c>
      <c r="B45" s="154" t="s">
        <v>148</v>
      </c>
      <c r="C45" s="144">
        <v>1.0</v>
      </c>
      <c r="D45" s="144">
        <v>1.0</v>
      </c>
      <c r="E45" s="147"/>
      <c r="F45" s="144">
        <v>1.0</v>
      </c>
      <c r="G45" s="144">
        <v>1.0</v>
      </c>
      <c r="H45" s="151">
        <v>2.0</v>
      </c>
      <c r="I45" s="144"/>
      <c r="J45" s="144">
        <v>1.0</v>
      </c>
      <c r="K45" s="144"/>
      <c r="L45" s="144">
        <v>1.0</v>
      </c>
      <c r="M45" s="143">
        <f t="shared" si="2"/>
        <v>8</v>
      </c>
    </row>
    <row r="46" ht="15.0" customHeight="1">
      <c r="A46" s="154" t="s">
        <v>66</v>
      </c>
      <c r="B46" s="154" t="s">
        <v>153</v>
      </c>
      <c r="C46" s="144">
        <v>1.0</v>
      </c>
      <c r="D46" s="147"/>
      <c r="E46" s="144">
        <v>1.0</v>
      </c>
      <c r="F46" s="144">
        <v>1.0</v>
      </c>
      <c r="G46" s="144">
        <v>1.0</v>
      </c>
      <c r="H46" s="147"/>
      <c r="I46" s="144">
        <v>1.0</v>
      </c>
      <c r="J46" s="144"/>
      <c r="K46" s="144">
        <v>1.0</v>
      </c>
      <c r="L46" s="144">
        <v>1.0</v>
      </c>
      <c r="M46" s="143">
        <f t="shared" si="2"/>
        <v>7</v>
      </c>
    </row>
    <row r="47" ht="15.0" customHeight="1">
      <c r="A47" s="154" t="s">
        <v>158</v>
      </c>
      <c r="B47" s="154" t="s">
        <v>160</v>
      </c>
      <c r="C47" s="144">
        <v>1.0</v>
      </c>
      <c r="D47" s="144">
        <v>1.0</v>
      </c>
      <c r="E47" s="144">
        <v>1.0</v>
      </c>
      <c r="F47" s="144">
        <v>1.0</v>
      </c>
      <c r="G47" s="144">
        <v>1.0</v>
      </c>
      <c r="H47" s="144"/>
      <c r="I47" s="144">
        <v>1.0</v>
      </c>
      <c r="J47" s="144">
        <v>1.0</v>
      </c>
      <c r="K47" s="144">
        <v>1.0</v>
      </c>
      <c r="L47" s="144"/>
      <c r="M47" s="143">
        <f t="shared" si="2"/>
        <v>8</v>
      </c>
    </row>
    <row r="48" ht="15.0" customHeight="1">
      <c r="A48" s="154" t="s">
        <v>73</v>
      </c>
      <c r="B48" s="154" t="s">
        <v>166</v>
      </c>
      <c r="C48" s="144">
        <v>1.0</v>
      </c>
      <c r="D48" s="144">
        <v>1.0</v>
      </c>
      <c r="E48" s="144">
        <v>1.0</v>
      </c>
      <c r="F48" s="144"/>
      <c r="G48" s="144">
        <v>1.0</v>
      </c>
      <c r="H48" s="144">
        <v>1.0</v>
      </c>
      <c r="I48" s="144">
        <v>1.0</v>
      </c>
      <c r="J48" s="144">
        <v>1.0</v>
      </c>
      <c r="K48" s="144">
        <v>1.0</v>
      </c>
      <c r="L48" s="144"/>
      <c r="M48" s="143">
        <f t="shared" si="2"/>
        <v>8</v>
      </c>
    </row>
    <row r="49" ht="15.0" customHeight="1">
      <c r="A49" s="154" t="s">
        <v>80</v>
      </c>
      <c r="B49" s="154" t="s">
        <v>172</v>
      </c>
      <c r="C49" s="147"/>
      <c r="D49" s="144">
        <v>1.0</v>
      </c>
      <c r="E49" s="144">
        <v>1.0</v>
      </c>
      <c r="F49" s="144">
        <v>1.0</v>
      </c>
      <c r="G49" s="144">
        <v>1.0</v>
      </c>
      <c r="H49" s="144"/>
      <c r="I49" s="144"/>
      <c r="J49" s="144">
        <v>1.0</v>
      </c>
      <c r="K49" s="144"/>
      <c r="L49" s="144">
        <v>1.0</v>
      </c>
      <c r="M49" s="143">
        <f t="shared" si="2"/>
        <v>6</v>
      </c>
    </row>
    <row r="50" ht="15.0" customHeight="1">
      <c r="A50" s="154" t="s">
        <v>87</v>
      </c>
      <c r="B50" s="154" t="s">
        <v>178</v>
      </c>
      <c r="C50" s="144">
        <v>1.0</v>
      </c>
      <c r="D50" s="144"/>
      <c r="E50" s="144"/>
      <c r="F50" s="144">
        <v>1.0</v>
      </c>
      <c r="G50" s="147"/>
      <c r="H50" s="144">
        <v>1.0</v>
      </c>
      <c r="I50" s="144">
        <v>1.0</v>
      </c>
      <c r="J50" s="144"/>
      <c r="K50" s="144">
        <v>1.0</v>
      </c>
      <c r="L50" s="144">
        <v>1.0</v>
      </c>
      <c r="M50" s="143">
        <f t="shared" si="2"/>
        <v>6</v>
      </c>
    </row>
    <row r="51" ht="15.0" customHeight="1">
      <c r="A51" s="154" t="s">
        <v>99</v>
      </c>
      <c r="B51" s="155" t="s">
        <v>183</v>
      </c>
      <c r="C51" s="157">
        <v>1.0</v>
      </c>
      <c r="D51" s="157">
        <v>1.0</v>
      </c>
      <c r="E51" s="158"/>
      <c r="F51" s="157">
        <v>1.0</v>
      </c>
      <c r="G51" s="157">
        <v>1.0</v>
      </c>
      <c r="H51" s="157">
        <v>1.0</v>
      </c>
      <c r="I51" s="157">
        <v>1.0</v>
      </c>
      <c r="J51" s="157">
        <v>1.0</v>
      </c>
      <c r="K51" s="157"/>
      <c r="L51" s="157">
        <v>1.0</v>
      </c>
      <c r="M51" s="143">
        <f t="shared" si="2"/>
        <v>8</v>
      </c>
    </row>
    <row r="52" ht="15.0" customHeight="1">
      <c r="A52" s="154" t="s">
        <v>106</v>
      </c>
      <c r="B52" s="155" t="s">
        <v>189</v>
      </c>
      <c r="C52" s="157"/>
      <c r="D52" s="157">
        <v>1.0</v>
      </c>
      <c r="E52" s="157">
        <v>1.0</v>
      </c>
      <c r="F52" s="158"/>
      <c r="G52" s="157">
        <v>1.0</v>
      </c>
      <c r="H52" s="157"/>
      <c r="I52" s="157">
        <v>1.0</v>
      </c>
      <c r="J52" s="158"/>
      <c r="K52" s="151">
        <v>1.0</v>
      </c>
      <c r="L52" s="151">
        <v>1.0</v>
      </c>
      <c r="M52" s="143">
        <f t="shared" si="2"/>
        <v>6</v>
      </c>
    </row>
    <row r="53" ht="15.0" customHeight="1">
      <c r="A53" s="154" t="s">
        <v>113</v>
      </c>
      <c r="B53" s="155" t="s">
        <v>195</v>
      </c>
      <c r="C53" s="157">
        <v>1.0</v>
      </c>
      <c r="D53" s="158"/>
      <c r="E53" s="157">
        <v>1.0</v>
      </c>
      <c r="F53" s="157">
        <v>1.0</v>
      </c>
      <c r="G53" s="157"/>
      <c r="H53" s="157">
        <v>1.0</v>
      </c>
      <c r="I53" s="157"/>
      <c r="J53" s="157">
        <v>1.0</v>
      </c>
      <c r="K53" s="157">
        <v>1.0</v>
      </c>
      <c r="L53" s="157"/>
      <c r="M53" s="143">
        <f t="shared" si="2"/>
        <v>6</v>
      </c>
    </row>
    <row r="54" ht="12.75" customHeight="1">
      <c r="A54" s="156"/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</row>
    <row r="55" ht="15.0" customHeight="1">
      <c r="A55" s="159" t="s">
        <v>47</v>
      </c>
      <c r="B55" s="160"/>
      <c r="C55" s="138" t="s">
        <v>2</v>
      </c>
      <c r="D55" s="138" t="s">
        <v>4</v>
      </c>
      <c r="E55" s="138" t="s">
        <v>6</v>
      </c>
      <c r="F55" s="138" t="s">
        <v>8</v>
      </c>
      <c r="G55" s="138" t="s">
        <v>10</v>
      </c>
      <c r="H55" s="138" t="s">
        <v>24</v>
      </c>
      <c r="I55" s="138" t="s">
        <v>26</v>
      </c>
      <c r="J55" s="138" t="s">
        <v>28</v>
      </c>
      <c r="K55" s="138" t="s">
        <v>30</v>
      </c>
      <c r="L55" s="138" t="s">
        <v>32</v>
      </c>
      <c r="M55" s="139" t="s">
        <v>200</v>
      </c>
    </row>
    <row r="56" ht="15.0" customHeight="1">
      <c r="A56" s="148" t="s">
        <v>52</v>
      </c>
      <c r="B56" s="141" t="s">
        <v>55</v>
      </c>
      <c r="C56" s="144">
        <v>1.0</v>
      </c>
      <c r="D56" s="144">
        <v>1.0</v>
      </c>
      <c r="E56" s="144">
        <v>1.0</v>
      </c>
      <c r="F56" s="144">
        <v>1.0</v>
      </c>
      <c r="G56" s="147"/>
      <c r="H56" s="144">
        <v>1.0</v>
      </c>
      <c r="I56" s="144">
        <v>1.0</v>
      </c>
      <c r="J56" s="144">
        <v>1.0</v>
      </c>
      <c r="K56" s="144"/>
      <c r="L56" s="144">
        <v>1.0</v>
      </c>
      <c r="M56" s="143">
        <f t="shared" ref="M56:M78" si="3">SUM(C56:L56)</f>
        <v>8</v>
      </c>
    </row>
    <row r="57" ht="15.0" customHeight="1">
      <c r="A57" s="148" t="s">
        <v>59</v>
      </c>
      <c r="B57" s="148" t="s">
        <v>62</v>
      </c>
      <c r="C57" s="144">
        <v>1.0</v>
      </c>
      <c r="D57" s="144"/>
      <c r="E57" s="147"/>
      <c r="F57" s="144">
        <v>1.0</v>
      </c>
      <c r="G57" s="144">
        <v>1.0</v>
      </c>
      <c r="H57" s="144"/>
      <c r="I57" s="144">
        <v>1.0</v>
      </c>
      <c r="J57" s="144">
        <v>1.0</v>
      </c>
      <c r="K57" s="144">
        <v>1.0</v>
      </c>
      <c r="L57" s="147"/>
      <c r="M57" s="143">
        <f t="shared" si="3"/>
        <v>6</v>
      </c>
    </row>
    <row r="58" ht="15.0" customHeight="1">
      <c r="A58" s="148" t="s">
        <v>66</v>
      </c>
      <c r="B58" s="148" t="s">
        <v>69</v>
      </c>
      <c r="C58" s="144"/>
      <c r="D58" s="144">
        <v>1.0</v>
      </c>
      <c r="E58" s="144">
        <v>1.0</v>
      </c>
      <c r="F58" s="144"/>
      <c r="G58" s="144">
        <v>1.0</v>
      </c>
      <c r="H58" s="144">
        <v>1.0</v>
      </c>
      <c r="I58" s="147"/>
      <c r="J58" s="147"/>
      <c r="K58" s="144">
        <v>1.0</v>
      </c>
      <c r="L58" s="144">
        <v>1.0</v>
      </c>
      <c r="M58" s="143">
        <f t="shared" si="3"/>
        <v>6</v>
      </c>
    </row>
    <row r="59" ht="15.0" customHeight="1">
      <c r="A59" s="148" t="s">
        <v>73</v>
      </c>
      <c r="B59" s="161" t="s">
        <v>76</v>
      </c>
      <c r="C59" s="144"/>
      <c r="D59" s="162">
        <v>1.0</v>
      </c>
      <c r="E59" s="144">
        <v>1.0</v>
      </c>
      <c r="F59" s="144">
        <v>1.0</v>
      </c>
      <c r="G59" s="144">
        <v>1.0</v>
      </c>
      <c r="H59" s="144">
        <v>1.0</v>
      </c>
      <c r="I59" s="144">
        <v>1.0</v>
      </c>
      <c r="J59" s="144">
        <v>1.0</v>
      </c>
      <c r="K59" s="144">
        <v>1.0</v>
      </c>
      <c r="L59" s="144"/>
      <c r="M59" s="143">
        <f t="shared" si="3"/>
        <v>8</v>
      </c>
    </row>
    <row r="60" ht="15.0" customHeight="1">
      <c r="A60" s="148" t="s">
        <v>80</v>
      </c>
      <c r="B60" s="149" t="s">
        <v>83</v>
      </c>
      <c r="C60" s="144">
        <v>1.0</v>
      </c>
      <c r="D60" s="144"/>
      <c r="E60" s="147"/>
      <c r="F60" s="144">
        <v>1.0</v>
      </c>
      <c r="G60" s="144">
        <v>1.0</v>
      </c>
      <c r="H60" s="144">
        <v>1.0</v>
      </c>
      <c r="I60" s="162">
        <v>1.0</v>
      </c>
      <c r="J60" s="144">
        <v>1.0</v>
      </c>
      <c r="K60" s="144">
        <v>1.0</v>
      </c>
      <c r="L60" s="144">
        <v>1.0</v>
      </c>
      <c r="M60" s="143">
        <f t="shared" si="3"/>
        <v>8</v>
      </c>
    </row>
    <row r="61" ht="15.0" customHeight="1">
      <c r="A61" s="148" t="s">
        <v>87</v>
      </c>
      <c r="B61" s="149" t="s">
        <v>89</v>
      </c>
      <c r="C61" s="144">
        <v>1.0</v>
      </c>
      <c r="D61" s="144">
        <v>1.0</v>
      </c>
      <c r="E61" s="144">
        <v>1.0</v>
      </c>
      <c r="F61" s="144">
        <v>1.0</v>
      </c>
      <c r="G61" s="144"/>
      <c r="H61" s="144">
        <v>1.0</v>
      </c>
      <c r="I61" s="144"/>
      <c r="J61" s="144">
        <v>1.0</v>
      </c>
      <c r="K61" s="144">
        <v>1.0</v>
      </c>
      <c r="L61" s="144">
        <v>1.0</v>
      </c>
      <c r="M61" s="143">
        <f t="shared" si="3"/>
        <v>8</v>
      </c>
    </row>
    <row r="62" ht="15.0" customHeight="1">
      <c r="A62" s="148" t="s">
        <v>92</v>
      </c>
      <c r="B62" s="149" t="s">
        <v>95</v>
      </c>
      <c r="C62" s="144">
        <v>1.0</v>
      </c>
      <c r="D62" s="144">
        <v>1.0</v>
      </c>
      <c r="E62" s="144">
        <v>1.0</v>
      </c>
      <c r="F62" s="144"/>
      <c r="G62" s="144">
        <v>1.0</v>
      </c>
      <c r="H62" s="144"/>
      <c r="I62" s="144">
        <v>1.0</v>
      </c>
      <c r="J62" s="147"/>
      <c r="K62" s="144"/>
      <c r="L62" s="144">
        <v>1.0</v>
      </c>
      <c r="M62" s="143">
        <f t="shared" si="3"/>
        <v>6</v>
      </c>
    </row>
    <row r="63" ht="15.0" customHeight="1">
      <c r="A63" s="148" t="s">
        <v>99</v>
      </c>
      <c r="B63" s="148" t="s">
        <v>102</v>
      </c>
      <c r="C63" s="144">
        <v>1.0</v>
      </c>
      <c r="D63" s="144">
        <v>1.0</v>
      </c>
      <c r="E63" s="147"/>
      <c r="F63" s="144">
        <v>1.0</v>
      </c>
      <c r="G63" s="144"/>
      <c r="H63" s="144">
        <v>1.0</v>
      </c>
      <c r="I63" s="144"/>
      <c r="J63" s="144">
        <v>1.0</v>
      </c>
      <c r="K63" s="144">
        <v>1.0</v>
      </c>
      <c r="L63" s="144">
        <v>1.0</v>
      </c>
      <c r="M63" s="143">
        <f t="shared" si="3"/>
        <v>7</v>
      </c>
    </row>
    <row r="64" ht="15.0" customHeight="1">
      <c r="A64" s="148" t="s">
        <v>106</v>
      </c>
      <c r="B64" s="148" t="s">
        <v>109</v>
      </c>
      <c r="C64" s="144"/>
      <c r="D64" s="144">
        <v>1.0</v>
      </c>
      <c r="E64" s="144">
        <v>1.0</v>
      </c>
      <c r="F64" s="144">
        <v>1.0</v>
      </c>
      <c r="G64" s="144">
        <v>1.0</v>
      </c>
      <c r="H64" s="147"/>
      <c r="I64" s="144">
        <v>1.0</v>
      </c>
      <c r="J64" s="144"/>
      <c r="K64" s="144">
        <v>1.0</v>
      </c>
      <c r="L64" s="144">
        <v>1.0</v>
      </c>
      <c r="M64" s="143">
        <f t="shared" si="3"/>
        <v>7</v>
      </c>
    </row>
    <row r="65" ht="15.0" customHeight="1">
      <c r="A65" s="148" t="s">
        <v>113</v>
      </c>
      <c r="B65" s="148" t="s">
        <v>116</v>
      </c>
      <c r="C65" s="144">
        <v>1.0</v>
      </c>
      <c r="D65" s="144"/>
      <c r="E65" s="144">
        <v>1.0</v>
      </c>
      <c r="F65" s="147"/>
      <c r="G65" s="144">
        <v>1.0</v>
      </c>
      <c r="H65" s="144">
        <v>1.0</v>
      </c>
      <c r="I65" s="144">
        <v>1.0</v>
      </c>
      <c r="J65" s="144">
        <v>1.0</v>
      </c>
      <c r="K65" s="144"/>
      <c r="L65" s="144"/>
      <c r="M65" s="143">
        <f t="shared" si="3"/>
        <v>6</v>
      </c>
    </row>
    <row r="66" ht="15.0" customHeight="1">
      <c r="A66" s="148" t="s">
        <v>119</v>
      </c>
      <c r="B66" s="148" t="s">
        <v>122</v>
      </c>
      <c r="C66" s="144">
        <v>1.0</v>
      </c>
      <c r="D66" s="144">
        <v>1.0</v>
      </c>
      <c r="E66" s="144"/>
      <c r="F66" s="144"/>
      <c r="G66" s="144">
        <v>1.0</v>
      </c>
      <c r="H66" s="144">
        <v>1.0</v>
      </c>
      <c r="I66" s="144">
        <v>1.0</v>
      </c>
      <c r="J66" s="144">
        <v>1.0</v>
      </c>
      <c r="K66" s="144">
        <v>1.0</v>
      </c>
      <c r="L66" s="144">
        <v>1.0</v>
      </c>
      <c r="M66" s="143">
        <f t="shared" si="3"/>
        <v>8</v>
      </c>
    </row>
    <row r="67" ht="15.0" customHeight="1">
      <c r="A67" s="148" t="s">
        <v>126</v>
      </c>
      <c r="B67" s="148" t="s">
        <v>129</v>
      </c>
      <c r="C67" s="144">
        <v>1.0</v>
      </c>
      <c r="D67" s="144">
        <v>1.0</v>
      </c>
      <c r="E67" s="144">
        <v>1.0</v>
      </c>
      <c r="F67" s="144">
        <v>1.0</v>
      </c>
      <c r="G67" s="144"/>
      <c r="H67" s="144"/>
      <c r="I67" s="144">
        <v>1.0</v>
      </c>
      <c r="J67" s="144"/>
      <c r="K67" s="144"/>
      <c r="L67" s="144">
        <v>1.0</v>
      </c>
      <c r="M67" s="143">
        <f t="shared" si="3"/>
        <v>6</v>
      </c>
    </row>
    <row r="68" ht="15.0" customHeight="1">
      <c r="A68" s="148" t="s">
        <v>133</v>
      </c>
      <c r="B68" s="148" t="s">
        <v>136</v>
      </c>
      <c r="C68" s="147"/>
      <c r="D68" s="144"/>
      <c r="E68" s="144">
        <v>1.0</v>
      </c>
      <c r="F68" s="144">
        <v>1.0</v>
      </c>
      <c r="G68" s="144">
        <v>1.0</v>
      </c>
      <c r="H68" s="144">
        <v>1.0</v>
      </c>
      <c r="I68" s="144"/>
      <c r="J68" s="144">
        <v>1.0</v>
      </c>
      <c r="K68" s="144">
        <v>1.0</v>
      </c>
      <c r="L68" s="144"/>
      <c r="M68" s="143">
        <f t="shared" si="3"/>
        <v>6</v>
      </c>
    </row>
    <row r="69" ht="14.25" customHeight="1">
      <c r="A69" s="154" t="s">
        <v>52</v>
      </c>
      <c r="B69" s="153" t="s">
        <v>143</v>
      </c>
      <c r="C69" s="144">
        <v>1.0</v>
      </c>
      <c r="D69" s="144">
        <v>1.0</v>
      </c>
      <c r="E69" s="144">
        <v>1.0</v>
      </c>
      <c r="F69" s="144">
        <v>1.0</v>
      </c>
      <c r="G69" s="144">
        <v>1.0</v>
      </c>
      <c r="H69" s="144">
        <v>1.0</v>
      </c>
      <c r="I69" s="144">
        <v>1.0</v>
      </c>
      <c r="J69" s="144"/>
      <c r="K69" s="144">
        <v>1.0</v>
      </c>
      <c r="L69" s="144"/>
      <c r="M69" s="143">
        <f t="shared" si="3"/>
        <v>8</v>
      </c>
    </row>
    <row r="70" ht="15.0" customHeight="1">
      <c r="A70" s="154" t="s">
        <v>59</v>
      </c>
      <c r="B70" s="163" t="s">
        <v>47</v>
      </c>
      <c r="C70" s="144">
        <v>1.0</v>
      </c>
      <c r="D70" s="144">
        <v>1.0</v>
      </c>
      <c r="E70" s="147"/>
      <c r="F70" s="144">
        <v>1.0</v>
      </c>
      <c r="G70" s="144">
        <v>1.0</v>
      </c>
      <c r="H70" s="144">
        <v>1.0</v>
      </c>
      <c r="I70" s="144">
        <v>1.0</v>
      </c>
      <c r="J70" s="144">
        <v>1.0</v>
      </c>
      <c r="K70" s="144"/>
      <c r="L70" s="144">
        <v>1.0</v>
      </c>
      <c r="M70" s="143">
        <f t="shared" si="3"/>
        <v>8</v>
      </c>
    </row>
    <row r="71" ht="15.0" customHeight="1">
      <c r="A71" s="154" t="s">
        <v>66</v>
      </c>
      <c r="B71" s="154" t="s">
        <v>154</v>
      </c>
      <c r="C71" s="144">
        <v>1.0</v>
      </c>
      <c r="D71" s="147"/>
      <c r="E71" s="144">
        <v>1.0</v>
      </c>
      <c r="F71" s="144">
        <v>1.0</v>
      </c>
      <c r="G71" s="147"/>
      <c r="H71" s="144">
        <v>1.0</v>
      </c>
      <c r="I71" s="144"/>
      <c r="J71" s="144">
        <v>1.0</v>
      </c>
      <c r="K71" s="144">
        <v>1.0</v>
      </c>
      <c r="L71" s="144">
        <v>1.0</v>
      </c>
      <c r="M71" s="143">
        <f t="shared" si="3"/>
        <v>7</v>
      </c>
    </row>
    <row r="72" ht="15.0" customHeight="1">
      <c r="A72" s="154" t="s">
        <v>158</v>
      </c>
      <c r="B72" s="154" t="s">
        <v>161</v>
      </c>
      <c r="C72" s="144"/>
      <c r="D72" s="144">
        <v>1.0</v>
      </c>
      <c r="E72" s="144">
        <v>1.0</v>
      </c>
      <c r="F72" s="144"/>
      <c r="G72" s="144">
        <v>1.0</v>
      </c>
      <c r="H72" s="144"/>
      <c r="I72" s="144">
        <v>1.0</v>
      </c>
      <c r="J72" s="144">
        <v>1.0</v>
      </c>
      <c r="K72" s="144">
        <v>1.0</v>
      </c>
      <c r="L72" s="144">
        <v>1.0</v>
      </c>
      <c r="M72" s="143">
        <f t="shared" si="3"/>
        <v>7</v>
      </c>
    </row>
    <row r="73" ht="15.0" customHeight="1">
      <c r="A73" s="154" t="s">
        <v>73</v>
      </c>
      <c r="B73" s="154" t="s">
        <v>167</v>
      </c>
      <c r="C73" s="144">
        <v>1.0</v>
      </c>
      <c r="D73" s="144">
        <v>1.0</v>
      </c>
      <c r="E73" s="144">
        <v>1.0</v>
      </c>
      <c r="F73" s="144">
        <v>1.0</v>
      </c>
      <c r="G73" s="147"/>
      <c r="H73" s="144">
        <v>1.0</v>
      </c>
      <c r="I73" s="144">
        <v>1.0</v>
      </c>
      <c r="J73" s="144"/>
      <c r="K73" s="144">
        <v>1.0</v>
      </c>
      <c r="L73" s="144">
        <v>1.0</v>
      </c>
      <c r="M73" s="143">
        <f t="shared" si="3"/>
        <v>8</v>
      </c>
    </row>
    <row r="74" ht="15.0" customHeight="1">
      <c r="A74" s="154" t="s">
        <v>80</v>
      </c>
      <c r="B74" s="154" t="s">
        <v>173</v>
      </c>
      <c r="C74" s="144"/>
      <c r="D74" s="144">
        <v>1.0</v>
      </c>
      <c r="E74" s="144"/>
      <c r="F74" s="144">
        <v>1.0</v>
      </c>
      <c r="G74" s="144">
        <v>1.0</v>
      </c>
      <c r="H74" s="144">
        <v>1.0</v>
      </c>
      <c r="I74" s="144"/>
      <c r="J74" s="144">
        <v>1.0</v>
      </c>
      <c r="K74" s="147"/>
      <c r="L74" s="144">
        <v>1.0</v>
      </c>
      <c r="M74" s="143">
        <f t="shared" si="3"/>
        <v>6</v>
      </c>
    </row>
    <row r="75" ht="15.0" customHeight="1">
      <c r="A75" s="154" t="s">
        <v>87</v>
      </c>
      <c r="B75" s="154" t="s">
        <v>179</v>
      </c>
      <c r="C75" s="144">
        <v>1.0</v>
      </c>
      <c r="D75" s="147"/>
      <c r="E75" s="144">
        <v>1.0</v>
      </c>
      <c r="F75" s="147"/>
      <c r="G75" s="144">
        <v>1.0</v>
      </c>
      <c r="H75" s="147"/>
      <c r="I75" s="144">
        <v>1.0</v>
      </c>
      <c r="J75" s="144">
        <v>1.0</v>
      </c>
      <c r="K75" s="144">
        <v>1.0</v>
      </c>
      <c r="L75" s="144"/>
      <c r="M75" s="143">
        <f t="shared" si="3"/>
        <v>6</v>
      </c>
    </row>
    <row r="76" ht="15.0" customHeight="1">
      <c r="A76" s="154" t="s">
        <v>99</v>
      </c>
      <c r="B76" s="164" t="s">
        <v>184</v>
      </c>
      <c r="C76" s="144"/>
      <c r="D76" s="144">
        <v>1.0</v>
      </c>
      <c r="E76" s="144">
        <v>1.0</v>
      </c>
      <c r="F76" s="144">
        <v>1.0</v>
      </c>
      <c r="G76" s="144"/>
      <c r="H76" s="144">
        <v>1.0</v>
      </c>
      <c r="I76" s="144">
        <v>1.0</v>
      </c>
      <c r="J76" s="144">
        <v>1.0</v>
      </c>
      <c r="K76" s="144">
        <v>1.0</v>
      </c>
      <c r="L76" s="144">
        <v>1.0</v>
      </c>
      <c r="M76" s="143">
        <f t="shared" si="3"/>
        <v>8</v>
      </c>
    </row>
    <row r="77" ht="15.0" customHeight="1">
      <c r="A77" s="154" t="s">
        <v>106</v>
      </c>
      <c r="B77" s="155" t="s">
        <v>190</v>
      </c>
      <c r="C77" s="144">
        <v>1.0</v>
      </c>
      <c r="D77" s="147"/>
      <c r="E77" s="144">
        <v>1.0</v>
      </c>
      <c r="F77" s="144"/>
      <c r="G77" s="144">
        <v>1.0</v>
      </c>
      <c r="H77" s="144">
        <v>1.0</v>
      </c>
      <c r="I77" s="144">
        <v>1.0</v>
      </c>
      <c r="J77" s="144"/>
      <c r="K77" s="144">
        <v>1.0</v>
      </c>
      <c r="L77" s="147"/>
      <c r="M77" s="143">
        <f t="shared" si="3"/>
        <v>6</v>
      </c>
    </row>
    <row r="78" ht="15.0" customHeight="1">
      <c r="A78" s="154" t="s">
        <v>113</v>
      </c>
      <c r="B78" s="155" t="s">
        <v>196</v>
      </c>
      <c r="C78" s="144">
        <v>1.0</v>
      </c>
      <c r="D78" s="144">
        <v>1.0</v>
      </c>
      <c r="E78" s="144"/>
      <c r="F78" s="144">
        <v>1.0</v>
      </c>
      <c r="G78" s="144">
        <v>1.0</v>
      </c>
      <c r="H78" s="144"/>
      <c r="I78" s="144"/>
      <c r="J78" s="144">
        <v>1.0</v>
      </c>
      <c r="K78" s="147"/>
      <c r="L78" s="151">
        <v>1.0</v>
      </c>
      <c r="M78" s="143">
        <f t="shared" si="3"/>
        <v>6</v>
      </c>
    </row>
    <row r="79" ht="12.75" customHeight="1">
      <c r="A79" s="165"/>
      <c r="B79" s="166"/>
      <c r="C79" s="156"/>
      <c r="D79" s="156"/>
      <c r="E79" s="156"/>
      <c r="F79" s="156"/>
      <c r="G79" s="156"/>
      <c r="H79" s="156"/>
      <c r="I79" s="156"/>
      <c r="J79" s="156"/>
      <c r="K79" s="156"/>
      <c r="L79" s="156"/>
      <c r="M79" s="156"/>
    </row>
    <row r="80" ht="15.0" customHeight="1">
      <c r="A80" s="159" t="s">
        <v>48</v>
      </c>
      <c r="B80" s="160"/>
      <c r="C80" s="138" t="s">
        <v>2</v>
      </c>
      <c r="D80" s="138" t="s">
        <v>4</v>
      </c>
      <c r="E80" s="138" t="s">
        <v>6</v>
      </c>
      <c r="F80" s="138" t="s">
        <v>8</v>
      </c>
      <c r="G80" s="138" t="s">
        <v>10</v>
      </c>
      <c r="H80" s="138" t="s">
        <v>24</v>
      </c>
      <c r="I80" s="138" t="s">
        <v>26</v>
      </c>
      <c r="J80" s="138" t="s">
        <v>28</v>
      </c>
      <c r="K80" s="138" t="s">
        <v>30</v>
      </c>
      <c r="L80" s="138" t="s">
        <v>32</v>
      </c>
      <c r="M80" s="139" t="s">
        <v>200</v>
      </c>
    </row>
    <row r="81" ht="15.0" customHeight="1">
      <c r="A81" s="148" t="s">
        <v>52</v>
      </c>
      <c r="B81" s="167" t="s">
        <v>56</v>
      </c>
      <c r="C81" s="142">
        <v>1.0</v>
      </c>
      <c r="D81" s="142">
        <v>1.0</v>
      </c>
      <c r="E81" s="142">
        <v>1.0</v>
      </c>
      <c r="F81" s="142"/>
      <c r="G81" s="142">
        <v>1.0</v>
      </c>
      <c r="H81" s="142"/>
      <c r="I81" s="142">
        <v>1.0</v>
      </c>
      <c r="J81" s="142">
        <v>1.0</v>
      </c>
      <c r="K81" s="143"/>
      <c r="L81" s="142">
        <v>1.0</v>
      </c>
      <c r="M81" s="143">
        <f t="shared" ref="M81:M103" si="4">SUM(C81:L81)</f>
        <v>7</v>
      </c>
    </row>
    <row r="82" ht="15.0" customHeight="1">
      <c r="A82" s="148" t="s">
        <v>59</v>
      </c>
      <c r="B82" s="168" t="s">
        <v>63</v>
      </c>
      <c r="C82" s="142">
        <v>1.0</v>
      </c>
      <c r="D82" s="142">
        <v>1.0</v>
      </c>
      <c r="E82" s="142">
        <v>1.0</v>
      </c>
      <c r="F82" s="142">
        <v>1.0</v>
      </c>
      <c r="G82" s="143"/>
      <c r="H82" s="142">
        <v>1.0</v>
      </c>
      <c r="I82" s="142"/>
      <c r="J82" s="142">
        <v>1.0</v>
      </c>
      <c r="K82" s="142">
        <v>1.0</v>
      </c>
      <c r="L82" s="142"/>
      <c r="M82" s="143">
        <f t="shared" si="4"/>
        <v>7</v>
      </c>
    </row>
    <row r="83" ht="15.0" customHeight="1">
      <c r="A83" s="148" t="s">
        <v>66</v>
      </c>
      <c r="B83" s="168" t="s">
        <v>70</v>
      </c>
      <c r="C83" s="143"/>
      <c r="D83" s="142"/>
      <c r="E83" s="142"/>
      <c r="F83" s="142">
        <v>1.0</v>
      </c>
      <c r="G83" s="142">
        <v>1.0</v>
      </c>
      <c r="H83" s="142">
        <v>1.0</v>
      </c>
      <c r="I83" s="142">
        <v>1.0</v>
      </c>
      <c r="J83" s="144"/>
      <c r="K83" s="144">
        <v>1.0</v>
      </c>
      <c r="L83" s="144">
        <v>1.0</v>
      </c>
      <c r="M83" s="143">
        <f t="shared" si="4"/>
        <v>6</v>
      </c>
    </row>
    <row r="84" ht="15.0" customHeight="1">
      <c r="A84" s="148" t="s">
        <v>73</v>
      </c>
      <c r="B84" s="169" t="s">
        <v>77</v>
      </c>
      <c r="C84" s="142">
        <v>1.0</v>
      </c>
      <c r="D84" s="142">
        <v>1.0</v>
      </c>
      <c r="E84" s="142">
        <v>1.0</v>
      </c>
      <c r="F84" s="142"/>
      <c r="G84" s="142">
        <v>1.0</v>
      </c>
      <c r="H84" s="142">
        <v>1.0</v>
      </c>
      <c r="I84" s="142">
        <v>1.0</v>
      </c>
      <c r="J84" s="144"/>
      <c r="K84" s="144">
        <v>1.0</v>
      </c>
      <c r="L84" s="144">
        <v>1.0</v>
      </c>
      <c r="M84" s="143">
        <f t="shared" si="4"/>
        <v>8</v>
      </c>
    </row>
    <row r="85" ht="15.0" customHeight="1">
      <c r="A85" s="148" t="s">
        <v>80</v>
      </c>
      <c r="B85" s="169" t="s">
        <v>84</v>
      </c>
      <c r="C85" s="142">
        <v>1.0</v>
      </c>
      <c r="D85" s="142"/>
      <c r="E85" s="142">
        <v>1.0</v>
      </c>
      <c r="F85" s="142">
        <v>1.0</v>
      </c>
      <c r="G85" s="142">
        <v>1.0</v>
      </c>
      <c r="H85" s="142">
        <v>1.0</v>
      </c>
      <c r="I85" s="142">
        <v>1.0</v>
      </c>
      <c r="J85" s="144">
        <v>1.0</v>
      </c>
      <c r="K85" s="147"/>
      <c r="L85" s="147"/>
      <c r="M85" s="143">
        <f t="shared" si="4"/>
        <v>7</v>
      </c>
    </row>
    <row r="86" ht="15.0" customHeight="1">
      <c r="A86" s="148" t="s">
        <v>87</v>
      </c>
      <c r="B86" s="170" t="s">
        <v>48</v>
      </c>
      <c r="C86" s="142">
        <v>1.0</v>
      </c>
      <c r="D86" s="142">
        <v>1.0</v>
      </c>
      <c r="E86" s="142"/>
      <c r="F86" s="142">
        <v>1.0</v>
      </c>
      <c r="G86" s="142">
        <v>1.0</v>
      </c>
      <c r="H86" s="142">
        <v>1.0</v>
      </c>
      <c r="I86" s="143"/>
      <c r="J86" s="144">
        <v>1.0</v>
      </c>
      <c r="K86" s="144">
        <v>1.0</v>
      </c>
      <c r="L86" s="144"/>
      <c r="M86" s="143">
        <f t="shared" si="4"/>
        <v>7</v>
      </c>
    </row>
    <row r="87" ht="15.0" customHeight="1">
      <c r="A87" s="148" t="s">
        <v>92</v>
      </c>
      <c r="B87" s="169" t="s">
        <v>96</v>
      </c>
      <c r="C87" s="143"/>
      <c r="D87" s="142">
        <v>1.0</v>
      </c>
      <c r="E87" s="142">
        <v>1.0</v>
      </c>
      <c r="F87" s="142">
        <v>1.0</v>
      </c>
      <c r="G87" s="142"/>
      <c r="H87" s="142"/>
      <c r="I87" s="142">
        <v>1.0</v>
      </c>
      <c r="J87" s="144">
        <v>1.0</v>
      </c>
      <c r="K87" s="144">
        <v>1.0</v>
      </c>
      <c r="L87" s="144">
        <v>1.0</v>
      </c>
      <c r="M87" s="143">
        <f t="shared" si="4"/>
        <v>7</v>
      </c>
    </row>
    <row r="88" ht="15.0" customHeight="1">
      <c r="A88" s="148" t="s">
        <v>99</v>
      </c>
      <c r="B88" s="171" t="s">
        <v>103</v>
      </c>
      <c r="C88" s="142"/>
      <c r="D88" s="142">
        <v>1.0</v>
      </c>
      <c r="E88" s="142">
        <v>1.0</v>
      </c>
      <c r="F88" s="142">
        <v>1.0</v>
      </c>
      <c r="G88" s="142"/>
      <c r="H88" s="142">
        <v>1.0</v>
      </c>
      <c r="I88" s="142"/>
      <c r="J88" s="144">
        <v>1.0</v>
      </c>
      <c r="K88" s="144">
        <v>1.0</v>
      </c>
      <c r="L88" s="144"/>
      <c r="M88" s="143">
        <f t="shared" si="4"/>
        <v>6</v>
      </c>
    </row>
    <row r="89" ht="15.0" customHeight="1">
      <c r="A89" s="148" t="s">
        <v>106</v>
      </c>
      <c r="B89" s="171" t="s">
        <v>110</v>
      </c>
      <c r="C89" s="142">
        <v>1.0</v>
      </c>
      <c r="D89" s="143"/>
      <c r="E89" s="144">
        <v>1.0</v>
      </c>
      <c r="F89" s="143"/>
      <c r="G89" s="142">
        <v>1.0</v>
      </c>
      <c r="H89" s="142">
        <v>1.0</v>
      </c>
      <c r="I89" s="142">
        <v>1.0</v>
      </c>
      <c r="J89" s="144"/>
      <c r="K89" s="144">
        <v>1.0</v>
      </c>
      <c r="L89" s="147"/>
      <c r="M89" s="143">
        <f t="shared" si="4"/>
        <v>6</v>
      </c>
    </row>
    <row r="90" ht="15.0" customHeight="1">
      <c r="A90" s="148" t="s">
        <v>113</v>
      </c>
      <c r="B90" s="171" t="s">
        <v>117</v>
      </c>
      <c r="C90" s="142">
        <v>1.0</v>
      </c>
      <c r="D90" s="142">
        <v>1.0</v>
      </c>
      <c r="E90" s="144"/>
      <c r="F90" s="142">
        <v>1.0</v>
      </c>
      <c r="G90" s="142">
        <v>1.0</v>
      </c>
      <c r="H90" s="142"/>
      <c r="I90" s="142">
        <v>1.0</v>
      </c>
      <c r="J90" s="144">
        <v>1.0</v>
      </c>
      <c r="K90" s="147"/>
      <c r="L90" s="144"/>
      <c r="M90" s="143">
        <f t="shared" si="4"/>
        <v>6</v>
      </c>
    </row>
    <row r="91" ht="15.0" customHeight="1">
      <c r="A91" s="148" t="s">
        <v>119</v>
      </c>
      <c r="B91" s="171" t="s">
        <v>123</v>
      </c>
      <c r="C91" s="142">
        <v>1.0</v>
      </c>
      <c r="D91" s="142">
        <v>1.0</v>
      </c>
      <c r="E91" s="144">
        <v>1.0</v>
      </c>
      <c r="F91" s="142">
        <v>1.0</v>
      </c>
      <c r="G91" s="142"/>
      <c r="H91" s="142">
        <v>1.0</v>
      </c>
      <c r="I91" s="143"/>
      <c r="J91" s="144">
        <v>1.0</v>
      </c>
      <c r="K91" s="144">
        <v>1.0</v>
      </c>
      <c r="L91" s="144">
        <v>1.0</v>
      </c>
      <c r="M91" s="143">
        <f t="shared" si="4"/>
        <v>8</v>
      </c>
    </row>
    <row r="92" ht="14.25" customHeight="1">
      <c r="A92" s="148" t="s">
        <v>126</v>
      </c>
      <c r="B92" s="171" t="s">
        <v>130</v>
      </c>
      <c r="C92" s="142">
        <v>1.0</v>
      </c>
      <c r="D92" s="142"/>
      <c r="E92" s="147"/>
      <c r="F92" s="142">
        <v>1.0</v>
      </c>
      <c r="G92" s="142">
        <v>1.0</v>
      </c>
      <c r="H92" s="142"/>
      <c r="I92" s="142">
        <v>1.0</v>
      </c>
      <c r="J92" s="144"/>
      <c r="K92" s="144">
        <v>1.0</v>
      </c>
      <c r="L92" s="144">
        <v>1.0</v>
      </c>
      <c r="M92" s="143">
        <f t="shared" si="4"/>
        <v>6</v>
      </c>
    </row>
    <row r="93" ht="13.5" customHeight="1">
      <c r="A93" s="148" t="s">
        <v>133</v>
      </c>
      <c r="B93" s="171" t="s">
        <v>137</v>
      </c>
      <c r="C93" s="142"/>
      <c r="D93" s="142">
        <v>1.0</v>
      </c>
      <c r="E93" s="142">
        <v>1.0</v>
      </c>
      <c r="F93" s="142"/>
      <c r="G93" s="142">
        <v>1.0</v>
      </c>
      <c r="H93" s="142">
        <v>1.0</v>
      </c>
      <c r="I93" s="142">
        <v>1.0</v>
      </c>
      <c r="J93" s="144">
        <v>1.0</v>
      </c>
      <c r="K93" s="144"/>
      <c r="L93" s="144"/>
      <c r="M93" s="143">
        <f t="shared" si="4"/>
        <v>6</v>
      </c>
    </row>
    <row r="94" ht="15.0" customHeight="1">
      <c r="A94" s="154" t="s">
        <v>52</v>
      </c>
      <c r="B94" s="153" t="s">
        <v>144</v>
      </c>
      <c r="C94" s="142">
        <v>1.0</v>
      </c>
      <c r="D94" s="142">
        <v>1.0</v>
      </c>
      <c r="E94" s="142">
        <v>1.0</v>
      </c>
      <c r="F94" s="142"/>
      <c r="G94" s="142">
        <v>1.0</v>
      </c>
      <c r="H94" s="144"/>
      <c r="I94" s="142">
        <v>1.0</v>
      </c>
      <c r="J94" s="151">
        <v>1.0</v>
      </c>
      <c r="K94" s="147"/>
      <c r="L94" s="151">
        <v>1.0</v>
      </c>
      <c r="M94" s="143">
        <f t="shared" si="4"/>
        <v>7</v>
      </c>
    </row>
    <row r="95" ht="15.0" customHeight="1">
      <c r="A95" s="154" t="s">
        <v>59</v>
      </c>
      <c r="B95" s="154" t="s">
        <v>149</v>
      </c>
      <c r="C95" s="142">
        <v>1.0</v>
      </c>
      <c r="D95" s="142">
        <v>1.0</v>
      </c>
      <c r="E95" s="142">
        <v>1.0</v>
      </c>
      <c r="F95" s="142">
        <v>1.0</v>
      </c>
      <c r="G95" s="142"/>
      <c r="H95" s="142">
        <v>1.0</v>
      </c>
      <c r="I95" s="142">
        <v>1.0</v>
      </c>
      <c r="J95" s="144">
        <v>1.0</v>
      </c>
      <c r="K95" s="144">
        <v>1.0</v>
      </c>
      <c r="L95" s="144"/>
      <c r="M95" s="143">
        <f t="shared" si="4"/>
        <v>8</v>
      </c>
    </row>
    <row r="96" ht="15.0" customHeight="1">
      <c r="A96" s="154" t="s">
        <v>66</v>
      </c>
      <c r="B96" s="154" t="s">
        <v>155</v>
      </c>
      <c r="C96" s="142"/>
      <c r="D96" s="142">
        <v>1.0</v>
      </c>
      <c r="E96" s="142"/>
      <c r="F96" s="142">
        <v>1.0</v>
      </c>
      <c r="G96" s="142">
        <v>1.0</v>
      </c>
      <c r="H96" s="142">
        <v>1.0</v>
      </c>
      <c r="I96" s="142">
        <v>1.0</v>
      </c>
      <c r="J96" s="144">
        <v>1.0</v>
      </c>
      <c r="K96" s="144">
        <v>1.0</v>
      </c>
      <c r="L96" s="144">
        <v>1.0</v>
      </c>
      <c r="M96" s="143">
        <f t="shared" si="4"/>
        <v>8</v>
      </c>
    </row>
    <row r="97" ht="15.0" customHeight="1">
      <c r="A97" s="154" t="s">
        <v>158</v>
      </c>
      <c r="B97" s="154" t="s">
        <v>162</v>
      </c>
      <c r="C97" s="142">
        <v>1.0</v>
      </c>
      <c r="D97" s="143"/>
      <c r="E97" s="142">
        <v>1.0</v>
      </c>
      <c r="F97" s="142">
        <v>1.0</v>
      </c>
      <c r="G97" s="142">
        <v>1.0</v>
      </c>
      <c r="H97" s="142">
        <v>1.0</v>
      </c>
      <c r="I97" s="143"/>
      <c r="J97" s="144"/>
      <c r="K97" s="144">
        <v>1.0</v>
      </c>
      <c r="L97" s="144">
        <v>1.0</v>
      </c>
      <c r="M97" s="143">
        <f t="shared" si="4"/>
        <v>7</v>
      </c>
    </row>
    <row r="98" ht="15.0" customHeight="1">
      <c r="A98" s="154" t="s">
        <v>73</v>
      </c>
      <c r="B98" s="164" t="s">
        <v>168</v>
      </c>
      <c r="C98" s="142">
        <v>1.0</v>
      </c>
      <c r="D98" s="142">
        <v>1.0</v>
      </c>
      <c r="E98" s="142">
        <v>1.0</v>
      </c>
      <c r="F98" s="142"/>
      <c r="G98" s="142">
        <v>1.0</v>
      </c>
      <c r="H98" s="142">
        <v>1.0</v>
      </c>
      <c r="I98" s="142"/>
      <c r="J98" s="144">
        <v>1.0</v>
      </c>
      <c r="K98" s="144">
        <v>1.0</v>
      </c>
      <c r="L98" s="147"/>
      <c r="M98" s="143">
        <f t="shared" si="4"/>
        <v>7</v>
      </c>
    </row>
    <row r="99" ht="15.0" customHeight="1">
      <c r="A99" s="154" t="s">
        <v>80</v>
      </c>
      <c r="B99" s="154" t="s">
        <v>174</v>
      </c>
      <c r="C99" s="142">
        <v>1.0</v>
      </c>
      <c r="D99" s="143"/>
      <c r="E99" s="143"/>
      <c r="F99" s="142">
        <v>1.0</v>
      </c>
      <c r="G99" s="142">
        <v>1.0</v>
      </c>
      <c r="H99" s="142">
        <v>1.0</v>
      </c>
      <c r="I99" s="142">
        <v>1.0</v>
      </c>
      <c r="J99" s="147"/>
      <c r="K99" s="144">
        <v>1.0</v>
      </c>
      <c r="L99" s="144">
        <v>1.0</v>
      </c>
      <c r="M99" s="143">
        <f t="shared" si="4"/>
        <v>7</v>
      </c>
    </row>
    <row r="100" ht="15.0" customHeight="1">
      <c r="A100" s="154" t="s">
        <v>87</v>
      </c>
      <c r="B100" s="154" t="s">
        <v>180</v>
      </c>
      <c r="C100" s="143"/>
      <c r="D100" s="142">
        <v>1.0</v>
      </c>
      <c r="E100" s="142">
        <v>1.0</v>
      </c>
      <c r="F100" s="142">
        <v>1.0</v>
      </c>
      <c r="G100" s="142"/>
      <c r="H100" s="143"/>
      <c r="I100" s="142">
        <v>1.0</v>
      </c>
      <c r="J100" s="144">
        <v>1.0</v>
      </c>
      <c r="K100" s="144"/>
      <c r="L100" s="144">
        <v>1.0</v>
      </c>
      <c r="M100" s="143">
        <f t="shared" si="4"/>
        <v>6</v>
      </c>
    </row>
    <row r="101" ht="15.0" customHeight="1">
      <c r="A101" s="154" t="s">
        <v>99</v>
      </c>
      <c r="B101" s="155" t="s">
        <v>185</v>
      </c>
      <c r="C101" s="142">
        <v>1.0</v>
      </c>
      <c r="D101" s="142">
        <v>1.0</v>
      </c>
      <c r="E101" s="142"/>
      <c r="F101" s="142">
        <v>1.0</v>
      </c>
      <c r="G101" s="142">
        <v>1.0</v>
      </c>
      <c r="H101" s="142">
        <v>1.0</v>
      </c>
      <c r="I101" s="142">
        <v>1.0</v>
      </c>
      <c r="J101" s="144"/>
      <c r="K101" s="144">
        <v>1.0</v>
      </c>
      <c r="L101" s="144">
        <v>1.0</v>
      </c>
      <c r="M101" s="143">
        <f t="shared" si="4"/>
        <v>8</v>
      </c>
    </row>
    <row r="102" ht="15.0" customHeight="1">
      <c r="A102" s="154" t="s">
        <v>106</v>
      </c>
      <c r="B102" s="155" t="s">
        <v>191</v>
      </c>
      <c r="C102" s="142"/>
      <c r="D102" s="143"/>
      <c r="E102" s="142">
        <v>1.0</v>
      </c>
      <c r="F102" s="142">
        <v>1.0</v>
      </c>
      <c r="G102" s="142">
        <v>1.0</v>
      </c>
      <c r="H102" s="142"/>
      <c r="I102" s="142">
        <v>1.0</v>
      </c>
      <c r="J102" s="142">
        <v>1.0</v>
      </c>
      <c r="K102" s="142"/>
      <c r="L102" s="142">
        <v>1.0</v>
      </c>
      <c r="M102" s="143">
        <f t="shared" si="4"/>
        <v>6</v>
      </c>
    </row>
    <row r="103" ht="15.0" customHeight="1">
      <c r="A103" s="154" t="s">
        <v>113</v>
      </c>
      <c r="B103" s="155" t="s">
        <v>197</v>
      </c>
      <c r="C103" s="142">
        <v>1.0</v>
      </c>
      <c r="D103" s="142">
        <v>1.0</v>
      </c>
      <c r="E103" s="142">
        <v>1.0</v>
      </c>
      <c r="F103" s="142"/>
      <c r="G103" s="142"/>
      <c r="H103" s="142">
        <v>1.0</v>
      </c>
      <c r="I103" s="142"/>
      <c r="J103" s="142">
        <v>1.0</v>
      </c>
      <c r="K103" s="142">
        <v>1.0</v>
      </c>
      <c r="L103" s="143"/>
      <c r="M103" s="143">
        <f t="shared" si="4"/>
        <v>6</v>
      </c>
    </row>
    <row r="104" ht="12.0" customHeight="1">
      <c r="A104" s="165"/>
      <c r="B104" s="16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</row>
    <row r="105" ht="15.0" customHeight="1">
      <c r="A105" s="159" t="s">
        <v>49</v>
      </c>
      <c r="B105" s="160"/>
      <c r="C105" s="138" t="s">
        <v>2</v>
      </c>
      <c r="D105" s="138" t="s">
        <v>4</v>
      </c>
      <c r="E105" s="138" t="s">
        <v>6</v>
      </c>
      <c r="F105" s="138" t="s">
        <v>8</v>
      </c>
      <c r="G105" s="138" t="s">
        <v>10</v>
      </c>
      <c r="H105" s="138" t="s">
        <v>24</v>
      </c>
      <c r="I105" s="138" t="s">
        <v>26</v>
      </c>
      <c r="J105" s="138" t="s">
        <v>28</v>
      </c>
      <c r="K105" s="138" t="s">
        <v>30</v>
      </c>
      <c r="L105" s="138" t="s">
        <v>32</v>
      </c>
      <c r="M105" s="139" t="s">
        <v>200</v>
      </c>
    </row>
    <row r="106" ht="15.0" customHeight="1">
      <c r="A106" s="148" t="s">
        <v>52</v>
      </c>
      <c r="B106" s="172" t="s">
        <v>57</v>
      </c>
      <c r="C106" s="142">
        <v>1.0</v>
      </c>
      <c r="D106" s="142">
        <v>1.0</v>
      </c>
      <c r="E106" s="142"/>
      <c r="F106" s="142">
        <v>1.0</v>
      </c>
      <c r="G106" s="142">
        <v>1.0</v>
      </c>
      <c r="H106" s="142">
        <v>1.0</v>
      </c>
      <c r="I106" s="142">
        <v>1.0</v>
      </c>
      <c r="J106" s="142"/>
      <c r="K106" s="142">
        <v>1.0</v>
      </c>
      <c r="L106" s="142">
        <v>1.0</v>
      </c>
      <c r="M106" s="143">
        <f t="shared" ref="M106:M128" si="5">SUM(C106:L106)</f>
        <v>8</v>
      </c>
    </row>
    <row r="107" ht="15.0" customHeight="1">
      <c r="A107" s="148" t="s">
        <v>59</v>
      </c>
      <c r="B107" s="148" t="s">
        <v>64</v>
      </c>
      <c r="C107" s="142">
        <v>1.0</v>
      </c>
      <c r="D107" s="142"/>
      <c r="E107" s="142">
        <v>1.0</v>
      </c>
      <c r="F107" s="143"/>
      <c r="G107" s="142">
        <v>1.0</v>
      </c>
      <c r="H107" s="142"/>
      <c r="I107" s="142">
        <v>1.0</v>
      </c>
      <c r="J107" s="142">
        <v>1.0</v>
      </c>
      <c r="K107" s="142">
        <v>1.0</v>
      </c>
      <c r="L107" s="142"/>
      <c r="M107" s="143">
        <f t="shared" si="5"/>
        <v>6</v>
      </c>
    </row>
    <row r="108" ht="15.0" customHeight="1">
      <c r="A108" s="148" t="s">
        <v>66</v>
      </c>
      <c r="B108" s="148" t="s">
        <v>71</v>
      </c>
      <c r="C108" s="143"/>
      <c r="D108" s="142">
        <v>1.0</v>
      </c>
      <c r="E108" s="142">
        <v>1.0</v>
      </c>
      <c r="F108" s="142">
        <v>1.0</v>
      </c>
      <c r="G108" s="143"/>
      <c r="H108" s="142">
        <v>1.0</v>
      </c>
      <c r="I108" s="143"/>
      <c r="J108" s="142">
        <v>1.0</v>
      </c>
      <c r="K108" s="142"/>
      <c r="L108" s="142">
        <v>1.0</v>
      </c>
      <c r="M108" s="143">
        <f t="shared" si="5"/>
        <v>6</v>
      </c>
    </row>
    <row r="109" ht="15.0" customHeight="1">
      <c r="A109" s="148" t="s">
        <v>73</v>
      </c>
      <c r="B109" s="149" t="s">
        <v>78</v>
      </c>
      <c r="C109" s="142">
        <v>1.0</v>
      </c>
      <c r="D109" s="142"/>
      <c r="E109" s="142">
        <v>1.0</v>
      </c>
      <c r="F109" s="142">
        <v>1.0</v>
      </c>
      <c r="G109" s="142">
        <v>1.0</v>
      </c>
      <c r="H109" s="142">
        <v>1.0</v>
      </c>
      <c r="I109" s="142">
        <v>1.0</v>
      </c>
      <c r="J109" s="144">
        <v>1.0</v>
      </c>
      <c r="K109" s="144">
        <v>1.0</v>
      </c>
      <c r="L109" s="144"/>
      <c r="M109" s="143">
        <f t="shared" si="5"/>
        <v>8</v>
      </c>
    </row>
    <row r="110" ht="15.0" customHeight="1">
      <c r="A110" s="148" t="s">
        <v>80</v>
      </c>
      <c r="B110" s="149" t="s">
        <v>85</v>
      </c>
      <c r="C110" s="142">
        <v>1.0</v>
      </c>
      <c r="D110" s="142">
        <v>1.0</v>
      </c>
      <c r="E110" s="142"/>
      <c r="F110" s="142">
        <v>1.0</v>
      </c>
      <c r="G110" s="146">
        <v>1.0</v>
      </c>
      <c r="H110" s="142"/>
      <c r="I110" s="142">
        <v>1.0</v>
      </c>
      <c r="J110" s="144">
        <v>1.0</v>
      </c>
      <c r="K110" s="144">
        <v>1.0</v>
      </c>
      <c r="L110" s="144">
        <v>1.0</v>
      </c>
      <c r="M110" s="143">
        <f t="shared" si="5"/>
        <v>8</v>
      </c>
    </row>
    <row r="111" ht="15.0" customHeight="1">
      <c r="A111" s="148" t="s">
        <v>87</v>
      </c>
      <c r="B111" s="149" t="s">
        <v>90</v>
      </c>
      <c r="C111" s="143"/>
      <c r="D111" s="142">
        <v>1.0</v>
      </c>
      <c r="E111" s="142">
        <v>1.0</v>
      </c>
      <c r="F111" s="142">
        <v>1.0</v>
      </c>
      <c r="G111" s="142">
        <v>1.0</v>
      </c>
      <c r="H111" s="142">
        <v>1.0</v>
      </c>
      <c r="I111" s="142"/>
      <c r="J111" s="144"/>
      <c r="K111" s="144">
        <v>1.0</v>
      </c>
      <c r="L111" s="151">
        <v>1.0</v>
      </c>
      <c r="M111" s="143">
        <f t="shared" si="5"/>
        <v>7</v>
      </c>
    </row>
    <row r="112" ht="15.0" customHeight="1">
      <c r="A112" s="148" t="s">
        <v>92</v>
      </c>
      <c r="B112" s="149" t="s">
        <v>97</v>
      </c>
      <c r="C112" s="142">
        <v>1.0</v>
      </c>
      <c r="D112" s="142">
        <v>1.0</v>
      </c>
      <c r="E112" s="142">
        <v>1.0</v>
      </c>
      <c r="F112" s="142"/>
      <c r="G112" s="142"/>
      <c r="H112" s="142">
        <v>1.0</v>
      </c>
      <c r="I112" s="142">
        <v>1.0</v>
      </c>
      <c r="J112" s="144">
        <v>1.0</v>
      </c>
      <c r="K112" s="147"/>
      <c r="L112" s="144">
        <v>1.0</v>
      </c>
      <c r="M112" s="143">
        <f t="shared" si="5"/>
        <v>7</v>
      </c>
    </row>
    <row r="113" ht="15.0" customHeight="1">
      <c r="A113" s="148" t="s">
        <v>99</v>
      </c>
      <c r="B113" s="148" t="s">
        <v>104</v>
      </c>
      <c r="C113" s="142">
        <v>1.0</v>
      </c>
      <c r="D113" s="142">
        <v>1.0</v>
      </c>
      <c r="E113" s="142"/>
      <c r="F113" s="142">
        <v>1.0</v>
      </c>
      <c r="G113" s="142">
        <v>1.0</v>
      </c>
      <c r="H113" s="142">
        <v>1.0</v>
      </c>
      <c r="I113" s="142"/>
      <c r="J113" s="144">
        <v>1.0</v>
      </c>
      <c r="K113" s="147"/>
      <c r="L113" s="144">
        <v>1.0</v>
      </c>
      <c r="M113" s="143">
        <f t="shared" si="5"/>
        <v>7</v>
      </c>
    </row>
    <row r="114" ht="15.0" customHeight="1">
      <c r="A114" s="148" t="s">
        <v>106</v>
      </c>
      <c r="B114" s="148" t="s">
        <v>111</v>
      </c>
      <c r="C114" s="142"/>
      <c r="D114" s="142">
        <v>1.0</v>
      </c>
      <c r="E114" s="142">
        <v>1.0</v>
      </c>
      <c r="F114" s="142">
        <v>1.0</v>
      </c>
      <c r="G114" s="143"/>
      <c r="H114" s="142">
        <v>1.0</v>
      </c>
      <c r="I114" s="142">
        <v>1.0</v>
      </c>
      <c r="J114" s="144"/>
      <c r="K114" s="144">
        <v>1.0</v>
      </c>
      <c r="L114" s="144">
        <v>1.0</v>
      </c>
      <c r="M114" s="143">
        <f t="shared" si="5"/>
        <v>7</v>
      </c>
    </row>
    <row r="115" ht="15.0" customHeight="1">
      <c r="A115" s="148" t="s">
        <v>113</v>
      </c>
      <c r="B115" s="173" t="s">
        <v>49</v>
      </c>
      <c r="C115" s="142">
        <v>1.0</v>
      </c>
      <c r="D115" s="142"/>
      <c r="E115" s="142">
        <v>1.0</v>
      </c>
      <c r="F115" s="143"/>
      <c r="G115" s="142">
        <v>1.0</v>
      </c>
      <c r="H115" s="143"/>
      <c r="I115" s="142">
        <v>1.0</v>
      </c>
      <c r="J115" s="144">
        <v>1.0</v>
      </c>
      <c r="K115" s="144">
        <v>1.0</v>
      </c>
      <c r="L115" s="144"/>
      <c r="M115" s="143">
        <f t="shared" si="5"/>
        <v>6</v>
      </c>
    </row>
    <row r="116" ht="15.0" customHeight="1">
      <c r="A116" s="148" t="s">
        <v>119</v>
      </c>
      <c r="B116" s="148" t="s">
        <v>124</v>
      </c>
      <c r="C116" s="142">
        <v>1.0</v>
      </c>
      <c r="D116" s="142">
        <v>1.0</v>
      </c>
      <c r="E116" s="142"/>
      <c r="F116" s="142">
        <v>1.0</v>
      </c>
      <c r="G116" s="142">
        <v>1.0</v>
      </c>
      <c r="H116" s="142">
        <v>1.0</v>
      </c>
      <c r="I116" s="142">
        <v>1.0</v>
      </c>
      <c r="J116" s="147"/>
      <c r="K116" s="144">
        <v>1.0</v>
      </c>
      <c r="L116" s="144">
        <v>1.0</v>
      </c>
      <c r="M116" s="143">
        <f t="shared" si="5"/>
        <v>8</v>
      </c>
    </row>
    <row r="117" ht="15.0" customHeight="1">
      <c r="A117" s="148" t="s">
        <v>126</v>
      </c>
      <c r="B117" s="148" t="s">
        <v>131</v>
      </c>
      <c r="C117" s="142">
        <v>1.0</v>
      </c>
      <c r="D117" s="142"/>
      <c r="E117" s="142">
        <v>1.0</v>
      </c>
      <c r="F117" s="143"/>
      <c r="G117" s="142">
        <v>1.0</v>
      </c>
      <c r="H117" s="142"/>
      <c r="I117" s="142">
        <v>1.0</v>
      </c>
      <c r="J117" s="144">
        <v>1.0</v>
      </c>
      <c r="K117" s="147"/>
      <c r="L117" s="144">
        <v>1.0</v>
      </c>
      <c r="M117" s="143">
        <f t="shared" si="5"/>
        <v>6</v>
      </c>
    </row>
    <row r="118" ht="15.0" customHeight="1">
      <c r="A118" s="148" t="s">
        <v>133</v>
      </c>
      <c r="B118" s="148" t="s">
        <v>138</v>
      </c>
      <c r="C118" s="143"/>
      <c r="D118" s="142">
        <v>1.0</v>
      </c>
      <c r="E118" s="144">
        <v>1.0</v>
      </c>
      <c r="F118" s="142">
        <v>1.0</v>
      </c>
      <c r="G118" s="142"/>
      <c r="H118" s="142">
        <v>1.0</v>
      </c>
      <c r="I118" s="143"/>
      <c r="J118" s="144">
        <v>1.0</v>
      </c>
      <c r="K118" s="144">
        <v>1.0</v>
      </c>
      <c r="L118" s="144"/>
      <c r="M118" s="143">
        <f t="shared" si="5"/>
        <v>6</v>
      </c>
    </row>
    <row r="119" ht="15.0" customHeight="1">
      <c r="A119" s="154" t="s">
        <v>52</v>
      </c>
      <c r="B119" s="153" t="s">
        <v>145</v>
      </c>
      <c r="C119" s="142">
        <v>1.0</v>
      </c>
      <c r="D119" s="142">
        <v>1.0</v>
      </c>
      <c r="E119" s="146">
        <v>1.0</v>
      </c>
      <c r="F119" s="142"/>
      <c r="G119" s="142">
        <v>1.0</v>
      </c>
      <c r="H119" s="142">
        <v>1.0</v>
      </c>
      <c r="I119" s="142">
        <v>1.0</v>
      </c>
      <c r="J119" s="144">
        <v>1.0</v>
      </c>
      <c r="K119" s="144">
        <v>1.0</v>
      </c>
      <c r="L119" s="144">
        <v>1.0</v>
      </c>
      <c r="M119" s="174">
        <f t="shared" si="5"/>
        <v>9</v>
      </c>
    </row>
    <row r="120" ht="15.0" customHeight="1">
      <c r="A120" s="154" t="s">
        <v>59</v>
      </c>
      <c r="B120" s="154" t="s">
        <v>150</v>
      </c>
      <c r="C120" s="142">
        <v>1.0</v>
      </c>
      <c r="D120" s="142">
        <v>1.0</v>
      </c>
      <c r="E120" s="142">
        <v>1.0</v>
      </c>
      <c r="F120" s="142">
        <v>1.0</v>
      </c>
      <c r="G120" s="142">
        <v>1.0</v>
      </c>
      <c r="H120" s="144">
        <v>1.0</v>
      </c>
      <c r="I120" s="142">
        <v>1.0</v>
      </c>
      <c r="J120" s="144">
        <v>1.0</v>
      </c>
      <c r="K120" s="147"/>
      <c r="L120" s="147"/>
      <c r="M120" s="143">
        <f t="shared" si="5"/>
        <v>8</v>
      </c>
    </row>
    <row r="121" ht="15.0" customHeight="1">
      <c r="A121" s="154" t="s">
        <v>66</v>
      </c>
      <c r="B121" s="154" t="s">
        <v>156</v>
      </c>
      <c r="C121" s="142">
        <v>1.0</v>
      </c>
      <c r="D121" s="142">
        <v>1.0</v>
      </c>
      <c r="E121" s="142">
        <v>1.0</v>
      </c>
      <c r="F121" s="142">
        <v>1.0</v>
      </c>
      <c r="G121" s="142"/>
      <c r="H121" s="142">
        <v>1.0</v>
      </c>
      <c r="I121" s="143"/>
      <c r="J121" s="144"/>
      <c r="K121" s="144">
        <v>1.0</v>
      </c>
      <c r="L121" s="144">
        <v>1.0</v>
      </c>
      <c r="M121" s="143">
        <f t="shared" si="5"/>
        <v>7</v>
      </c>
    </row>
    <row r="122" ht="15.0" customHeight="1">
      <c r="A122" s="154" t="s">
        <v>158</v>
      </c>
      <c r="B122" s="175" t="s">
        <v>163</v>
      </c>
      <c r="C122" s="143"/>
      <c r="D122" s="142"/>
      <c r="E122" s="143"/>
      <c r="F122" s="142">
        <v>1.0</v>
      </c>
      <c r="G122" s="142">
        <v>1.0</v>
      </c>
      <c r="H122" s="143"/>
      <c r="I122" s="142">
        <v>1.0</v>
      </c>
      <c r="J122" s="151">
        <v>1.0</v>
      </c>
      <c r="K122" s="144">
        <v>1.0</v>
      </c>
      <c r="L122" s="144">
        <v>1.0</v>
      </c>
      <c r="M122" s="143">
        <f t="shared" si="5"/>
        <v>6</v>
      </c>
    </row>
    <row r="123" ht="15.0" customHeight="1">
      <c r="A123" s="154" t="s">
        <v>73</v>
      </c>
      <c r="B123" s="154" t="s">
        <v>169</v>
      </c>
      <c r="C123" s="142">
        <v>1.0</v>
      </c>
      <c r="D123" s="142">
        <v>1.0</v>
      </c>
      <c r="E123" s="142"/>
      <c r="F123" s="142">
        <v>1.0</v>
      </c>
      <c r="G123" s="142">
        <v>1.0</v>
      </c>
      <c r="H123" s="143"/>
      <c r="I123" s="142">
        <v>1.0</v>
      </c>
      <c r="J123" s="144">
        <v>1.0</v>
      </c>
      <c r="K123" s="144">
        <v>1.0</v>
      </c>
      <c r="L123" s="144">
        <v>1.0</v>
      </c>
      <c r="M123" s="143">
        <f t="shared" si="5"/>
        <v>8</v>
      </c>
    </row>
    <row r="124" ht="15.0" customHeight="1">
      <c r="A124" s="154" t="s">
        <v>80</v>
      </c>
      <c r="B124" s="154" t="s">
        <v>175</v>
      </c>
      <c r="C124" s="142">
        <v>1.0</v>
      </c>
      <c r="D124" s="142"/>
      <c r="E124" s="142">
        <v>1.0</v>
      </c>
      <c r="F124" s="142">
        <v>1.0</v>
      </c>
      <c r="G124" s="143"/>
      <c r="H124" s="142">
        <v>1.0</v>
      </c>
      <c r="I124" s="142">
        <v>1.0</v>
      </c>
      <c r="J124" s="142"/>
      <c r="K124" s="143"/>
      <c r="L124" s="142">
        <v>1.0</v>
      </c>
      <c r="M124" s="143">
        <f t="shared" si="5"/>
        <v>6</v>
      </c>
    </row>
    <row r="125" ht="15.0" customHeight="1">
      <c r="A125" s="154" t="s">
        <v>87</v>
      </c>
      <c r="B125" s="154" t="s">
        <v>181</v>
      </c>
      <c r="C125" s="143"/>
      <c r="D125" s="142">
        <v>1.0</v>
      </c>
      <c r="E125" s="142">
        <v>1.0</v>
      </c>
      <c r="F125" s="142"/>
      <c r="G125" s="142">
        <v>1.0</v>
      </c>
      <c r="H125" s="142">
        <v>1.0</v>
      </c>
      <c r="I125" s="142"/>
      <c r="J125" s="144">
        <v>1.0</v>
      </c>
      <c r="K125" s="142">
        <v>1.0</v>
      </c>
      <c r="L125" s="143"/>
      <c r="M125" s="143">
        <f t="shared" si="5"/>
        <v>6</v>
      </c>
    </row>
    <row r="126" ht="15.0" customHeight="1">
      <c r="A126" s="154" t="s">
        <v>99</v>
      </c>
      <c r="B126" s="155" t="s">
        <v>186</v>
      </c>
      <c r="C126" s="142"/>
      <c r="D126" s="142">
        <v>1.0</v>
      </c>
      <c r="E126" s="142">
        <v>1.0</v>
      </c>
      <c r="F126" s="142">
        <v>1.0</v>
      </c>
      <c r="G126" s="142">
        <v>1.0</v>
      </c>
      <c r="H126" s="142">
        <v>1.0</v>
      </c>
      <c r="I126" s="142">
        <v>1.0</v>
      </c>
      <c r="J126" s="142"/>
      <c r="K126" s="142">
        <v>1.0</v>
      </c>
      <c r="L126" s="142">
        <v>1.0</v>
      </c>
      <c r="M126" s="143">
        <f t="shared" si="5"/>
        <v>8</v>
      </c>
    </row>
    <row r="127" ht="15.0" customHeight="1">
      <c r="A127" s="154" t="s">
        <v>106</v>
      </c>
      <c r="B127" s="155" t="s">
        <v>192</v>
      </c>
      <c r="C127" s="142">
        <v>1.0</v>
      </c>
      <c r="D127" s="142"/>
      <c r="E127" s="142">
        <v>1.0</v>
      </c>
      <c r="F127" s="142">
        <v>1.0</v>
      </c>
      <c r="G127" s="142"/>
      <c r="H127" s="142">
        <v>1.0</v>
      </c>
      <c r="I127" s="142">
        <v>1.0</v>
      </c>
      <c r="J127" s="142">
        <v>1.0</v>
      </c>
      <c r="K127" s="142"/>
      <c r="L127" s="143"/>
      <c r="M127" s="143">
        <f t="shared" si="5"/>
        <v>6</v>
      </c>
    </row>
    <row r="128" ht="15.0" customHeight="1">
      <c r="A128" s="154" t="s">
        <v>113</v>
      </c>
      <c r="B128" s="176" t="s">
        <v>198</v>
      </c>
      <c r="C128" s="142">
        <v>1.0</v>
      </c>
      <c r="D128" s="142">
        <v>1.0</v>
      </c>
      <c r="E128" s="142"/>
      <c r="F128" s="143"/>
      <c r="G128" s="142">
        <v>1.0</v>
      </c>
      <c r="H128" s="142"/>
      <c r="I128" s="143"/>
      <c r="J128" s="142">
        <v>1.0</v>
      </c>
      <c r="K128" s="142">
        <v>1.0</v>
      </c>
      <c r="L128" s="142">
        <v>1.0</v>
      </c>
      <c r="M128" s="143">
        <f t="shared" si="5"/>
        <v>6</v>
      </c>
    </row>
    <row r="129" ht="12.75" customHeight="1">
      <c r="A129" s="165"/>
      <c r="B129" s="16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</row>
    <row r="130" ht="15.0" customHeight="1">
      <c r="A130" s="177" t="s">
        <v>50</v>
      </c>
      <c r="B130" s="178"/>
      <c r="C130" s="138" t="s">
        <v>2</v>
      </c>
      <c r="D130" s="138" t="s">
        <v>4</v>
      </c>
      <c r="E130" s="138" t="s">
        <v>6</v>
      </c>
      <c r="F130" s="138" t="s">
        <v>8</v>
      </c>
      <c r="G130" s="138" t="s">
        <v>10</v>
      </c>
      <c r="H130" s="138" t="s">
        <v>24</v>
      </c>
      <c r="I130" s="138" t="s">
        <v>26</v>
      </c>
      <c r="J130" s="138" t="s">
        <v>28</v>
      </c>
      <c r="K130" s="138" t="s">
        <v>30</v>
      </c>
      <c r="L130" s="138" t="s">
        <v>32</v>
      </c>
      <c r="M130" s="139" t="s">
        <v>200</v>
      </c>
    </row>
    <row r="131" ht="15.0" customHeight="1">
      <c r="A131" s="148" t="s">
        <v>52</v>
      </c>
      <c r="B131" s="148" t="s">
        <v>58</v>
      </c>
      <c r="C131" s="142">
        <v>1.0</v>
      </c>
      <c r="D131" s="142">
        <v>1.0</v>
      </c>
      <c r="E131" s="143"/>
      <c r="F131" s="142">
        <v>1.0</v>
      </c>
      <c r="G131" s="142">
        <v>1.0</v>
      </c>
      <c r="H131" s="142">
        <v>1.0</v>
      </c>
      <c r="I131" s="142"/>
      <c r="J131" s="142"/>
      <c r="K131" s="142">
        <v>1.0</v>
      </c>
      <c r="L131" s="142"/>
      <c r="M131" s="143">
        <f t="shared" ref="M131:M140" si="6">SUM(C131:L131)</f>
        <v>6</v>
      </c>
    </row>
    <row r="132" ht="15.0" customHeight="1">
      <c r="A132" s="148" t="s">
        <v>59</v>
      </c>
      <c r="B132" s="148" t="s">
        <v>65</v>
      </c>
      <c r="C132" s="142"/>
      <c r="D132" s="142">
        <v>1.0</v>
      </c>
      <c r="E132" s="142">
        <v>1.0</v>
      </c>
      <c r="F132" s="142"/>
      <c r="G132" s="142">
        <v>1.0</v>
      </c>
      <c r="H132" s="142">
        <v>1.0</v>
      </c>
      <c r="I132" s="142">
        <v>1.0</v>
      </c>
      <c r="J132" s="142">
        <v>1.0</v>
      </c>
      <c r="K132" s="143"/>
      <c r="L132" s="142">
        <v>1.0</v>
      </c>
      <c r="M132" s="143">
        <f t="shared" si="6"/>
        <v>7</v>
      </c>
    </row>
    <row r="133" ht="15.0" customHeight="1">
      <c r="A133" s="148" t="s">
        <v>66</v>
      </c>
      <c r="B133" s="148" t="s">
        <v>72</v>
      </c>
      <c r="C133" s="142">
        <v>1.0</v>
      </c>
      <c r="D133" s="142"/>
      <c r="E133" s="144">
        <v>1.0</v>
      </c>
      <c r="F133" s="142">
        <v>1.0</v>
      </c>
      <c r="G133" s="142"/>
      <c r="H133" s="143"/>
      <c r="I133" s="142">
        <v>1.0</v>
      </c>
      <c r="J133" s="142">
        <v>1.0</v>
      </c>
      <c r="K133" s="142">
        <v>1.0</v>
      </c>
      <c r="L133" s="142">
        <v>1.0</v>
      </c>
      <c r="M133" s="143">
        <f t="shared" si="6"/>
        <v>7</v>
      </c>
    </row>
    <row r="134" ht="15.0" customHeight="1">
      <c r="A134" s="148" t="s">
        <v>73</v>
      </c>
      <c r="B134" s="149" t="s">
        <v>79</v>
      </c>
      <c r="C134" s="142">
        <v>1.0</v>
      </c>
      <c r="D134" s="142">
        <v>1.0</v>
      </c>
      <c r="E134" s="142">
        <v>1.0</v>
      </c>
      <c r="F134" s="142">
        <v>1.0</v>
      </c>
      <c r="G134" s="142">
        <v>1.0</v>
      </c>
      <c r="H134" s="143"/>
      <c r="I134" s="142"/>
      <c r="J134" s="142">
        <v>1.0</v>
      </c>
      <c r="K134" s="142">
        <v>1.0</v>
      </c>
      <c r="L134" s="151">
        <v>1.0</v>
      </c>
      <c r="M134" s="143">
        <f t="shared" si="6"/>
        <v>8</v>
      </c>
    </row>
    <row r="135" ht="15.0" customHeight="1">
      <c r="A135" s="148" t="s">
        <v>80</v>
      </c>
      <c r="B135" s="149" t="s">
        <v>86</v>
      </c>
      <c r="C135" s="142">
        <v>1.0</v>
      </c>
      <c r="D135" s="142">
        <v>1.0</v>
      </c>
      <c r="E135" s="143"/>
      <c r="F135" s="142">
        <v>1.0</v>
      </c>
      <c r="G135" s="151">
        <v>1.0</v>
      </c>
      <c r="H135" s="142">
        <v>1.0</v>
      </c>
      <c r="I135" s="142">
        <v>1.0</v>
      </c>
      <c r="J135" s="142">
        <v>1.0</v>
      </c>
      <c r="K135" s="142"/>
      <c r="L135" s="142">
        <v>1.0</v>
      </c>
      <c r="M135" s="143">
        <f t="shared" si="6"/>
        <v>8</v>
      </c>
    </row>
    <row r="136" ht="15.0" customHeight="1">
      <c r="A136" s="148" t="s">
        <v>87</v>
      </c>
      <c r="B136" s="149" t="s">
        <v>91</v>
      </c>
      <c r="C136" s="142">
        <v>1.0</v>
      </c>
      <c r="D136" s="142">
        <v>1.0</v>
      </c>
      <c r="E136" s="142">
        <v>1.0</v>
      </c>
      <c r="F136" s="142">
        <v>1.0</v>
      </c>
      <c r="G136" s="142"/>
      <c r="H136" s="142">
        <v>1.0</v>
      </c>
      <c r="I136" s="142">
        <v>1.0</v>
      </c>
      <c r="J136" s="143"/>
      <c r="K136" s="142">
        <v>1.0</v>
      </c>
      <c r="L136" s="143"/>
      <c r="M136" s="143">
        <f t="shared" si="6"/>
        <v>7</v>
      </c>
    </row>
    <row r="137" ht="15.0" customHeight="1">
      <c r="A137" s="148" t="s">
        <v>92</v>
      </c>
      <c r="B137" s="161" t="s">
        <v>98</v>
      </c>
      <c r="C137" s="143"/>
      <c r="D137" s="142"/>
      <c r="E137" s="142">
        <v>1.0</v>
      </c>
      <c r="F137" s="143"/>
      <c r="G137" s="142">
        <v>1.0</v>
      </c>
      <c r="H137" s="142">
        <v>1.0</v>
      </c>
      <c r="I137" s="142">
        <v>1.0</v>
      </c>
      <c r="J137" s="142">
        <v>1.0</v>
      </c>
      <c r="K137" s="142">
        <v>1.0</v>
      </c>
      <c r="L137" s="142">
        <v>1.0</v>
      </c>
      <c r="M137" s="143">
        <f t="shared" si="6"/>
        <v>7</v>
      </c>
    </row>
    <row r="138" ht="15.0" customHeight="1">
      <c r="A138" s="148" t="s">
        <v>99</v>
      </c>
      <c r="B138" s="148" t="s">
        <v>105</v>
      </c>
      <c r="C138" s="142"/>
      <c r="D138" s="142"/>
      <c r="E138" s="143"/>
      <c r="F138" s="146">
        <v>1.0</v>
      </c>
      <c r="G138" s="142">
        <v>1.0</v>
      </c>
      <c r="H138" s="142">
        <v>1.0</v>
      </c>
      <c r="I138" s="142">
        <v>1.0</v>
      </c>
      <c r="J138" s="142">
        <v>1.0</v>
      </c>
      <c r="K138" s="142">
        <v>1.0</v>
      </c>
      <c r="L138" s="142">
        <v>1.0</v>
      </c>
      <c r="M138" s="143">
        <f t="shared" si="6"/>
        <v>7</v>
      </c>
    </row>
    <row r="139" ht="15.0" customHeight="1">
      <c r="A139" s="148" t="s">
        <v>106</v>
      </c>
      <c r="B139" s="148" t="s">
        <v>112</v>
      </c>
      <c r="C139" s="142">
        <v>1.0</v>
      </c>
      <c r="D139" s="142">
        <v>1.0</v>
      </c>
      <c r="E139" s="142">
        <v>1.0</v>
      </c>
      <c r="F139" s="142"/>
      <c r="G139" s="142">
        <v>1.0</v>
      </c>
      <c r="H139" s="142"/>
      <c r="I139" s="143"/>
      <c r="J139" s="142">
        <v>1.0</v>
      </c>
      <c r="K139" s="142"/>
      <c r="L139" s="144">
        <v>1.0</v>
      </c>
      <c r="M139" s="143">
        <f t="shared" si="6"/>
        <v>6</v>
      </c>
    </row>
    <row r="140" ht="15.0" customHeight="1">
      <c r="A140" s="148" t="s">
        <v>113</v>
      </c>
      <c r="B140" s="148" t="s">
        <v>118</v>
      </c>
      <c r="C140" s="142">
        <v>1.0</v>
      </c>
      <c r="D140" s="142">
        <v>1.0</v>
      </c>
      <c r="E140" s="144">
        <v>1.0</v>
      </c>
      <c r="F140" s="142">
        <v>1.0</v>
      </c>
      <c r="G140" s="142"/>
      <c r="H140" s="142">
        <v>1.0</v>
      </c>
      <c r="I140" s="142">
        <v>1.0</v>
      </c>
      <c r="J140" s="143"/>
      <c r="K140" s="142">
        <v>1.0</v>
      </c>
      <c r="L140" s="142"/>
      <c r="M140" s="143">
        <f t="shared" si="6"/>
        <v>7</v>
      </c>
    </row>
    <row r="141" ht="15.0" customHeight="1">
      <c r="A141" s="148" t="s">
        <v>119</v>
      </c>
      <c r="B141" s="148" t="s">
        <v>125</v>
      </c>
      <c r="C141" s="142">
        <v>1.0</v>
      </c>
      <c r="D141" s="142">
        <v>1.0</v>
      </c>
      <c r="E141" s="142">
        <v>1.0</v>
      </c>
      <c r="F141" s="142">
        <v>1.0</v>
      </c>
      <c r="G141" s="142">
        <v>1.0</v>
      </c>
      <c r="H141" s="143"/>
      <c r="I141" s="142">
        <v>1.0</v>
      </c>
      <c r="J141" s="142"/>
      <c r="K141" s="143"/>
      <c r="L141" s="142">
        <v>1.0</v>
      </c>
      <c r="M141" s="143">
        <f t="shared" ref="M141:M142" si="7">C141+D141+E141+F141+G141+H141+I141+J141+K141+L141</f>
        <v>7</v>
      </c>
    </row>
    <row r="142" ht="15.0" customHeight="1">
      <c r="A142" s="148" t="s">
        <v>126</v>
      </c>
      <c r="B142" s="148" t="s">
        <v>132</v>
      </c>
      <c r="C142" s="142"/>
      <c r="D142" s="142">
        <v>1.0</v>
      </c>
      <c r="E142" s="142">
        <v>1.0</v>
      </c>
      <c r="F142" s="142">
        <v>1.0</v>
      </c>
      <c r="G142" s="142"/>
      <c r="H142" s="142">
        <v>1.0</v>
      </c>
      <c r="I142" s="142">
        <v>1.0</v>
      </c>
      <c r="J142" s="142">
        <v>1.0</v>
      </c>
      <c r="K142" s="142">
        <v>1.0</v>
      </c>
      <c r="L142" s="142"/>
      <c r="M142" s="143">
        <f t="shared" si="7"/>
        <v>7</v>
      </c>
    </row>
    <row r="143" ht="15.0" customHeight="1">
      <c r="A143" s="148" t="s">
        <v>133</v>
      </c>
      <c r="B143" s="148" t="s">
        <v>139</v>
      </c>
      <c r="C143" s="142">
        <v>1.0</v>
      </c>
      <c r="D143" s="142"/>
      <c r="E143" s="142"/>
      <c r="F143" s="142"/>
      <c r="G143" s="142">
        <v>1.0</v>
      </c>
      <c r="H143" s="142">
        <v>1.0</v>
      </c>
      <c r="I143" s="143"/>
      <c r="J143" s="142">
        <v>1.0</v>
      </c>
      <c r="K143" s="142">
        <v>1.0</v>
      </c>
      <c r="L143" s="142">
        <v>1.0</v>
      </c>
      <c r="M143" s="143">
        <f t="shared" ref="M143:M153" si="8">SUM(C143:L143)</f>
        <v>6</v>
      </c>
    </row>
    <row r="144" ht="15.0" customHeight="1">
      <c r="A144" s="154" t="s">
        <v>52</v>
      </c>
      <c r="B144" s="153" t="s">
        <v>146</v>
      </c>
      <c r="C144" s="142">
        <v>1.0</v>
      </c>
      <c r="D144" s="142"/>
      <c r="E144" s="142">
        <v>1.0</v>
      </c>
      <c r="F144" s="142">
        <v>1.0</v>
      </c>
      <c r="G144" s="142">
        <v>1.0</v>
      </c>
      <c r="H144" s="142">
        <v>1.0</v>
      </c>
      <c r="I144" s="142">
        <v>1.0</v>
      </c>
      <c r="J144" s="142">
        <v>1.0</v>
      </c>
      <c r="K144" s="142">
        <v>1.0</v>
      </c>
      <c r="L144" s="142"/>
      <c r="M144" s="143">
        <f t="shared" si="8"/>
        <v>8</v>
      </c>
    </row>
    <row r="145" ht="15.0" customHeight="1">
      <c r="A145" s="154" t="s">
        <v>59</v>
      </c>
      <c r="B145" s="154" t="s">
        <v>151</v>
      </c>
      <c r="C145" s="142"/>
      <c r="D145" s="142">
        <v>1.0</v>
      </c>
      <c r="E145" s="142">
        <v>1.0</v>
      </c>
      <c r="F145" s="142">
        <v>1.0</v>
      </c>
      <c r="G145" s="142">
        <v>1.0</v>
      </c>
      <c r="H145" s="143"/>
      <c r="I145" s="142">
        <v>1.0</v>
      </c>
      <c r="J145" s="142">
        <v>1.0</v>
      </c>
      <c r="K145" s="142">
        <v>1.0</v>
      </c>
      <c r="L145" s="142">
        <v>1.0</v>
      </c>
      <c r="M145" s="143">
        <f t="shared" si="8"/>
        <v>8</v>
      </c>
    </row>
    <row r="146" ht="15.0" customHeight="1">
      <c r="A146" s="154" t="s">
        <v>66</v>
      </c>
      <c r="B146" s="154" t="s">
        <v>157</v>
      </c>
      <c r="C146" s="142">
        <v>1.0</v>
      </c>
      <c r="D146" s="142">
        <v>1.0</v>
      </c>
      <c r="E146" s="142"/>
      <c r="F146" s="142"/>
      <c r="G146" s="142">
        <v>1.0</v>
      </c>
      <c r="H146" s="142">
        <v>1.0</v>
      </c>
      <c r="I146" s="142">
        <v>1.0</v>
      </c>
      <c r="J146" s="142">
        <v>1.0</v>
      </c>
      <c r="K146" s="142">
        <v>1.0</v>
      </c>
      <c r="L146" s="142">
        <v>1.0</v>
      </c>
      <c r="M146" s="143">
        <f t="shared" si="8"/>
        <v>8</v>
      </c>
    </row>
    <row r="147" ht="15.0" customHeight="1">
      <c r="A147" s="154" t="s">
        <v>158</v>
      </c>
      <c r="B147" s="154" t="s">
        <v>164</v>
      </c>
      <c r="C147" s="142">
        <v>1.0</v>
      </c>
      <c r="D147" s="142">
        <v>1.0</v>
      </c>
      <c r="E147" s="142">
        <v>1.0</v>
      </c>
      <c r="F147" s="142">
        <v>1.0</v>
      </c>
      <c r="G147" s="143"/>
      <c r="H147" s="142">
        <v>1.0</v>
      </c>
      <c r="I147" s="142"/>
      <c r="J147" s="143"/>
      <c r="K147" s="142"/>
      <c r="L147" s="151">
        <v>1.0</v>
      </c>
      <c r="M147" s="143">
        <f t="shared" si="8"/>
        <v>6</v>
      </c>
    </row>
    <row r="148" ht="15.0" customHeight="1">
      <c r="A148" s="154" t="s">
        <v>73</v>
      </c>
      <c r="B148" s="154" t="s">
        <v>170</v>
      </c>
      <c r="C148" s="142">
        <v>1.0</v>
      </c>
      <c r="D148" s="142">
        <v>1.0</v>
      </c>
      <c r="E148" s="143"/>
      <c r="F148" s="142">
        <v>1.0</v>
      </c>
      <c r="G148" s="142">
        <v>1.0</v>
      </c>
      <c r="H148" s="142">
        <v>1.0</v>
      </c>
      <c r="I148" s="142"/>
      <c r="J148" s="142">
        <v>1.0</v>
      </c>
      <c r="K148" s="142"/>
      <c r="L148" s="142">
        <v>1.0</v>
      </c>
      <c r="M148" s="143">
        <f t="shared" si="8"/>
        <v>7</v>
      </c>
    </row>
    <row r="149" ht="15.0" customHeight="1">
      <c r="A149" s="154" t="s">
        <v>80</v>
      </c>
      <c r="B149" s="154" t="s">
        <v>176</v>
      </c>
      <c r="C149" s="142"/>
      <c r="D149" s="142">
        <v>1.0</v>
      </c>
      <c r="E149" s="142">
        <v>1.0</v>
      </c>
      <c r="F149" s="142"/>
      <c r="G149" s="142">
        <v>1.0</v>
      </c>
      <c r="H149" s="142"/>
      <c r="I149" s="142">
        <v>1.0</v>
      </c>
      <c r="J149" s="142">
        <v>1.0</v>
      </c>
      <c r="K149" s="142">
        <v>1.0</v>
      </c>
      <c r="L149" s="142">
        <v>1.0</v>
      </c>
      <c r="M149" s="143">
        <f t="shared" si="8"/>
        <v>7</v>
      </c>
    </row>
    <row r="150" ht="15.0" customHeight="1">
      <c r="A150" s="154" t="s">
        <v>87</v>
      </c>
      <c r="B150" s="163" t="s">
        <v>50</v>
      </c>
      <c r="C150" s="142">
        <v>1.0</v>
      </c>
      <c r="D150" s="142"/>
      <c r="E150" s="142">
        <v>1.0</v>
      </c>
      <c r="F150" s="146">
        <v>1.0</v>
      </c>
      <c r="G150" s="142"/>
      <c r="H150" s="142">
        <v>1.0</v>
      </c>
      <c r="I150" s="142">
        <v>1.0</v>
      </c>
      <c r="J150" s="144"/>
      <c r="K150" s="142">
        <v>1.0</v>
      </c>
      <c r="L150" s="143"/>
      <c r="M150" s="143">
        <f t="shared" si="8"/>
        <v>6</v>
      </c>
    </row>
    <row r="151" ht="15.0" customHeight="1">
      <c r="A151" s="154" t="s">
        <v>99</v>
      </c>
      <c r="B151" s="155" t="s">
        <v>187</v>
      </c>
      <c r="C151" s="142">
        <v>1.0</v>
      </c>
      <c r="D151" s="142">
        <v>1.0</v>
      </c>
      <c r="E151" s="142">
        <v>1.0</v>
      </c>
      <c r="F151" s="142"/>
      <c r="G151" s="142">
        <v>1.0</v>
      </c>
      <c r="H151" s="142">
        <v>1.0</v>
      </c>
      <c r="I151" s="142"/>
      <c r="J151" s="142"/>
      <c r="K151" s="142">
        <v>1.0</v>
      </c>
      <c r="L151" s="142">
        <v>1.0</v>
      </c>
      <c r="M151" s="143">
        <f t="shared" si="8"/>
        <v>7</v>
      </c>
    </row>
    <row r="152" ht="15.0" customHeight="1">
      <c r="A152" s="154" t="s">
        <v>106</v>
      </c>
      <c r="B152" s="155" t="s">
        <v>193</v>
      </c>
      <c r="C152" s="142">
        <v>1.0</v>
      </c>
      <c r="D152" s="142"/>
      <c r="E152" s="142">
        <v>1.0</v>
      </c>
      <c r="F152" s="142">
        <v>1.0</v>
      </c>
      <c r="G152" s="143"/>
      <c r="H152" s="142"/>
      <c r="I152" s="142">
        <v>1.0</v>
      </c>
      <c r="J152" s="142">
        <v>1.0</v>
      </c>
      <c r="K152" s="151">
        <v>1.0</v>
      </c>
      <c r="L152" s="142"/>
      <c r="M152" s="143">
        <f t="shared" si="8"/>
        <v>6</v>
      </c>
    </row>
    <row r="153" ht="15.0" customHeight="1">
      <c r="A153" s="154" t="s">
        <v>113</v>
      </c>
      <c r="B153" s="155" t="s">
        <v>199</v>
      </c>
      <c r="C153" s="143"/>
      <c r="D153" s="142">
        <v>1.0</v>
      </c>
      <c r="E153" s="143"/>
      <c r="F153" s="142">
        <v>1.0</v>
      </c>
      <c r="G153" s="142">
        <v>1.0</v>
      </c>
      <c r="H153" s="142">
        <v>1.0</v>
      </c>
      <c r="I153" s="142">
        <v>1.0</v>
      </c>
      <c r="J153" s="142">
        <v>1.0</v>
      </c>
      <c r="K153" s="157"/>
      <c r="L153" s="142">
        <v>1.0</v>
      </c>
      <c r="M153" s="143">
        <f t="shared" si="8"/>
        <v>7</v>
      </c>
    </row>
    <row r="154" ht="12.75" customHeight="1">
      <c r="Q154" s="179"/>
    </row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</sheetData>
  <mergeCells count="7">
    <mergeCell ref="C2:M3"/>
    <mergeCell ref="A5:B5"/>
    <mergeCell ref="A30:B30"/>
    <mergeCell ref="A55:B55"/>
    <mergeCell ref="A80:B80"/>
    <mergeCell ref="A105:B105"/>
    <mergeCell ref="A130:B130"/>
  </mergeCells>
  <printOptions/>
  <pageMargins bottom="0.75" footer="0.0" header="0.0" left="0.7" right="0.7" top="0.75"/>
  <pageSetup paperSize="9" scale="91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86"/>
  </cols>
  <sheetData>
    <row r="2">
      <c r="B2" s="3" t="s">
        <v>0</v>
      </c>
      <c r="I2" s="180"/>
      <c r="J2" s="180"/>
      <c r="K2" s="180"/>
      <c r="L2" s="180"/>
    </row>
    <row r="3">
      <c r="I3" s="180"/>
      <c r="J3" s="180"/>
      <c r="K3" s="180"/>
      <c r="L3" s="180"/>
    </row>
    <row r="5">
      <c r="B5" s="181"/>
      <c r="C5" s="182"/>
      <c r="D5" s="183" t="s">
        <v>201</v>
      </c>
      <c r="E5" s="184"/>
      <c r="F5" s="183" t="s">
        <v>202</v>
      </c>
      <c r="G5" s="184"/>
      <c r="H5" s="183" t="s">
        <v>203</v>
      </c>
    </row>
    <row r="6">
      <c r="B6" s="181"/>
      <c r="C6" s="185"/>
      <c r="D6" s="185"/>
      <c r="E6" s="185"/>
      <c r="F6" s="185"/>
      <c r="G6" s="185"/>
      <c r="H6" s="182"/>
    </row>
    <row r="7">
      <c r="B7" s="186" t="s">
        <v>204</v>
      </c>
      <c r="C7" s="187" t="s">
        <v>205</v>
      </c>
      <c r="D7" s="188"/>
      <c r="E7" s="188"/>
      <c r="F7" s="188"/>
      <c r="G7" s="188"/>
      <c r="H7" s="188"/>
    </row>
    <row r="8">
      <c r="B8" s="189" t="s">
        <v>206</v>
      </c>
      <c r="C8" s="190">
        <v>44581.0</v>
      </c>
      <c r="D8" s="191" t="s">
        <v>207</v>
      </c>
      <c r="E8" s="192"/>
      <c r="F8" s="191" t="s">
        <v>208</v>
      </c>
      <c r="G8" s="192"/>
      <c r="H8" s="191" t="s">
        <v>209</v>
      </c>
    </row>
    <row r="9">
      <c r="B9" s="189" t="s">
        <v>210</v>
      </c>
      <c r="C9" s="190">
        <v>44582.0</v>
      </c>
      <c r="D9" s="182"/>
      <c r="E9" s="192"/>
      <c r="F9" s="182"/>
      <c r="G9" s="192"/>
      <c r="H9" s="182"/>
    </row>
    <row r="10">
      <c r="B10" s="193"/>
      <c r="C10" s="188"/>
      <c r="D10" s="192"/>
      <c r="E10" s="192"/>
      <c r="F10" s="192"/>
      <c r="G10" s="192"/>
      <c r="H10" s="192"/>
    </row>
    <row r="11">
      <c r="B11" s="186" t="s">
        <v>211</v>
      </c>
      <c r="C11" s="194"/>
      <c r="D11" s="195"/>
      <c r="E11" s="192"/>
      <c r="F11" s="195"/>
      <c r="G11" s="192"/>
      <c r="H11" s="195"/>
    </row>
    <row r="12">
      <c r="B12" s="189" t="s">
        <v>206</v>
      </c>
      <c r="C12" s="190">
        <v>44595.0</v>
      </c>
      <c r="D12" s="191" t="s">
        <v>212</v>
      </c>
      <c r="E12" s="192"/>
      <c r="F12" s="191" t="s">
        <v>213</v>
      </c>
      <c r="G12" s="192"/>
      <c r="H12" s="191" t="s">
        <v>214</v>
      </c>
    </row>
    <row r="13">
      <c r="B13" s="189" t="s">
        <v>210</v>
      </c>
      <c r="C13" s="190">
        <v>44596.0</v>
      </c>
      <c r="D13" s="182"/>
      <c r="E13" s="192"/>
      <c r="F13" s="182"/>
      <c r="G13" s="192"/>
      <c r="H13" s="182"/>
    </row>
    <row r="14">
      <c r="B14" s="193"/>
      <c r="C14" s="188"/>
      <c r="D14" s="192"/>
      <c r="E14" s="192"/>
      <c r="F14" s="192"/>
      <c r="G14" s="192"/>
      <c r="H14" s="192"/>
    </row>
    <row r="15">
      <c r="B15" s="196" t="s">
        <v>215</v>
      </c>
      <c r="C15" s="197"/>
      <c r="D15" s="195"/>
      <c r="E15" s="192"/>
      <c r="F15" s="195"/>
      <c r="G15" s="192"/>
      <c r="H15" s="195"/>
    </row>
    <row r="16">
      <c r="B16" s="198" t="s">
        <v>216</v>
      </c>
      <c r="C16" s="199">
        <v>44598.0</v>
      </c>
      <c r="D16" s="191" t="s">
        <v>217</v>
      </c>
      <c r="E16" s="192"/>
      <c r="F16" s="191" t="s">
        <v>218</v>
      </c>
      <c r="G16" s="192"/>
      <c r="H16" s="191" t="s">
        <v>219</v>
      </c>
    </row>
    <row r="17">
      <c r="B17" s="198" t="s">
        <v>220</v>
      </c>
      <c r="C17" s="199">
        <v>44600.0</v>
      </c>
      <c r="D17" s="200"/>
      <c r="E17" s="192"/>
      <c r="F17" s="200"/>
      <c r="G17" s="192"/>
      <c r="H17" s="200"/>
    </row>
    <row r="18">
      <c r="B18" s="201" t="s">
        <v>210</v>
      </c>
      <c r="C18" s="199">
        <v>44603.0</v>
      </c>
      <c r="D18" s="182"/>
      <c r="E18" s="192"/>
      <c r="F18" s="182"/>
      <c r="G18" s="192"/>
      <c r="H18" s="182"/>
    </row>
    <row r="19">
      <c r="B19" s="193"/>
      <c r="C19" s="188"/>
      <c r="D19" s="192"/>
      <c r="E19" s="192"/>
      <c r="F19" s="192"/>
      <c r="G19" s="192"/>
      <c r="H19" s="192"/>
    </row>
    <row r="20">
      <c r="B20" s="186" t="s">
        <v>221</v>
      </c>
      <c r="C20" s="194"/>
      <c r="D20" s="195"/>
      <c r="E20" s="192"/>
      <c r="F20" s="195"/>
      <c r="G20" s="192"/>
      <c r="H20" s="195"/>
    </row>
    <row r="21">
      <c r="B21" s="189" t="s">
        <v>206</v>
      </c>
      <c r="C21" s="190">
        <v>44609.0</v>
      </c>
      <c r="D21" s="202" t="s">
        <v>222</v>
      </c>
      <c r="E21" s="192"/>
      <c r="F21" s="202" t="s">
        <v>223</v>
      </c>
      <c r="G21" s="192"/>
      <c r="H21" s="202" t="s">
        <v>224</v>
      </c>
    </row>
    <row r="22">
      <c r="B22" s="189" t="s">
        <v>210</v>
      </c>
      <c r="C22" s="190">
        <v>44610.0</v>
      </c>
      <c r="D22" s="182"/>
      <c r="E22" s="192"/>
      <c r="F22" s="182"/>
      <c r="G22" s="192"/>
      <c r="H22" s="182"/>
    </row>
    <row r="23">
      <c r="B23" s="193"/>
      <c r="C23" s="188"/>
      <c r="D23" s="192"/>
      <c r="E23" s="192"/>
      <c r="F23" s="192"/>
      <c r="G23" s="192"/>
      <c r="H23" s="192"/>
    </row>
    <row r="24">
      <c r="B24" s="186" t="s">
        <v>225</v>
      </c>
      <c r="C24" s="194"/>
      <c r="D24" s="195"/>
      <c r="E24" s="192"/>
      <c r="F24" s="195"/>
      <c r="G24" s="192"/>
      <c r="H24" s="195"/>
    </row>
    <row r="25">
      <c r="B25" s="189" t="s">
        <v>206</v>
      </c>
      <c r="C25" s="203">
        <v>44623.0</v>
      </c>
      <c r="D25" s="191" t="s">
        <v>226</v>
      </c>
      <c r="E25" s="192"/>
      <c r="F25" s="191" t="s">
        <v>227</v>
      </c>
      <c r="G25" s="192"/>
      <c r="H25" s="191" t="s">
        <v>228</v>
      </c>
    </row>
    <row r="26">
      <c r="B26" s="189" t="s">
        <v>210</v>
      </c>
      <c r="C26" s="203">
        <v>44624.0</v>
      </c>
      <c r="D26" s="182"/>
      <c r="E26" s="192"/>
      <c r="F26" s="182"/>
      <c r="G26" s="192"/>
      <c r="H26" s="182"/>
    </row>
    <row r="27">
      <c r="B27" s="193"/>
      <c r="C27" s="188"/>
      <c r="D27" s="192"/>
      <c r="E27" s="192"/>
      <c r="F27" s="192"/>
      <c r="G27" s="192"/>
      <c r="H27" s="192"/>
      <c r="I27" s="204"/>
    </row>
    <row r="28">
      <c r="B28" s="205" t="s">
        <v>229</v>
      </c>
      <c r="C28" s="194"/>
      <c r="D28" s="206"/>
      <c r="E28" s="192"/>
      <c r="F28" s="206"/>
      <c r="G28" s="192"/>
      <c r="H28" s="206"/>
    </row>
    <row r="29">
      <c r="B29" s="189" t="s">
        <v>206</v>
      </c>
      <c r="C29" s="203">
        <v>44630.0</v>
      </c>
      <c r="D29" s="191" t="s">
        <v>207</v>
      </c>
      <c r="E29" s="192"/>
      <c r="F29" s="191" t="s">
        <v>208</v>
      </c>
      <c r="G29" s="192"/>
      <c r="H29" s="191" t="s">
        <v>209</v>
      </c>
    </row>
    <row r="30">
      <c r="B30" s="189" t="s">
        <v>210</v>
      </c>
      <c r="C30" s="203">
        <v>44631.0</v>
      </c>
      <c r="D30" s="182"/>
      <c r="E30" s="192"/>
      <c r="F30" s="182"/>
      <c r="G30" s="192"/>
      <c r="H30" s="182"/>
    </row>
    <row r="31">
      <c r="B31" s="193"/>
      <c r="C31" s="188"/>
      <c r="D31" s="192"/>
      <c r="E31" s="192"/>
      <c r="F31" s="192"/>
      <c r="G31" s="192"/>
      <c r="H31" s="192"/>
    </row>
    <row r="32">
      <c r="B32" s="196" t="s">
        <v>230</v>
      </c>
      <c r="C32" s="207"/>
      <c r="D32" s="195"/>
      <c r="E32" s="192"/>
      <c r="F32" s="195"/>
      <c r="G32" s="192"/>
      <c r="H32" s="195"/>
    </row>
    <row r="33">
      <c r="B33" s="201" t="s">
        <v>206</v>
      </c>
      <c r="C33" s="203">
        <v>44637.0</v>
      </c>
      <c r="D33" s="191" t="s">
        <v>212</v>
      </c>
      <c r="E33" s="192"/>
      <c r="F33" s="191" t="s">
        <v>213</v>
      </c>
      <c r="G33" s="192"/>
      <c r="H33" s="191" t="s">
        <v>214</v>
      </c>
    </row>
    <row r="34">
      <c r="B34" s="201" t="s">
        <v>210</v>
      </c>
      <c r="C34" s="203">
        <v>44638.0</v>
      </c>
      <c r="D34" s="182"/>
      <c r="E34" s="192"/>
      <c r="F34" s="182"/>
      <c r="G34" s="192"/>
      <c r="H34" s="182"/>
    </row>
    <row r="35">
      <c r="B35" s="193"/>
      <c r="C35" s="188"/>
      <c r="D35" s="192"/>
      <c r="E35" s="192"/>
      <c r="F35" s="192"/>
      <c r="G35" s="192"/>
      <c r="H35" s="192"/>
    </row>
    <row r="36">
      <c r="B36" s="186" t="s">
        <v>231</v>
      </c>
      <c r="C36" s="194"/>
      <c r="D36" s="195"/>
      <c r="E36" s="192"/>
      <c r="F36" s="195"/>
      <c r="G36" s="192"/>
      <c r="H36" s="195"/>
    </row>
    <row r="37">
      <c r="B37" s="189" t="s">
        <v>206</v>
      </c>
      <c r="C37" s="203">
        <v>44644.0</v>
      </c>
      <c r="D37" s="191" t="s">
        <v>217</v>
      </c>
      <c r="E37" s="192"/>
      <c r="F37" s="191" t="s">
        <v>218</v>
      </c>
      <c r="G37" s="192"/>
      <c r="H37" s="191" t="s">
        <v>219</v>
      </c>
    </row>
    <row r="38">
      <c r="B38" s="189" t="s">
        <v>210</v>
      </c>
      <c r="C38" s="203">
        <v>44645.0</v>
      </c>
      <c r="D38" s="182"/>
      <c r="E38" s="192"/>
      <c r="F38" s="182"/>
      <c r="G38" s="192"/>
      <c r="H38" s="182"/>
    </row>
    <row r="39">
      <c r="B39" s="193"/>
      <c r="C39" s="188"/>
      <c r="D39" s="192"/>
      <c r="E39" s="192"/>
      <c r="F39" s="192"/>
      <c r="G39" s="192"/>
      <c r="H39" s="192"/>
    </row>
    <row r="40">
      <c r="B40" s="186" t="s">
        <v>232</v>
      </c>
      <c r="C40" s="194"/>
      <c r="D40" s="195"/>
      <c r="E40" s="192"/>
      <c r="F40" s="195"/>
      <c r="G40" s="192"/>
      <c r="H40" s="195"/>
    </row>
    <row r="41">
      <c r="B41" s="189" t="s">
        <v>233</v>
      </c>
      <c r="C41" s="203">
        <v>45012.0</v>
      </c>
      <c r="D41" s="191" t="s">
        <v>222</v>
      </c>
      <c r="E41" s="192"/>
      <c r="F41" s="191" t="s">
        <v>223</v>
      </c>
      <c r="G41" s="192"/>
      <c r="H41" s="191" t="s">
        <v>224</v>
      </c>
    </row>
    <row r="42">
      <c r="B42" s="189" t="s">
        <v>210</v>
      </c>
      <c r="C42" s="203">
        <v>45017.0</v>
      </c>
      <c r="D42" s="182"/>
      <c r="E42" s="192"/>
      <c r="F42" s="182"/>
      <c r="G42" s="192"/>
      <c r="H42" s="182"/>
    </row>
    <row r="43">
      <c r="B43" s="193"/>
      <c r="C43" s="188"/>
      <c r="D43" s="192"/>
      <c r="E43" s="192"/>
      <c r="F43" s="192"/>
      <c r="G43" s="192"/>
      <c r="H43" s="192"/>
    </row>
    <row r="44">
      <c r="B44" s="186" t="s">
        <v>234</v>
      </c>
      <c r="C44" s="194"/>
      <c r="D44" s="195"/>
      <c r="E44" s="192"/>
      <c r="F44" s="195"/>
      <c r="G44" s="192"/>
      <c r="H44" s="195"/>
    </row>
    <row r="45">
      <c r="B45" s="189" t="s">
        <v>206</v>
      </c>
      <c r="C45" s="203">
        <v>45030.0</v>
      </c>
      <c r="D45" s="191" t="s">
        <v>226</v>
      </c>
      <c r="E45" s="192"/>
      <c r="F45" s="191" t="s">
        <v>227</v>
      </c>
      <c r="G45" s="192"/>
      <c r="H45" s="191" t="s">
        <v>228</v>
      </c>
    </row>
    <row r="46">
      <c r="B46" s="189" t="s">
        <v>210</v>
      </c>
      <c r="C46" s="203">
        <v>45031.0</v>
      </c>
      <c r="D46" s="182"/>
      <c r="E46" s="192"/>
      <c r="F46" s="182"/>
      <c r="G46" s="192"/>
      <c r="H46" s="182"/>
    </row>
    <row r="47">
      <c r="B47" s="208"/>
      <c r="C47" s="111"/>
      <c r="D47" s="111"/>
      <c r="E47" s="111"/>
      <c r="F47" s="111"/>
      <c r="G47" s="111"/>
      <c r="H47" s="112"/>
    </row>
  </sheetData>
  <mergeCells count="34">
    <mergeCell ref="B2:H3"/>
    <mergeCell ref="B5:C5"/>
    <mergeCell ref="B6:H6"/>
    <mergeCell ref="D8:D9"/>
    <mergeCell ref="F8:F9"/>
    <mergeCell ref="H8:H9"/>
    <mergeCell ref="D12:D13"/>
    <mergeCell ref="F12:F13"/>
    <mergeCell ref="H12:H13"/>
    <mergeCell ref="D16:D18"/>
    <mergeCell ref="F16:F18"/>
    <mergeCell ref="H16:H18"/>
    <mergeCell ref="F21:F22"/>
    <mergeCell ref="H21:H22"/>
    <mergeCell ref="D21:D22"/>
    <mergeCell ref="D25:D26"/>
    <mergeCell ref="F25:F26"/>
    <mergeCell ref="H25:H26"/>
    <mergeCell ref="D29:D30"/>
    <mergeCell ref="F29:F30"/>
    <mergeCell ref="H29:H30"/>
    <mergeCell ref="F41:F42"/>
    <mergeCell ref="H41:H42"/>
    <mergeCell ref="D45:D46"/>
    <mergeCell ref="F45:F46"/>
    <mergeCell ref="H45:H46"/>
    <mergeCell ref="B47:H47"/>
    <mergeCell ref="D33:D34"/>
    <mergeCell ref="F33:F34"/>
    <mergeCell ref="H33:H34"/>
    <mergeCell ref="D37:D38"/>
    <mergeCell ref="F37:F38"/>
    <mergeCell ref="H37:H38"/>
    <mergeCell ref="D41:D4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0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235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15</v>
      </c>
      <c r="F11" s="112"/>
      <c r="G11" s="219" t="s">
        <v>239</v>
      </c>
      <c r="H11" s="220" t="s">
        <v>19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243</v>
      </c>
      <c r="E13" s="227" t="s">
        <v>67</v>
      </c>
      <c r="F13" s="227" t="s">
        <v>60</v>
      </c>
      <c r="G13" s="228" t="s">
        <v>239</v>
      </c>
      <c r="H13" s="227" t="s">
        <v>55</v>
      </c>
      <c r="I13" s="227" t="s">
        <v>62</v>
      </c>
      <c r="J13" s="229">
        <v>6.0</v>
      </c>
      <c r="K13" s="230">
        <v>4.0</v>
      </c>
      <c r="L13" s="231">
        <f>IF(AND(J13&gt;K13,J14&gt;K14),2,IF(J13&gt;K13,1,IF(J14&gt;K14,1,0)))</f>
        <v>1</v>
      </c>
      <c r="M13" s="231">
        <f>IF(AND(K13&gt;J13,K14&gt;J14),2,IF(K13&gt;J13,1,IF(K14&gt;J14,1,0)))</f>
        <v>1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3.0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242</v>
      </c>
      <c r="D16" s="226" t="s">
        <v>244</v>
      </c>
      <c r="E16" s="227" t="s">
        <v>100</v>
      </c>
      <c r="F16" s="227" t="s">
        <v>114</v>
      </c>
      <c r="G16" s="228" t="s">
        <v>239</v>
      </c>
      <c r="H16" s="227" t="s">
        <v>116</v>
      </c>
      <c r="I16" s="227" t="s">
        <v>102</v>
      </c>
      <c r="J16" s="229">
        <v>6.0</v>
      </c>
      <c r="K16" s="230">
        <v>3.0</v>
      </c>
      <c r="L16" s="231">
        <f>IF(AND(J16&gt;K16,J17&gt;K17),2,IF(J16&gt;K16,1,IF(J17&gt;K17,1,0)))</f>
        <v>2</v>
      </c>
      <c r="M16" s="231">
        <f>IF(AND(K16&gt;J16,K17&gt;J17),2,IF(K16&gt;J16,1,IF(K17&gt;J17,1,0)))</f>
        <v>0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6.0</v>
      </c>
      <c r="K17" s="235">
        <v>4.0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246</v>
      </c>
      <c r="E19" s="227" t="s">
        <v>147</v>
      </c>
      <c r="F19" s="227" t="s">
        <v>141</v>
      </c>
      <c r="G19" s="228" t="s">
        <v>239</v>
      </c>
      <c r="H19" s="227" t="s">
        <v>47</v>
      </c>
      <c r="I19" s="227" t="s">
        <v>247</v>
      </c>
      <c r="J19" s="229">
        <v>6.0</v>
      </c>
      <c r="K19" s="230">
        <v>2.0</v>
      </c>
      <c r="L19" s="231">
        <f>IF(AND(J19&gt;K19,J20&gt;K20),2,IF(J19&gt;K19,1,IF(J20&gt;K20,1,0)))</f>
        <v>2</v>
      </c>
      <c r="M19" s="231">
        <f>IF(AND(K19&gt;J19,K20&gt;J20),2,IF(K19&gt;J19,1,IF(K20&gt;J20,1,0)))</f>
        <v>0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6.0</v>
      </c>
      <c r="K20" s="235">
        <v>4.0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242</v>
      </c>
      <c r="D22" s="238" t="s">
        <v>248</v>
      </c>
      <c r="E22" s="227" t="s">
        <v>165</v>
      </c>
      <c r="F22" s="227" t="s">
        <v>171</v>
      </c>
      <c r="G22" s="239" t="s">
        <v>239</v>
      </c>
      <c r="H22" s="227" t="s">
        <v>167</v>
      </c>
      <c r="I22" s="227" t="s">
        <v>179</v>
      </c>
      <c r="J22" s="229">
        <v>4.0</v>
      </c>
      <c r="K22" s="230">
        <v>6.0</v>
      </c>
      <c r="L22" s="231">
        <f>IF(AND(J22&gt;K22,J23&gt;K23),2,IF(J22&gt;K22,1,IF(J23&gt;K23,1,0)))</f>
        <v>1</v>
      </c>
      <c r="M22" s="231">
        <f>IF(AND(K22&gt;J22,K23&gt;J23),2,IF(K22&gt;J22,1,IF(K23&gt;J23,1,0)))</f>
        <v>1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6.0</v>
      </c>
      <c r="K23" s="235">
        <v>0.0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249</v>
      </c>
      <c r="D25" s="111"/>
      <c r="E25" s="111"/>
      <c r="F25" s="111"/>
      <c r="G25" s="111"/>
      <c r="H25" s="111"/>
      <c r="I25" s="112"/>
      <c r="J25" s="241">
        <f t="shared" ref="J25:M25" si="1">SUM(J13:J23)</f>
        <v>43</v>
      </c>
      <c r="K25" s="242">
        <f t="shared" si="1"/>
        <v>29</v>
      </c>
      <c r="L25" s="241">
        <f t="shared" si="1"/>
        <v>6</v>
      </c>
      <c r="M25" s="243">
        <f t="shared" si="1"/>
        <v>2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250</v>
      </c>
      <c r="D28" s="226" t="s">
        <v>251</v>
      </c>
      <c r="E28" s="227" t="s">
        <v>81</v>
      </c>
      <c r="F28" s="227" t="s">
        <v>159</v>
      </c>
      <c r="G28" s="228" t="s">
        <v>239</v>
      </c>
      <c r="H28" s="227" t="s">
        <v>95</v>
      </c>
      <c r="I28" s="227" t="s">
        <v>252</v>
      </c>
      <c r="J28" s="229">
        <v>2.0</v>
      </c>
      <c r="K28" s="230">
        <v>6.0</v>
      </c>
      <c r="L28" s="231">
        <f>IF(AND(J28&gt;K28,J29&gt;K29),2,IF(J28&gt;K28,1,IF(J29&gt;K29,1,0)))</f>
        <v>1</v>
      </c>
      <c r="M28" s="231">
        <f>IF(AND(K28&gt;J28,K29&gt;J29),2,IF(K28&gt;J28,1,IF(K29&gt;J29,1,0)))</f>
        <v>1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6.0</v>
      </c>
      <c r="K29" s="235">
        <v>4.0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25" t="s">
        <v>253</v>
      </c>
      <c r="D31" s="226" t="s">
        <v>254</v>
      </c>
      <c r="E31" s="227" t="s">
        <v>74</v>
      </c>
      <c r="F31" s="227" t="s">
        <v>45</v>
      </c>
      <c r="G31" s="228" t="s">
        <v>239</v>
      </c>
      <c r="H31" s="227" t="s">
        <v>83</v>
      </c>
      <c r="I31" s="227" t="s">
        <v>89</v>
      </c>
      <c r="J31" s="229">
        <v>1.0</v>
      </c>
      <c r="K31" s="230">
        <v>6.0</v>
      </c>
      <c r="L31" s="231">
        <f>IF(AND(J31&gt;K31,J32&gt;K32),2,IF(J31&gt;K31,1,IF(J32&gt;K32,1,0)))</f>
        <v>1</v>
      </c>
      <c r="M31" s="231">
        <f>IF(AND(K31&gt;J31,K32&gt;J32),2,IF(K31&gt;J31,1,IF(K32&gt;J32,1,0)))</f>
        <v>1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6.0</v>
      </c>
      <c r="K32" s="235">
        <v>1.0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25" t="s">
        <v>255</v>
      </c>
      <c r="D34" s="226" t="s">
        <v>256</v>
      </c>
      <c r="E34" s="227" t="s">
        <v>182</v>
      </c>
      <c r="F34" s="227" t="s">
        <v>194</v>
      </c>
      <c r="G34" s="228" t="s">
        <v>239</v>
      </c>
      <c r="H34" s="227" t="s">
        <v>190</v>
      </c>
      <c r="I34" s="227" t="s">
        <v>196</v>
      </c>
      <c r="J34" s="229">
        <v>3.0</v>
      </c>
      <c r="K34" s="230">
        <v>6.0</v>
      </c>
      <c r="L34" s="231">
        <f>IF(AND(J34&gt;K34,J35&gt;K35),2,IF(J34&gt;K34,1,IF(J35&gt;K35,1,0)))</f>
        <v>1</v>
      </c>
      <c r="M34" s="231">
        <f>IF(AND(K34&gt;J34,K35&gt;J35),2,IF(K34&gt;J34,1,IF(K35&gt;J35,1,0)))</f>
        <v>1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6.0</v>
      </c>
      <c r="K35" s="235">
        <v>4.0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250</v>
      </c>
      <c r="D37" s="238" t="s">
        <v>257</v>
      </c>
      <c r="E37" s="227" t="s">
        <v>120</v>
      </c>
      <c r="F37" s="227" t="s">
        <v>134</v>
      </c>
      <c r="G37" s="228" t="s">
        <v>239</v>
      </c>
      <c r="H37" s="227" t="s">
        <v>122</v>
      </c>
      <c r="I37" s="227" t="s">
        <v>129</v>
      </c>
      <c r="J37" s="229">
        <v>6.0</v>
      </c>
      <c r="K37" s="230">
        <v>7.0</v>
      </c>
      <c r="L37" s="231">
        <f>IF(AND(J37&gt;K37,J38&gt;K38),2,IF(J37&gt;K37,1,IF(J38&gt;K38,1,0)))</f>
        <v>1</v>
      </c>
      <c r="M37" s="231">
        <f>IF(AND(K37&gt;J37,K38&gt;J38),2,IF(K37&gt;J37,1,IF(K38&gt;J38,1,0)))</f>
        <v>1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6.0</v>
      </c>
      <c r="K38" s="235">
        <v>3.0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258</v>
      </c>
      <c r="D40" s="111"/>
      <c r="E40" s="111"/>
      <c r="F40" s="111"/>
      <c r="G40" s="111"/>
      <c r="H40" s="111"/>
      <c r="I40" s="112"/>
      <c r="J40" s="241">
        <f t="shared" ref="J40:M40" si="2">SUM(J28:J38)</f>
        <v>36</v>
      </c>
      <c r="K40" s="242">
        <f t="shared" si="2"/>
        <v>37</v>
      </c>
      <c r="L40" s="241">
        <f t="shared" si="2"/>
        <v>4</v>
      </c>
      <c r="M40" s="243">
        <f t="shared" si="2"/>
        <v>4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259</v>
      </c>
      <c r="D42" s="111"/>
      <c r="E42" s="111"/>
      <c r="F42" s="111"/>
      <c r="G42" s="111"/>
      <c r="H42" s="111"/>
      <c r="I42" s="112"/>
      <c r="J42" s="248">
        <f t="shared" ref="J42:M42" si="3">J40+J25</f>
        <v>79</v>
      </c>
      <c r="K42" s="249">
        <f t="shared" si="3"/>
        <v>66</v>
      </c>
      <c r="L42" s="250">
        <f t="shared" si="3"/>
        <v>10</v>
      </c>
      <c r="M42" s="251">
        <f t="shared" si="3"/>
        <v>6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261</v>
      </c>
      <c r="F46" s="112"/>
      <c r="G46" s="219" t="s">
        <v>239</v>
      </c>
      <c r="H46" s="220" t="s">
        <v>21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53" t="s">
        <v>262</v>
      </c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256</v>
      </c>
      <c r="E48" s="227" t="s">
        <v>185</v>
      </c>
      <c r="F48" s="227" t="s">
        <v>197</v>
      </c>
      <c r="G48" s="228" t="s">
        <v>239</v>
      </c>
      <c r="H48" s="227" t="s">
        <v>192</v>
      </c>
      <c r="I48" s="227" t="s">
        <v>263</v>
      </c>
      <c r="J48" s="229">
        <v>6.0</v>
      </c>
      <c r="K48" s="230">
        <v>0.0</v>
      </c>
      <c r="L48" s="231">
        <f>IF(AND(J48&gt;K48,J49&gt;K49),2,IF(J48&gt;K48,1,IF(J49&gt;K49,1,0)))</f>
        <v>2</v>
      </c>
      <c r="M48" s="231">
        <f>IF(AND(K48&gt;J48,K49&gt;J49),2,IF(K48&gt;J48,1,IF(K49&gt;J49,1,0)))</f>
        <v>0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6.0</v>
      </c>
      <c r="K49" s="235">
        <v>0.0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243</v>
      </c>
      <c r="E51" s="227" t="s">
        <v>56</v>
      </c>
      <c r="F51" s="227" t="s">
        <v>265</v>
      </c>
      <c r="G51" s="228" t="s">
        <v>239</v>
      </c>
      <c r="H51" s="227" t="s">
        <v>266</v>
      </c>
      <c r="I51" s="227" t="s">
        <v>64</v>
      </c>
      <c r="J51" s="229">
        <v>6.0</v>
      </c>
      <c r="K51" s="230">
        <v>1.0</v>
      </c>
      <c r="L51" s="231">
        <f>IF(AND(J51&gt;K51,J52&gt;K52),2,IF(J51&gt;K51,1,IF(J52&gt;K52,1,0)))</f>
        <v>2</v>
      </c>
      <c r="M51" s="231">
        <f>IF(AND(K51&gt;J51,K52&gt;J52),2,IF(K51&gt;J51,1,IF(K52&gt;J52,1,0)))</f>
        <v>0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6.0</v>
      </c>
      <c r="K52" s="235">
        <v>3.0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254</v>
      </c>
      <c r="E54" s="227" t="s">
        <v>267</v>
      </c>
      <c r="F54" s="227" t="s">
        <v>84</v>
      </c>
      <c r="G54" s="228" t="s">
        <v>239</v>
      </c>
      <c r="H54" s="227" t="s">
        <v>78</v>
      </c>
      <c r="I54" s="227" t="s">
        <v>85</v>
      </c>
      <c r="J54" s="229">
        <v>4.0</v>
      </c>
      <c r="K54" s="230">
        <v>6.0</v>
      </c>
      <c r="L54" s="231">
        <f>IF(AND(J54&gt;K54,J55&gt;K55),2,IF(J54&gt;K54,1,IF(J55&gt;K55,1,0)))</f>
        <v>1</v>
      </c>
      <c r="M54" s="231">
        <f>IF(AND(K54&gt;J54,K55&gt;J55),2,IF(K54&gt;J54,1,IF(K55&gt;J55,1,0)))</f>
        <v>1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6.0</v>
      </c>
      <c r="K55" s="235">
        <v>1.0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246</v>
      </c>
      <c r="E57" s="227" t="s">
        <v>144</v>
      </c>
      <c r="F57" s="227" t="s">
        <v>149</v>
      </c>
      <c r="G57" s="239" t="s">
        <v>239</v>
      </c>
      <c r="H57" s="227" t="s">
        <v>145</v>
      </c>
      <c r="I57" s="227" t="s">
        <v>150</v>
      </c>
      <c r="J57" s="229">
        <v>6.0</v>
      </c>
      <c r="K57" s="230">
        <v>3.0</v>
      </c>
      <c r="L57" s="231">
        <f>IF(AND(J57&gt;K57,J58&gt;K58),2,IF(J57&gt;K57,1,IF(J58&gt;K58,1,0)))</f>
        <v>2</v>
      </c>
      <c r="M57" s="231">
        <f>IF(AND(K57&gt;J57,K58&gt;J58),2,IF(K57&gt;J57,1,IF(K58&gt;J58,1,0)))</f>
        <v>0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6.0</v>
      </c>
      <c r="K58" s="235">
        <v>3.0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37"/>
      <c r="D59" s="111"/>
      <c r="E59" s="111"/>
      <c r="F59" s="111"/>
      <c r="G59" s="111"/>
      <c r="H59" s="111"/>
      <c r="I59" s="111"/>
      <c r="J59" s="111"/>
      <c r="K59" s="111"/>
      <c r="L59" s="111"/>
      <c r="M59" s="222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249</v>
      </c>
      <c r="D60" s="111"/>
      <c r="E60" s="111"/>
      <c r="F60" s="111"/>
      <c r="G60" s="111"/>
      <c r="H60" s="111"/>
      <c r="I60" s="112"/>
      <c r="J60" s="241">
        <f t="shared" ref="J60:M60" si="4">SUM(J48:J58)</f>
        <v>46</v>
      </c>
      <c r="K60" s="242">
        <f t="shared" si="4"/>
        <v>17</v>
      </c>
      <c r="L60" s="241">
        <f t="shared" si="4"/>
        <v>7</v>
      </c>
      <c r="M60" s="243">
        <f t="shared" si="4"/>
        <v>1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248</v>
      </c>
      <c r="E63" s="227" t="s">
        <v>168</v>
      </c>
      <c r="F63" s="227" t="s">
        <v>174</v>
      </c>
      <c r="G63" s="228" t="s">
        <v>239</v>
      </c>
      <c r="H63" s="227" t="s">
        <v>169</v>
      </c>
      <c r="I63" s="227" t="s">
        <v>175</v>
      </c>
      <c r="J63" s="229">
        <v>1.0</v>
      </c>
      <c r="K63" s="230">
        <v>6.0</v>
      </c>
      <c r="L63" s="231">
        <f>IF(AND(J63&gt;K63,J64&gt;K64),2,IF(J63&gt;K63,1,IF(J64&gt;K64,1,0)))</f>
        <v>1</v>
      </c>
      <c r="M63" s="231">
        <f>IF(AND(K63&gt;J63,K64&gt;J64),2,IF(K63&gt;J63,1,IF(K64&gt;J64,1,0)))</f>
        <v>1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7.0</v>
      </c>
      <c r="K64" s="235">
        <v>5.0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253</v>
      </c>
      <c r="D66" s="226" t="s">
        <v>251</v>
      </c>
      <c r="E66" s="227" t="s">
        <v>48</v>
      </c>
      <c r="F66" s="227" t="s">
        <v>162</v>
      </c>
      <c r="G66" s="228" t="s">
        <v>239</v>
      </c>
      <c r="H66" s="227" t="s">
        <v>97</v>
      </c>
      <c r="I66" s="227" t="s">
        <v>156</v>
      </c>
      <c r="J66" s="229">
        <v>3.0</v>
      </c>
      <c r="K66" s="230">
        <v>6.0</v>
      </c>
      <c r="L66" s="231">
        <f>IF(AND(J66&gt;K66,J67&gt;K67),2,IF(J66&gt;K66,1,IF(J67&gt;K67,1,0)))</f>
        <v>1</v>
      </c>
      <c r="M66" s="231">
        <f>IF(AND(K66&gt;J66,K67&gt;J67),2,IF(K66&gt;J66,1,IF(K67&gt;J67,1,0)))</f>
        <v>1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4.0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253</v>
      </c>
      <c r="D69" s="226" t="s">
        <v>244</v>
      </c>
      <c r="E69" s="227" t="s">
        <v>110</v>
      </c>
      <c r="F69" s="227" t="s">
        <v>117</v>
      </c>
      <c r="G69" s="228" t="s">
        <v>239</v>
      </c>
      <c r="H69" s="227" t="s">
        <v>104</v>
      </c>
      <c r="I69" s="227" t="s">
        <v>49</v>
      </c>
      <c r="J69" s="229">
        <v>7.0</v>
      </c>
      <c r="K69" s="230">
        <v>5.0</v>
      </c>
      <c r="L69" s="231">
        <f>IF(AND(J69&gt;K69,J70&gt;K70),2,IF(J69&gt;K69,1,IF(J70&gt;K70,1,0)))</f>
        <v>2</v>
      </c>
      <c r="M69" s="231">
        <f>IF(AND(K69&gt;J69,K70&gt;J70),2,IF(K69&gt;J69,1,IF(K70&gt;J70,1,0)))</f>
        <v>0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6.0</v>
      </c>
      <c r="K70" s="235">
        <v>1.0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 t="s">
        <v>255</v>
      </c>
      <c r="D72" s="238" t="s">
        <v>257</v>
      </c>
      <c r="E72" s="227" t="s">
        <v>123</v>
      </c>
      <c r="F72" s="227" t="s">
        <v>130</v>
      </c>
      <c r="G72" s="228" t="s">
        <v>239</v>
      </c>
      <c r="H72" s="227" t="s">
        <v>124</v>
      </c>
      <c r="I72" s="227" t="s">
        <v>131</v>
      </c>
      <c r="J72" s="229">
        <v>6.0</v>
      </c>
      <c r="K72" s="230">
        <v>1.0</v>
      </c>
      <c r="L72" s="231">
        <f>IF(AND(J72&gt;K72,J73&gt;K73),2,IF(J72&gt;K72,1,IF(J73&gt;K73,1,0)))</f>
        <v>1</v>
      </c>
      <c r="M72" s="231">
        <f>IF(AND(K72&gt;J72,K73&gt;J73),2,IF(K72&gt;J72,1,IF(K73&gt;J73,1,0)))</f>
        <v>1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5.0</v>
      </c>
      <c r="K73" s="235">
        <v>7.0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258</v>
      </c>
      <c r="D75" s="111"/>
      <c r="E75" s="111"/>
      <c r="F75" s="111"/>
      <c r="G75" s="111"/>
      <c r="H75" s="111"/>
      <c r="I75" s="112"/>
      <c r="J75" s="241">
        <f t="shared" ref="J75:M75" si="5">SUM(J63:J73)</f>
        <v>41</v>
      </c>
      <c r="K75" s="242">
        <f t="shared" si="5"/>
        <v>35</v>
      </c>
      <c r="L75" s="241">
        <f t="shared" si="5"/>
        <v>5</v>
      </c>
      <c r="M75" s="243">
        <f t="shared" si="5"/>
        <v>3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259</v>
      </c>
      <c r="D77" s="111"/>
      <c r="E77" s="111"/>
      <c r="F77" s="111"/>
      <c r="G77" s="111"/>
      <c r="H77" s="111"/>
      <c r="I77" s="112"/>
      <c r="J77" s="248">
        <f t="shared" ref="J77:M77" si="6">J75+J60</f>
        <v>87</v>
      </c>
      <c r="K77" s="249">
        <f t="shared" si="6"/>
        <v>52</v>
      </c>
      <c r="L77" s="250">
        <f t="shared" si="6"/>
        <v>12</v>
      </c>
      <c r="M77" s="251">
        <f t="shared" si="6"/>
        <v>4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18</v>
      </c>
      <c r="F81" s="112"/>
      <c r="G81" s="219" t="s">
        <v>239</v>
      </c>
      <c r="H81" s="220" t="s">
        <v>22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248</v>
      </c>
      <c r="E83" s="227" t="s">
        <v>166</v>
      </c>
      <c r="F83" s="227" t="s">
        <v>178</v>
      </c>
      <c r="G83" s="228" t="s">
        <v>239</v>
      </c>
      <c r="H83" s="227" t="s">
        <v>170</v>
      </c>
      <c r="I83" s="227" t="s">
        <v>50</v>
      </c>
      <c r="J83" s="229">
        <v>6.0</v>
      </c>
      <c r="K83" s="230">
        <v>2.0</v>
      </c>
      <c r="L83" s="231">
        <f>IF(AND(J83&gt;K83,J84&gt;K84),2,IF(J83&gt;K83,1,IF(J84&gt;K84,1,0)))</f>
        <v>2</v>
      </c>
      <c r="M83" s="231">
        <f>IF(AND(K83&gt;J83,K84&gt;J84),2,IF(K83&gt;J83,1,IF(K84&gt;J84,1,0)))</f>
        <v>0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56">
        <v>6.0</v>
      </c>
      <c r="K84" s="235">
        <v>2.0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269</v>
      </c>
      <c r="E86" s="227" t="s">
        <v>82</v>
      </c>
      <c r="F86" s="227" t="s">
        <v>160</v>
      </c>
      <c r="G86" s="228" t="s">
        <v>239</v>
      </c>
      <c r="H86" s="227" t="s">
        <v>86</v>
      </c>
      <c r="I86" s="227" t="s">
        <v>157</v>
      </c>
      <c r="J86" s="229">
        <v>2.0</v>
      </c>
      <c r="K86" s="230">
        <v>6.0</v>
      </c>
      <c r="L86" s="231">
        <f>IF(AND(J86&gt;K86,J87&gt;K87),2,IF(J86&gt;K86,1,IF(J87&gt;K87,1,0)))</f>
        <v>0</v>
      </c>
      <c r="M86" s="231">
        <f>IF(AND(K86&gt;J86,K87&gt;J87),2,IF(K86&gt;J86,1,IF(K87&gt;J87,1,0)))</f>
        <v>2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2.0</v>
      </c>
      <c r="K87" s="235">
        <v>6.0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244</v>
      </c>
      <c r="E89" s="227" t="s">
        <v>101</v>
      </c>
      <c r="F89" s="227" t="s">
        <v>108</v>
      </c>
      <c r="G89" s="228" t="s">
        <v>239</v>
      </c>
      <c r="H89" s="227" t="s">
        <v>118</v>
      </c>
      <c r="I89" s="227" t="s">
        <v>270</v>
      </c>
      <c r="J89" s="229">
        <v>4.0</v>
      </c>
      <c r="K89" s="230">
        <v>6.0</v>
      </c>
      <c r="L89" s="231">
        <f>IF(AND(J89&gt;K89,J90&gt;K90),2,IF(J89&gt;K89,1,IF(J90&gt;K90,1,0)))</f>
        <v>0</v>
      </c>
      <c r="M89" s="231">
        <f>IF(AND(K89&gt;J89,K90&gt;J90),2,IF(K89&gt;J89,1,IF(K90&gt;J90,1,0)))</f>
        <v>2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0.0</v>
      </c>
      <c r="K90" s="235">
        <v>6.0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 t="s">
        <v>245</v>
      </c>
      <c r="D92" s="238" t="s">
        <v>243</v>
      </c>
      <c r="E92" s="227" t="s">
        <v>54</v>
      </c>
      <c r="F92" s="227" t="s">
        <v>61</v>
      </c>
      <c r="G92" s="228" t="s">
        <v>239</v>
      </c>
      <c r="H92" s="227" t="s">
        <v>58</v>
      </c>
      <c r="I92" s="227" t="s">
        <v>72</v>
      </c>
      <c r="J92" s="229">
        <v>6.0</v>
      </c>
      <c r="K92" s="230">
        <v>3.0</v>
      </c>
      <c r="L92" s="231">
        <f>IF(AND(J92&gt;K92,J93&gt;K93),2,IF(J92&gt;K92,1,IF(J93&gt;K93,1,0)))</f>
        <v>2</v>
      </c>
      <c r="M92" s="231">
        <f>IF(AND(K92&gt;J92,K93&gt;J93),2,IF(K92&gt;J92,1,IF(K93&gt;J93,1,0)))</f>
        <v>0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3.0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37"/>
      <c r="D94" s="111"/>
      <c r="E94" s="111"/>
      <c r="F94" s="111"/>
      <c r="G94" s="111"/>
      <c r="H94" s="111"/>
      <c r="I94" s="111"/>
      <c r="J94" s="111"/>
      <c r="K94" s="111"/>
      <c r="L94" s="111"/>
      <c r="M94" s="222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249</v>
      </c>
      <c r="D95" s="111"/>
      <c r="E95" s="111"/>
      <c r="F95" s="111"/>
      <c r="G95" s="111"/>
      <c r="H95" s="111"/>
      <c r="I95" s="112"/>
      <c r="J95" s="241">
        <f t="shared" ref="J95:M95" si="7">SUM(J83:J93)</f>
        <v>32</v>
      </c>
      <c r="K95" s="242">
        <f t="shared" si="7"/>
        <v>34</v>
      </c>
      <c r="L95" s="241">
        <f t="shared" si="7"/>
        <v>4</v>
      </c>
      <c r="M95" s="243">
        <f t="shared" si="7"/>
        <v>4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257</v>
      </c>
      <c r="E98" s="227" t="s">
        <v>121</v>
      </c>
      <c r="F98" s="227" t="s">
        <v>128</v>
      </c>
      <c r="G98" s="228" t="s">
        <v>239</v>
      </c>
      <c r="H98" s="227" t="s">
        <v>125</v>
      </c>
      <c r="I98" s="227" t="s">
        <v>139</v>
      </c>
      <c r="J98" s="229">
        <v>6.0</v>
      </c>
      <c r="K98" s="230">
        <v>4.0</v>
      </c>
      <c r="L98" s="231">
        <f>IF(AND(J98&gt;K98,J99&gt;K99),2,IF(J98&gt;K98,1,IF(J99&gt;K99,1,0)))</f>
        <v>1</v>
      </c>
      <c r="M98" s="231">
        <f>IF(AND(K98&gt;J98,K99&gt;J99),2,IF(K98&gt;J98,1,IF(K99&gt;J99,1,0)))</f>
        <v>1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3.0</v>
      </c>
      <c r="K99" s="235">
        <v>6.0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254</v>
      </c>
      <c r="E101" s="227" t="s">
        <v>75</v>
      </c>
      <c r="F101" s="227" t="s">
        <v>271</v>
      </c>
      <c r="G101" s="228" t="s">
        <v>239</v>
      </c>
      <c r="H101" s="227" t="s">
        <v>79</v>
      </c>
      <c r="I101" s="227" t="s">
        <v>91</v>
      </c>
      <c r="J101" s="229">
        <v>1.0</v>
      </c>
      <c r="K101" s="230">
        <v>6.0</v>
      </c>
      <c r="L101" s="231">
        <f>IF(AND(J101&gt;K101,J102&gt;K102),2,IF(J101&gt;K101,1,IF(J102&gt;K102,1,0)))</f>
        <v>0</v>
      </c>
      <c r="M101" s="231">
        <f>IF(AND(K101&gt;J101,K102&gt;J102),2,IF(K101&gt;J101,1,IF(K102&gt;J102,1,0)))</f>
        <v>2</v>
      </c>
      <c r="N101" s="257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5.0</v>
      </c>
      <c r="K102" s="235">
        <v>7.0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58" t="s">
        <v>272</v>
      </c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255</v>
      </c>
      <c r="D104" s="226" t="s">
        <v>246</v>
      </c>
      <c r="E104" s="227" t="s">
        <v>273</v>
      </c>
      <c r="F104" s="227" t="s">
        <v>148</v>
      </c>
      <c r="G104" s="228" t="s">
        <v>239</v>
      </c>
      <c r="H104" s="227" t="s">
        <v>146</v>
      </c>
      <c r="I104" s="227" t="s">
        <v>164</v>
      </c>
      <c r="J104" s="229">
        <v>2.0</v>
      </c>
      <c r="K104" s="230">
        <v>6.0</v>
      </c>
      <c r="L104" s="231">
        <f>IF(AND(J104&gt;K104,J105&gt;K105),2,IF(J104&gt;K104,1,IF(J105&gt;K105,1,0)))</f>
        <v>1</v>
      </c>
      <c r="M104" s="231">
        <f>IF(AND(K104&gt;J104,K105&gt;J105),2,IF(K104&gt;J104,1,IF(K105&gt;J105,1,0)))</f>
        <v>1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6.0</v>
      </c>
      <c r="K105" s="235">
        <v>1.0</v>
      </c>
      <c r="L105" s="233"/>
      <c r="M105" s="233"/>
      <c r="N105" s="25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 t="s">
        <v>274</v>
      </c>
      <c r="D107" s="226" t="s">
        <v>256</v>
      </c>
      <c r="E107" s="227" t="s">
        <v>183</v>
      </c>
      <c r="F107" s="227" t="s">
        <v>195</v>
      </c>
      <c r="G107" s="228" t="s">
        <v>239</v>
      </c>
      <c r="H107" s="227" t="s">
        <v>187</v>
      </c>
      <c r="I107" s="227" t="s">
        <v>193</v>
      </c>
      <c r="J107" s="229">
        <v>6.0</v>
      </c>
      <c r="K107" s="230">
        <v>3.0</v>
      </c>
      <c r="L107" s="231">
        <f>IF(AND(J107&gt;K107,J108&gt;K108),2,IF(J107&gt;K107,1,IF(J108&gt;K108,1,0)))</f>
        <v>1</v>
      </c>
      <c r="M107" s="231">
        <f>IF(AND(K107&gt;J107,K108&gt;J108),2,IF(K107&gt;J107,1,IF(K108&gt;J108,1,0)))</f>
        <v>1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3.0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258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32</v>
      </c>
      <c r="K110" s="242">
        <f t="shared" si="8"/>
        <v>39</v>
      </c>
      <c r="L110" s="241">
        <f t="shared" si="8"/>
        <v>3</v>
      </c>
      <c r="M110" s="243">
        <f t="shared" si="8"/>
        <v>5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259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64</v>
      </c>
      <c r="K112" s="249">
        <f t="shared" si="9"/>
        <v>73</v>
      </c>
      <c r="L112" s="250">
        <f t="shared" si="9"/>
        <v>7</v>
      </c>
      <c r="M112" s="251">
        <f t="shared" si="9"/>
        <v>9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276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277</v>
      </c>
      <c r="F11" s="112"/>
      <c r="G11" s="219" t="s">
        <v>239</v>
      </c>
      <c r="H11" s="220" t="s">
        <v>278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63"/>
      <c r="D12" s="111"/>
      <c r="E12" s="111"/>
      <c r="F12" s="111"/>
      <c r="G12" s="111"/>
      <c r="H12" s="111"/>
      <c r="I12" s="111"/>
      <c r="J12" s="111"/>
      <c r="K12" s="111"/>
      <c r="L12" s="111"/>
      <c r="M12" s="222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248</v>
      </c>
      <c r="E13" s="227" t="s">
        <v>166</v>
      </c>
      <c r="F13" s="227" t="s">
        <v>279</v>
      </c>
      <c r="G13" s="228" t="s">
        <v>239</v>
      </c>
      <c r="H13" s="227" t="s">
        <v>169</v>
      </c>
      <c r="I13" s="227" t="s">
        <v>181</v>
      </c>
      <c r="J13" s="229">
        <v>7.0</v>
      </c>
      <c r="K13" s="230">
        <v>5.0</v>
      </c>
      <c r="L13" s="231">
        <f>IF(AND(J13&gt;K13,J14&gt;K14),2,IF(J13&gt;K13,1,IF(J14&gt;K14,1,0)))</f>
        <v>1</v>
      </c>
      <c r="M13" s="231">
        <f>IF(AND(K13&gt;J13,K14&gt;J14),2,IF(K13&gt;J13,1,IF(K14&gt;J14,1,0)))</f>
        <v>1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6.0</v>
      </c>
      <c r="K14" s="235">
        <v>7.0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246</v>
      </c>
      <c r="E16" s="227" t="s">
        <v>142</v>
      </c>
      <c r="F16" s="227" t="s">
        <v>148</v>
      </c>
      <c r="G16" s="228" t="s">
        <v>239</v>
      </c>
      <c r="H16" s="227" t="s">
        <v>145</v>
      </c>
      <c r="I16" s="227" t="s">
        <v>156</v>
      </c>
      <c r="J16" s="229">
        <v>5.0</v>
      </c>
      <c r="K16" s="230">
        <v>7.0</v>
      </c>
      <c r="L16" s="231">
        <f>IF(AND(J16&gt;K16,J17&gt;K17),2,IF(J16&gt;K16,1,IF(J17&gt;K17,1,0)))</f>
        <v>1</v>
      </c>
      <c r="M16" s="231">
        <f>IF(AND(K16&gt;J16,K17&gt;J17),2,IF(K16&gt;J16,1,IF(K17&gt;J17,1,0)))</f>
        <v>1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7.0</v>
      </c>
      <c r="K17" s="235">
        <v>5.0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243</v>
      </c>
      <c r="E19" s="227" t="s">
        <v>54</v>
      </c>
      <c r="F19" s="227" t="s">
        <v>68</v>
      </c>
      <c r="G19" s="228" t="s">
        <v>239</v>
      </c>
      <c r="H19" s="227" t="s">
        <v>266</v>
      </c>
      <c r="I19" s="227" t="s">
        <v>71</v>
      </c>
      <c r="J19" s="229">
        <v>6.0</v>
      </c>
      <c r="K19" s="230">
        <v>3.0</v>
      </c>
      <c r="L19" s="231">
        <f>IF(AND(J19&gt;K19,J20&gt;K20),2,IF(J19&gt;K19,1,IF(J20&gt;K20,1,0)))</f>
        <v>2</v>
      </c>
      <c r="M19" s="231">
        <f>IF(AND(K19&gt;J19,K20&gt;J20),2,IF(K19&gt;J19,1,IF(K20&gt;J20,1,0)))</f>
        <v>0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6.0</v>
      </c>
      <c r="K20" s="235">
        <v>4.0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242</v>
      </c>
      <c r="D22" s="238" t="s">
        <v>244</v>
      </c>
      <c r="E22" s="227" t="s">
        <v>101</v>
      </c>
      <c r="F22" s="227" t="s">
        <v>108</v>
      </c>
      <c r="G22" s="239" t="s">
        <v>239</v>
      </c>
      <c r="H22" s="227" t="s">
        <v>104</v>
      </c>
      <c r="I22" s="227" t="s">
        <v>111</v>
      </c>
      <c r="J22" s="229">
        <v>6.0</v>
      </c>
      <c r="K22" s="230">
        <v>3.0</v>
      </c>
      <c r="L22" s="231">
        <f>IF(AND(J22&gt;K22,J23&gt;K23),2,IF(J22&gt;K22,1,IF(J23&gt;K23,1,0)))</f>
        <v>2</v>
      </c>
      <c r="M22" s="231">
        <f>IF(AND(K22&gt;J22,K23&gt;J23),2,IF(K22&gt;J22,1,IF(K23&gt;J23,1,0)))</f>
        <v>0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7.0</v>
      </c>
      <c r="K23" s="235">
        <v>5.0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280</v>
      </c>
      <c r="D25" s="111"/>
      <c r="E25" s="111"/>
      <c r="F25" s="111"/>
      <c r="G25" s="111"/>
      <c r="H25" s="111"/>
      <c r="I25" s="112"/>
      <c r="J25" s="241">
        <f t="shared" ref="J25:M25" si="1">SUM(J13:J23)</f>
        <v>50</v>
      </c>
      <c r="K25" s="242">
        <f t="shared" si="1"/>
        <v>39</v>
      </c>
      <c r="L25" s="241">
        <f t="shared" si="1"/>
        <v>6</v>
      </c>
      <c r="M25" s="243">
        <f t="shared" si="1"/>
        <v>2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250</v>
      </c>
      <c r="D28" s="226" t="s">
        <v>256</v>
      </c>
      <c r="E28" s="227" t="s">
        <v>183</v>
      </c>
      <c r="F28" s="227" t="s">
        <v>189</v>
      </c>
      <c r="G28" s="228" t="s">
        <v>239</v>
      </c>
      <c r="H28" s="227" t="s">
        <v>186</v>
      </c>
      <c r="I28" s="227" t="s">
        <v>198</v>
      </c>
      <c r="J28" s="229">
        <v>4.0</v>
      </c>
      <c r="K28" s="230">
        <v>6.0</v>
      </c>
      <c r="L28" s="231">
        <f>IF(AND(J28&gt;K28,J29&gt;K29),2,IF(J28&gt;K28,1,IF(J29&gt;K29,1,0)))</f>
        <v>0</v>
      </c>
      <c r="M28" s="231">
        <f>IF(AND(K28&gt;J28,K29&gt;J29),2,IF(K28&gt;J28,1,IF(K29&gt;J29,1,0)))</f>
        <v>2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3.0</v>
      </c>
      <c r="K29" s="235">
        <v>6.0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64" t="s">
        <v>281</v>
      </c>
      <c r="D31" s="226" t="s">
        <v>269</v>
      </c>
      <c r="E31" s="227" t="s">
        <v>88</v>
      </c>
      <c r="F31" s="227" t="s">
        <v>160</v>
      </c>
      <c r="G31" s="228" t="s">
        <v>239</v>
      </c>
      <c r="H31" s="227" t="s">
        <v>97</v>
      </c>
      <c r="I31" s="227" t="s">
        <v>282</v>
      </c>
      <c r="J31" s="229">
        <v>2.0</v>
      </c>
      <c r="K31" s="230">
        <v>6.0</v>
      </c>
      <c r="L31" s="231">
        <f>IF(AND(J31&gt;K31,J32&gt;K32),2,IF(J31&gt;K31,1,IF(J32&gt;K32,1,0)))</f>
        <v>0</v>
      </c>
      <c r="M31" s="231">
        <f>IF(AND(K31&gt;J31,K32&gt;J32),2,IF(K31&gt;J31,1,IF(K32&gt;J32,1,0)))</f>
        <v>2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4.0</v>
      </c>
      <c r="K32" s="235">
        <v>6.0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64" t="s">
        <v>283</v>
      </c>
      <c r="D34" s="226" t="s">
        <v>254</v>
      </c>
      <c r="E34" s="227" t="s">
        <v>284</v>
      </c>
      <c r="F34" s="227" t="s">
        <v>82</v>
      </c>
      <c r="G34" s="228" t="s">
        <v>239</v>
      </c>
      <c r="H34" s="227" t="s">
        <v>85</v>
      </c>
      <c r="I34" s="227" t="s">
        <v>90</v>
      </c>
      <c r="J34" s="229">
        <v>4.0</v>
      </c>
      <c r="K34" s="230">
        <v>6.0</v>
      </c>
      <c r="L34" s="231">
        <f>IF(AND(J34&gt;K34,J35&gt;K35),2,IF(J34&gt;K34,1,IF(J35&gt;K35,1,0)))</f>
        <v>1</v>
      </c>
      <c r="M34" s="231">
        <f>IF(AND(K34&gt;J34,K35&gt;J35),2,IF(K34&gt;J34,1,IF(K35&gt;J35,1,0)))</f>
        <v>1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7.0</v>
      </c>
      <c r="K35" s="235">
        <v>5.0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250</v>
      </c>
      <c r="D37" s="238" t="s">
        <v>257</v>
      </c>
      <c r="E37" s="227" t="s">
        <v>135</v>
      </c>
      <c r="F37" s="227" t="s">
        <v>121</v>
      </c>
      <c r="G37" s="228" t="s">
        <v>239</v>
      </c>
      <c r="H37" s="227" t="s">
        <v>124</v>
      </c>
      <c r="I37" s="227" t="s">
        <v>138</v>
      </c>
      <c r="J37" s="229">
        <v>6.0</v>
      </c>
      <c r="K37" s="230">
        <v>2.0</v>
      </c>
      <c r="L37" s="231">
        <f>IF(AND(J37&gt;K37,J38&gt;K38),2,IF(J37&gt;K37,1,IF(J38&gt;K38,1,0)))</f>
        <v>2</v>
      </c>
      <c r="M37" s="231">
        <f>IF(AND(K37&gt;J37,K38&gt;J38),2,IF(K37&gt;J37,1,IF(K38&gt;J38,1,0)))</f>
        <v>0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7.0</v>
      </c>
      <c r="K38" s="235">
        <v>5.0</v>
      </c>
      <c r="L38" s="233"/>
      <c r="M38" s="233"/>
      <c r="N38" s="257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285</v>
      </c>
      <c r="D40" s="111"/>
      <c r="E40" s="111"/>
      <c r="F40" s="111"/>
      <c r="G40" s="111"/>
      <c r="H40" s="111"/>
      <c r="I40" s="112"/>
      <c r="J40" s="241">
        <f t="shared" ref="J40:M40" si="2">SUM(J28:J38)</f>
        <v>37</v>
      </c>
      <c r="K40" s="242">
        <f t="shared" si="2"/>
        <v>42</v>
      </c>
      <c r="L40" s="241">
        <f t="shared" si="2"/>
        <v>3</v>
      </c>
      <c r="M40" s="243">
        <f t="shared" si="2"/>
        <v>5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286</v>
      </c>
      <c r="D42" s="111"/>
      <c r="E42" s="111"/>
      <c r="F42" s="111"/>
      <c r="G42" s="111"/>
      <c r="H42" s="111"/>
      <c r="I42" s="112"/>
      <c r="J42" s="248">
        <f t="shared" ref="J42:M42" si="3">J40+J25</f>
        <v>87</v>
      </c>
      <c r="K42" s="249">
        <f t="shared" si="3"/>
        <v>81</v>
      </c>
      <c r="L42" s="250">
        <f t="shared" si="3"/>
        <v>9</v>
      </c>
      <c r="M42" s="251">
        <f t="shared" si="3"/>
        <v>7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287</v>
      </c>
      <c r="F46" s="112"/>
      <c r="G46" s="219" t="s">
        <v>239</v>
      </c>
      <c r="H46" s="220" t="s">
        <v>288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269</v>
      </c>
      <c r="E48" s="227" t="s">
        <v>45</v>
      </c>
      <c r="F48" s="227" t="s">
        <v>141</v>
      </c>
      <c r="G48" s="228" t="s">
        <v>239</v>
      </c>
      <c r="H48" s="227" t="s">
        <v>79</v>
      </c>
      <c r="I48" s="227" t="s">
        <v>151</v>
      </c>
      <c r="J48" s="229">
        <v>6.0</v>
      </c>
      <c r="K48" s="230">
        <v>4.0</v>
      </c>
      <c r="L48" s="231">
        <f>IF(AND(J48&gt;K48,J49&gt;K49),2,IF(J48&gt;K48,1,IF(J49&gt;K49,1,0)))</f>
        <v>1</v>
      </c>
      <c r="M48" s="231">
        <f>IF(AND(K48&gt;J48,K49&gt;J49),2,IF(K48&gt;J48,1,IF(K49&gt;J49,1,0)))</f>
        <v>1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4.0</v>
      </c>
      <c r="K49" s="235">
        <v>6.0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254</v>
      </c>
      <c r="E51" s="227" t="s">
        <v>81</v>
      </c>
      <c r="F51" s="227" t="s">
        <v>93</v>
      </c>
      <c r="G51" s="228" t="s">
        <v>239</v>
      </c>
      <c r="H51" s="227" t="s">
        <v>86</v>
      </c>
      <c r="I51" s="227" t="s">
        <v>91</v>
      </c>
      <c r="J51" s="229">
        <v>5.0</v>
      </c>
      <c r="K51" s="230">
        <v>7.0</v>
      </c>
      <c r="L51" s="231">
        <f>IF(AND(J51&gt;K51,J52&gt;K52),2,IF(J51&gt;K51,1,IF(J52&gt;K52,1,0)))</f>
        <v>0</v>
      </c>
      <c r="M51" s="231">
        <f>IF(AND(K51&gt;J51,K52&gt;J52),2,IF(K51&gt;J51,1,IF(K52&gt;J52,1,0)))</f>
        <v>2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4.0</v>
      </c>
      <c r="K52" s="235">
        <v>6.0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243</v>
      </c>
      <c r="E54" s="227" t="s">
        <v>289</v>
      </c>
      <c r="F54" s="227" t="s">
        <v>67</v>
      </c>
      <c r="G54" s="228" t="s">
        <v>239</v>
      </c>
      <c r="H54" s="227" t="s">
        <v>58</v>
      </c>
      <c r="I54" s="227" t="s">
        <v>65</v>
      </c>
      <c r="J54" s="229">
        <v>1.0</v>
      </c>
      <c r="K54" s="230">
        <v>6.0</v>
      </c>
      <c r="L54" s="231">
        <f>IF(AND(J54&gt;K54,J55&gt;K55),2,IF(J54&gt;K54,1,IF(J55&gt;K55,1,0)))</f>
        <v>1</v>
      </c>
      <c r="M54" s="231">
        <f>IF(AND(K54&gt;J54,K55&gt;J55),2,IF(K54&gt;J54,1,IF(K55&gt;J55,1,0)))</f>
        <v>1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6.0</v>
      </c>
      <c r="K55" s="235">
        <v>4.0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248</v>
      </c>
      <c r="E57" s="227" t="s">
        <v>171</v>
      </c>
      <c r="F57" s="227" t="s">
        <v>177</v>
      </c>
      <c r="G57" s="239" t="s">
        <v>239</v>
      </c>
      <c r="H57" s="227" t="s">
        <v>170</v>
      </c>
      <c r="I57" s="227" t="s">
        <v>176</v>
      </c>
      <c r="J57" s="229">
        <v>0.0</v>
      </c>
      <c r="K57" s="230">
        <v>6.0</v>
      </c>
      <c r="L57" s="231">
        <f>IF(AND(J57&gt;K57,J58&gt;K58),2,IF(J57&gt;K57,1,IF(J58&gt;K58,1,0)))</f>
        <v>0</v>
      </c>
      <c r="M57" s="231">
        <f>IF(AND(K57&gt;J57,K58&gt;J58),2,IF(K57&gt;J57,1,IF(K58&gt;J58,1,0)))</f>
        <v>2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1.0</v>
      </c>
      <c r="K58" s="235">
        <v>6.0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37"/>
      <c r="D59" s="111"/>
      <c r="E59" s="111"/>
      <c r="F59" s="111"/>
      <c r="G59" s="111"/>
      <c r="H59" s="111"/>
      <c r="I59" s="111"/>
      <c r="J59" s="111"/>
      <c r="K59" s="111"/>
      <c r="L59" s="111"/>
      <c r="M59" s="222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280</v>
      </c>
      <c r="D60" s="111"/>
      <c r="E60" s="111"/>
      <c r="F60" s="111"/>
      <c r="G60" s="111"/>
      <c r="H60" s="111"/>
      <c r="I60" s="112"/>
      <c r="J60" s="241">
        <f t="shared" ref="J60:M60" si="4">SUM(J48:J58)</f>
        <v>27</v>
      </c>
      <c r="K60" s="242">
        <f t="shared" si="4"/>
        <v>45</v>
      </c>
      <c r="L60" s="241">
        <f t="shared" si="4"/>
        <v>2</v>
      </c>
      <c r="M60" s="243">
        <f t="shared" si="4"/>
        <v>6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257</v>
      </c>
      <c r="E63" s="227" t="s">
        <v>127</v>
      </c>
      <c r="F63" s="227" t="s">
        <v>134</v>
      </c>
      <c r="G63" s="228" t="s">
        <v>239</v>
      </c>
      <c r="H63" s="227" t="s">
        <v>125</v>
      </c>
      <c r="I63" s="227" t="s">
        <v>132</v>
      </c>
      <c r="J63" s="229">
        <v>3.0</v>
      </c>
      <c r="K63" s="230">
        <v>6.0</v>
      </c>
      <c r="L63" s="231">
        <f>IF(AND(J63&gt;K63,J64&gt;K64),2,IF(J63&gt;K63,1,IF(J64&gt;K64,1,0)))</f>
        <v>0</v>
      </c>
      <c r="M63" s="231">
        <f>IF(AND(K63&gt;J63,K64&gt;J64),2,IF(K63&gt;J63,1,IF(K64&gt;J64,1,0)))</f>
        <v>2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3.0</v>
      </c>
      <c r="K64" s="235">
        <v>6.0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64" t="s">
        <v>253</v>
      </c>
      <c r="D66" s="226" t="s">
        <v>244</v>
      </c>
      <c r="E66" s="227" t="s">
        <v>107</v>
      </c>
      <c r="F66" s="227" t="s">
        <v>114</v>
      </c>
      <c r="G66" s="239" t="s">
        <v>239</v>
      </c>
      <c r="H66" s="227" t="s">
        <v>112</v>
      </c>
      <c r="I66" s="227" t="s">
        <v>118</v>
      </c>
      <c r="J66" s="229">
        <v>1.0</v>
      </c>
      <c r="K66" s="230">
        <v>6.0</v>
      </c>
      <c r="L66" s="231">
        <f>IF(AND(J66&gt;K66,J67&gt;K67),2,IF(J66&gt;K66,1,IF(J67&gt;K67,1,0)))</f>
        <v>0</v>
      </c>
      <c r="M66" s="231">
        <f>IF(AND(K66&gt;J66,K67&gt;J67),2,IF(K66&gt;J66,1,IF(K67&gt;J67,1,0)))</f>
        <v>2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4.0</v>
      </c>
      <c r="K67" s="235">
        <v>6.0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255</v>
      </c>
      <c r="D69" s="226" t="s">
        <v>246</v>
      </c>
      <c r="E69" s="227" t="s">
        <v>147</v>
      </c>
      <c r="F69" s="227" t="s">
        <v>152</v>
      </c>
      <c r="G69" s="228" t="s">
        <v>239</v>
      </c>
      <c r="H69" s="227" t="s">
        <v>157</v>
      </c>
      <c r="I69" s="227" t="s">
        <v>164</v>
      </c>
      <c r="J69" s="229">
        <v>6.0</v>
      </c>
      <c r="K69" s="230">
        <v>7.0</v>
      </c>
      <c r="L69" s="231">
        <f>IF(AND(J69&gt;K69,J70&gt;K70),2,IF(J69&gt;K69,1,IF(J70&gt;K70,1,0)))</f>
        <v>1</v>
      </c>
      <c r="M69" s="231">
        <f>IF(AND(K69&gt;J69,K70&gt;J70),2,IF(K69&gt;J69,1,IF(K70&gt;J70,1,0)))</f>
        <v>1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6.0</v>
      </c>
      <c r="K70" s="235">
        <v>3.0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64" t="s">
        <v>290</v>
      </c>
      <c r="D72" s="238" t="s">
        <v>256</v>
      </c>
      <c r="E72" s="227" t="s">
        <v>182</v>
      </c>
      <c r="F72" s="227" t="s">
        <v>188</v>
      </c>
      <c r="G72" s="228" t="s">
        <v>239</v>
      </c>
      <c r="H72" s="227" t="s">
        <v>187</v>
      </c>
      <c r="I72" s="227" t="s">
        <v>199</v>
      </c>
      <c r="J72" s="229">
        <v>2.0</v>
      </c>
      <c r="K72" s="230">
        <v>6.0</v>
      </c>
      <c r="L72" s="231">
        <f>IF(AND(J72&gt;K72,J73&gt;K73),2,IF(J72&gt;K72,1,IF(J73&gt;K73,1,0)))</f>
        <v>1</v>
      </c>
      <c r="M72" s="231">
        <f>IF(AND(K72&gt;J72,K73&gt;J73),2,IF(K72&gt;J72,1,IF(K73&gt;J73,1,0)))</f>
        <v>1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6.0</v>
      </c>
      <c r="K73" s="235">
        <v>1.0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285</v>
      </c>
      <c r="D75" s="111"/>
      <c r="E75" s="111"/>
      <c r="F75" s="111"/>
      <c r="G75" s="111"/>
      <c r="H75" s="111"/>
      <c r="I75" s="112"/>
      <c r="J75" s="241">
        <f t="shared" ref="J75:M75" si="5">SUM(J63:J73)</f>
        <v>31</v>
      </c>
      <c r="K75" s="242">
        <f t="shared" si="5"/>
        <v>41</v>
      </c>
      <c r="L75" s="241">
        <f t="shared" si="5"/>
        <v>2</v>
      </c>
      <c r="M75" s="243">
        <f t="shared" si="5"/>
        <v>6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286</v>
      </c>
      <c r="D77" s="111"/>
      <c r="E77" s="111"/>
      <c r="F77" s="111"/>
      <c r="G77" s="111"/>
      <c r="H77" s="111"/>
      <c r="I77" s="112"/>
      <c r="J77" s="248">
        <f t="shared" ref="J77:M77" si="6">J75+J60</f>
        <v>58</v>
      </c>
      <c r="K77" s="249">
        <f t="shared" si="6"/>
        <v>86</v>
      </c>
      <c r="L77" s="250">
        <f t="shared" si="6"/>
        <v>4</v>
      </c>
      <c r="M77" s="251">
        <f t="shared" si="6"/>
        <v>12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291</v>
      </c>
      <c r="F81" s="112"/>
      <c r="G81" s="219" t="s">
        <v>239</v>
      </c>
      <c r="H81" s="220" t="s">
        <v>292</v>
      </c>
      <c r="I81" s="112"/>
      <c r="J81" s="221" t="s">
        <v>240</v>
      </c>
      <c r="K81" s="112"/>
      <c r="L81" s="221" t="s">
        <v>241</v>
      </c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63"/>
      <c r="D82" s="111"/>
      <c r="E82" s="111"/>
      <c r="F82" s="111"/>
      <c r="G82" s="111"/>
      <c r="H82" s="111"/>
      <c r="I82" s="111"/>
      <c r="J82" s="111"/>
      <c r="K82" s="111"/>
      <c r="L82" s="111"/>
      <c r="M82" s="222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269</v>
      </c>
      <c r="E83" s="227" t="s">
        <v>89</v>
      </c>
      <c r="F83" s="227" t="s">
        <v>293</v>
      </c>
      <c r="G83" s="228" t="s">
        <v>239</v>
      </c>
      <c r="H83" s="227" t="s">
        <v>96</v>
      </c>
      <c r="I83" s="227" t="s">
        <v>144</v>
      </c>
      <c r="J83" s="229">
        <v>6.0</v>
      </c>
      <c r="K83" s="230">
        <v>4.0</v>
      </c>
      <c r="L83" s="231">
        <f>IF(AND(J83&gt;K83,J84&gt;K84),2,IF(J83&gt;K83,1,IF(J84&gt;K84,1,0)))</f>
        <v>2</v>
      </c>
      <c r="M83" s="231">
        <f>IF(AND(K83&gt;J83,K84&gt;J84),2,IF(K83&gt;J83,1,IF(K84&gt;J84,1,0)))</f>
        <v>0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6.0</v>
      </c>
      <c r="K84" s="235">
        <v>1.0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248</v>
      </c>
      <c r="E86" s="227" t="s">
        <v>173</v>
      </c>
      <c r="F86" s="227" t="s">
        <v>167</v>
      </c>
      <c r="G86" s="228" t="s">
        <v>239</v>
      </c>
      <c r="H86" s="227" t="s">
        <v>168</v>
      </c>
      <c r="I86" s="227" t="s">
        <v>180</v>
      </c>
      <c r="J86" s="229">
        <v>6.0</v>
      </c>
      <c r="K86" s="230">
        <v>1.0</v>
      </c>
      <c r="L86" s="231">
        <f>IF(AND(J86&gt;K86,J87&gt;K87),2,IF(J86&gt;K86,1,IF(J87&gt;K87,1,0)))</f>
        <v>2</v>
      </c>
      <c r="M86" s="231">
        <f>IF(AND(K86&gt;J86,K87&gt;J87),2,IF(K86&gt;J86,1,IF(K87&gt;J87,1,0)))</f>
        <v>0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0.0</v>
      </c>
      <c r="L87" s="233"/>
      <c r="M87" s="233"/>
      <c r="N87" s="25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244</v>
      </c>
      <c r="E89" s="227" t="s">
        <v>102</v>
      </c>
      <c r="F89" s="227" t="s">
        <v>109</v>
      </c>
      <c r="G89" s="228" t="s">
        <v>239</v>
      </c>
      <c r="H89" s="227" t="s">
        <v>103</v>
      </c>
      <c r="I89" s="227" t="s">
        <v>117</v>
      </c>
      <c r="J89" s="229">
        <v>2.0</v>
      </c>
      <c r="K89" s="230">
        <v>6.0</v>
      </c>
      <c r="L89" s="231">
        <f>IF(AND(J89&gt;K89,J90&gt;K90),2,IF(J89&gt;K89,1,IF(J90&gt;K90,1,0)))</f>
        <v>0</v>
      </c>
      <c r="M89" s="231">
        <f>IF(AND(K89&gt;J89,K90&gt;J90),2,IF(K89&gt;J89,1,IF(K90&gt;J90,1,0)))</f>
        <v>2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3.0</v>
      </c>
      <c r="K90" s="235">
        <v>6.0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 t="s">
        <v>245</v>
      </c>
      <c r="D92" s="238" t="s">
        <v>257</v>
      </c>
      <c r="E92" s="227" t="s">
        <v>122</v>
      </c>
      <c r="F92" s="227" t="s">
        <v>294</v>
      </c>
      <c r="G92" s="228" t="s">
        <v>239</v>
      </c>
      <c r="H92" s="227" t="s">
        <v>123</v>
      </c>
      <c r="I92" s="227" t="s">
        <v>137</v>
      </c>
      <c r="J92" s="229">
        <v>6.0</v>
      </c>
      <c r="K92" s="230">
        <v>3.0</v>
      </c>
      <c r="L92" s="231">
        <f>IF(AND(J92&gt;K92,J93&gt;K93),2,IF(J92&gt;K92,1,IF(J93&gt;K93,1,0)))</f>
        <v>2</v>
      </c>
      <c r="M92" s="231">
        <f>IF(AND(K92&gt;J92,K93&gt;J93),2,IF(K92&gt;J92,1,IF(K93&gt;J93,1,0)))</f>
        <v>0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2.0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37"/>
      <c r="D94" s="111"/>
      <c r="E94" s="111"/>
      <c r="F94" s="111"/>
      <c r="G94" s="111"/>
      <c r="H94" s="111"/>
      <c r="I94" s="111"/>
      <c r="J94" s="111"/>
      <c r="K94" s="111"/>
      <c r="L94" s="111"/>
      <c r="M94" s="222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280</v>
      </c>
      <c r="D95" s="111"/>
      <c r="E95" s="111"/>
      <c r="F95" s="111"/>
      <c r="G95" s="111"/>
      <c r="H95" s="111"/>
      <c r="I95" s="112"/>
      <c r="J95" s="241">
        <f t="shared" ref="J95:M95" si="7">SUM(J83:J93)</f>
        <v>41</v>
      </c>
      <c r="K95" s="242">
        <f t="shared" si="7"/>
        <v>23</v>
      </c>
      <c r="L95" s="241">
        <f t="shared" si="7"/>
        <v>6</v>
      </c>
      <c r="M95" s="243">
        <f t="shared" si="7"/>
        <v>2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256</v>
      </c>
      <c r="E98" s="227" t="s">
        <v>184</v>
      </c>
      <c r="F98" s="227" t="s">
        <v>196</v>
      </c>
      <c r="G98" s="228" t="s">
        <v>239</v>
      </c>
      <c r="H98" s="227" t="s">
        <v>185</v>
      </c>
      <c r="I98" s="227" t="s">
        <v>197</v>
      </c>
      <c r="J98" s="229">
        <v>3.0</v>
      </c>
      <c r="K98" s="230">
        <v>6.0</v>
      </c>
      <c r="L98" s="231">
        <f>IF(AND(J98&gt;K98,J99&gt;K99),2,IF(J98&gt;K98,1,IF(J99&gt;K99,1,0)))</f>
        <v>1</v>
      </c>
      <c r="M98" s="231">
        <f>IF(AND(K98&gt;J98,K99&gt;J99),2,IF(K98&gt;J98,1,IF(K99&gt;J99,1,0)))</f>
        <v>1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6.0</v>
      </c>
      <c r="K99" s="235">
        <v>4.0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246</v>
      </c>
      <c r="E101" s="227" t="s">
        <v>252</v>
      </c>
      <c r="F101" s="227" t="s">
        <v>161</v>
      </c>
      <c r="G101" s="228" t="s">
        <v>239</v>
      </c>
      <c r="H101" s="227" t="s">
        <v>155</v>
      </c>
      <c r="I101" s="227" t="s">
        <v>149</v>
      </c>
      <c r="J101" s="229">
        <v>7.0</v>
      </c>
      <c r="K101" s="230">
        <v>5.0</v>
      </c>
      <c r="L101" s="231">
        <f>IF(AND(J101&gt;K101,J102&gt;K102),2,IF(J101&gt;K101,1,IF(J102&gt;K102,1,0)))</f>
        <v>2</v>
      </c>
      <c r="M101" s="231">
        <f>IF(AND(K101&gt;J101,K102&gt;J102),2,IF(K101&gt;J101,1,IF(K102&gt;J102,1,0)))</f>
        <v>0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6.0</v>
      </c>
      <c r="K102" s="235">
        <v>4.0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255</v>
      </c>
      <c r="D104" s="226" t="s">
        <v>254</v>
      </c>
      <c r="E104" s="227" t="s">
        <v>295</v>
      </c>
      <c r="F104" s="227" t="s">
        <v>95</v>
      </c>
      <c r="G104" s="228" t="s">
        <v>239</v>
      </c>
      <c r="H104" s="227" t="s">
        <v>48</v>
      </c>
      <c r="I104" s="227" t="s">
        <v>267</v>
      </c>
      <c r="J104" s="229">
        <v>6.0</v>
      </c>
      <c r="K104" s="230">
        <v>4.0</v>
      </c>
      <c r="L104" s="231">
        <f>IF(AND(J104&gt;K104,J105&gt;K105),2,IF(J104&gt;K104,1,IF(J105&gt;K105,1,0)))</f>
        <v>1</v>
      </c>
      <c r="M104" s="231">
        <f>IF(AND(K104&gt;J104,K105&gt;J105),2,IF(K104&gt;J104,1,IF(K105&gt;J105,1,0)))</f>
        <v>1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3.0</v>
      </c>
      <c r="K105" s="235">
        <v>6.0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64" t="s">
        <v>296</v>
      </c>
      <c r="D107" s="238" t="s">
        <v>243</v>
      </c>
      <c r="E107" s="227" t="s">
        <v>55</v>
      </c>
      <c r="F107" s="227" t="s">
        <v>297</v>
      </c>
      <c r="G107" s="228" t="s">
        <v>239</v>
      </c>
      <c r="H107" s="227" t="s">
        <v>56</v>
      </c>
      <c r="I107" s="227" t="s">
        <v>265</v>
      </c>
      <c r="J107" s="229">
        <v>7.0</v>
      </c>
      <c r="K107" s="230">
        <v>5.0</v>
      </c>
      <c r="L107" s="231">
        <f>IF(AND(J107&gt;K107,J108&gt;K108),2,IF(J107&gt;K107,1,IF(J108&gt;K108,1,0)))</f>
        <v>1</v>
      </c>
      <c r="M107" s="231">
        <f>IF(AND(K107&gt;J107,K108&gt;J108),2,IF(K107&gt;J107,1,IF(K108&gt;J108,1,0)))</f>
        <v>1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1.0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285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39</v>
      </c>
      <c r="K110" s="242">
        <f t="shared" si="8"/>
        <v>40</v>
      </c>
      <c r="L110" s="241">
        <f t="shared" si="8"/>
        <v>5</v>
      </c>
      <c r="M110" s="243">
        <f t="shared" si="8"/>
        <v>3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286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80</v>
      </c>
      <c r="K112" s="249">
        <f t="shared" si="9"/>
        <v>63</v>
      </c>
      <c r="L112" s="250">
        <f t="shared" si="9"/>
        <v>11</v>
      </c>
      <c r="M112" s="251">
        <f t="shared" si="9"/>
        <v>5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57" t="s">
        <v>298</v>
      </c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299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19</v>
      </c>
      <c r="F11" s="112"/>
      <c r="G11" s="219" t="s">
        <v>239</v>
      </c>
      <c r="H11" s="220" t="s">
        <v>22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269</v>
      </c>
      <c r="E13" s="227" t="s">
        <v>89</v>
      </c>
      <c r="F13" s="227" t="s">
        <v>161</v>
      </c>
      <c r="G13" s="228" t="s">
        <v>239</v>
      </c>
      <c r="H13" s="227" t="s">
        <v>79</v>
      </c>
      <c r="I13" s="227" t="s">
        <v>164</v>
      </c>
      <c r="J13" s="229">
        <v>2.0</v>
      </c>
      <c r="K13" s="230">
        <v>6.0</v>
      </c>
      <c r="L13" s="231">
        <f>IF(AND(J13&gt;K13,J14&gt;K14),2,IF(J13&gt;K13,1,IF(J14&gt;K14,1,0)))</f>
        <v>0</v>
      </c>
      <c r="M13" s="231">
        <f>IF(AND(K13&gt;J13,K14&gt;J14),2,IF(K13&gt;J13,1,IF(K14&gt;J14,1,0)))</f>
        <v>2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3.0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257</v>
      </c>
      <c r="E16" s="227" t="s">
        <v>294</v>
      </c>
      <c r="F16" s="227" t="s">
        <v>136</v>
      </c>
      <c r="G16" s="228" t="s">
        <v>239</v>
      </c>
      <c r="H16" s="227" t="s">
        <v>125</v>
      </c>
      <c r="I16" s="227" t="s">
        <v>132</v>
      </c>
      <c r="J16" s="229">
        <v>2.0</v>
      </c>
      <c r="K16" s="230">
        <v>6.0</v>
      </c>
      <c r="L16" s="231">
        <f>IF(AND(J16&gt;K16,J17&gt;K17),2,IF(J16&gt;K16,1,IF(J17&gt;K17,1,0)))</f>
        <v>0</v>
      </c>
      <c r="M16" s="231">
        <f>IF(AND(K16&gt;J16,K17&gt;J17),2,IF(K16&gt;J16,1,IF(K17&gt;J17,1,0)))</f>
        <v>2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1.0</v>
      </c>
      <c r="K17" s="235">
        <v>6.0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243</v>
      </c>
      <c r="E19" s="227" t="s">
        <v>55</v>
      </c>
      <c r="F19" s="227" t="s">
        <v>69</v>
      </c>
      <c r="G19" s="228" t="s">
        <v>239</v>
      </c>
      <c r="H19" s="227" t="s">
        <v>72</v>
      </c>
      <c r="I19" s="227" t="s">
        <v>65</v>
      </c>
      <c r="J19" s="229">
        <v>3.0</v>
      </c>
      <c r="K19" s="230">
        <v>6.0</v>
      </c>
      <c r="L19" s="231">
        <f>IF(AND(J19&gt;K19,J20&gt;K20),2,IF(J19&gt;K19,1,IF(J20&gt;K20,1,0)))</f>
        <v>0</v>
      </c>
      <c r="M19" s="231">
        <f>IF(AND(K19&gt;J19,K20&gt;J20),2,IF(K19&gt;J19,1,IF(K20&gt;J20,1,0)))</f>
        <v>2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1.0</v>
      </c>
      <c r="K20" s="235">
        <v>6.0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245</v>
      </c>
      <c r="D22" s="238" t="s">
        <v>246</v>
      </c>
      <c r="E22" s="227" t="s">
        <v>252</v>
      </c>
      <c r="F22" s="227" t="s">
        <v>247</v>
      </c>
      <c r="G22" s="239" t="s">
        <v>239</v>
      </c>
      <c r="H22" s="227" t="s">
        <v>146</v>
      </c>
      <c r="I22" s="227" t="s">
        <v>151</v>
      </c>
      <c r="J22" s="229">
        <v>2.0</v>
      </c>
      <c r="K22" s="230">
        <v>6.0</v>
      </c>
      <c r="L22" s="231">
        <f>IF(AND(J22&gt;K22,J23&gt;K23),2,IF(J22&gt;K22,1,IF(J23&gt;K23,1,0)))</f>
        <v>0</v>
      </c>
      <c r="M22" s="231">
        <f>IF(AND(K22&gt;J22,K23&gt;J23),2,IF(K22&gt;J22,1,IF(K23&gt;J23,1,0)))</f>
        <v>2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2.0</v>
      </c>
      <c r="K23" s="235">
        <v>6.0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300</v>
      </c>
      <c r="D25" s="111"/>
      <c r="E25" s="111"/>
      <c r="F25" s="111"/>
      <c r="G25" s="111"/>
      <c r="H25" s="111"/>
      <c r="I25" s="112"/>
      <c r="J25" s="241">
        <f t="shared" ref="J25:M25" si="1">SUM(J13:J23)</f>
        <v>16</v>
      </c>
      <c r="K25" s="242">
        <f t="shared" si="1"/>
        <v>48</v>
      </c>
      <c r="L25" s="241">
        <f t="shared" si="1"/>
        <v>0</v>
      </c>
      <c r="M25" s="243">
        <f t="shared" si="1"/>
        <v>8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250</v>
      </c>
      <c r="D28" s="226" t="s">
        <v>244</v>
      </c>
      <c r="E28" s="227" t="s">
        <v>109</v>
      </c>
      <c r="F28" s="227" t="s">
        <v>116</v>
      </c>
      <c r="G28" s="228" t="s">
        <v>239</v>
      </c>
      <c r="H28" s="227" t="s">
        <v>270</v>
      </c>
      <c r="I28" s="227" t="s">
        <v>118</v>
      </c>
      <c r="J28" s="229">
        <v>5.0</v>
      </c>
      <c r="K28" s="230">
        <v>7.0</v>
      </c>
      <c r="L28" s="231">
        <f>IF(AND(J28&gt;K28,J29&gt;K29),2,IF(J28&gt;K28,1,IF(J29&gt;K29,1,0)))</f>
        <v>0</v>
      </c>
      <c r="M28" s="231">
        <f>IF(AND(K28&gt;J28,K29&gt;J29),2,IF(K28&gt;J28,1,IF(K29&gt;J29,1,0)))</f>
        <v>2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2.0</v>
      </c>
      <c r="K29" s="235">
        <v>6.0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25" t="s">
        <v>253</v>
      </c>
      <c r="D31" s="226" t="s">
        <v>256</v>
      </c>
      <c r="E31" s="227" t="s">
        <v>184</v>
      </c>
      <c r="F31" s="227" t="s">
        <v>190</v>
      </c>
      <c r="G31" s="228" t="s">
        <v>239</v>
      </c>
      <c r="H31" s="227" t="s">
        <v>187</v>
      </c>
      <c r="I31" s="227" t="s">
        <v>193</v>
      </c>
      <c r="J31" s="229">
        <v>6.0</v>
      </c>
      <c r="K31" s="230">
        <v>2.0</v>
      </c>
      <c r="L31" s="231">
        <f>IF(AND(J31&gt;K31,J32&gt;K32),2,IF(J31&gt;K31,1,IF(J32&gt;K32,1,0)))</f>
        <v>1</v>
      </c>
      <c r="M31" s="231">
        <f>IF(AND(K31&gt;J31,K32&gt;J32),2,IF(K31&gt;J31,1,IF(K32&gt;J32,1,0)))</f>
        <v>1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4.0</v>
      </c>
      <c r="K32" s="235">
        <v>6.0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25" t="s">
        <v>255</v>
      </c>
      <c r="D34" s="226" t="s">
        <v>248</v>
      </c>
      <c r="E34" s="227" t="s">
        <v>179</v>
      </c>
      <c r="F34" s="227" t="s">
        <v>167</v>
      </c>
      <c r="G34" s="228" t="s">
        <v>239</v>
      </c>
      <c r="H34" s="227" t="s">
        <v>50</v>
      </c>
      <c r="I34" s="227" t="s">
        <v>176</v>
      </c>
      <c r="J34" s="229">
        <v>7.0</v>
      </c>
      <c r="K34" s="230">
        <v>5.0</v>
      </c>
      <c r="L34" s="231">
        <f>IF(AND(J34&gt;K34,J35&gt;K35),2,IF(J34&gt;K34,1,IF(J35&gt;K35,1,0)))</f>
        <v>1</v>
      </c>
      <c r="M34" s="231">
        <f>IF(AND(K34&gt;J34,K35&gt;J35),2,IF(K34&gt;J34,1,IF(K35&gt;J35,1,0)))</f>
        <v>1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4.0</v>
      </c>
      <c r="K35" s="235">
        <v>6.0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301</v>
      </c>
      <c r="D37" s="238" t="s">
        <v>254</v>
      </c>
      <c r="E37" s="227" t="s">
        <v>76</v>
      </c>
      <c r="F37" s="227" t="s">
        <v>95</v>
      </c>
      <c r="G37" s="228" t="s">
        <v>239</v>
      </c>
      <c r="H37" s="227" t="s">
        <v>91</v>
      </c>
      <c r="I37" s="227" t="s">
        <v>98</v>
      </c>
      <c r="J37" s="229">
        <v>4.0</v>
      </c>
      <c r="K37" s="230">
        <v>6.0</v>
      </c>
      <c r="L37" s="231">
        <f>IF(AND(J37&gt;K37,J38&gt;K38),2,IF(J37&gt;K37,1,IF(J38&gt;K38,1,0)))</f>
        <v>1</v>
      </c>
      <c r="M37" s="231">
        <f>IF(AND(K37&gt;J37,K38&gt;J38),2,IF(K37&gt;J37,1,IF(K38&gt;J38,1,0)))</f>
        <v>1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6.0</v>
      </c>
      <c r="K38" s="235">
        <v>3.0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302</v>
      </c>
      <c r="D40" s="111"/>
      <c r="E40" s="111"/>
      <c r="F40" s="111"/>
      <c r="G40" s="111"/>
      <c r="H40" s="111"/>
      <c r="I40" s="112"/>
      <c r="J40" s="241">
        <f t="shared" ref="J40:M40" si="2">SUM(J28:J38)</f>
        <v>38</v>
      </c>
      <c r="K40" s="242">
        <f t="shared" si="2"/>
        <v>41</v>
      </c>
      <c r="L40" s="241">
        <f t="shared" si="2"/>
        <v>3</v>
      </c>
      <c r="M40" s="243">
        <f t="shared" si="2"/>
        <v>5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303</v>
      </c>
      <c r="D42" s="111"/>
      <c r="E42" s="111"/>
      <c r="F42" s="111"/>
      <c r="G42" s="111"/>
      <c r="H42" s="111"/>
      <c r="I42" s="112"/>
      <c r="J42" s="248">
        <f t="shared" ref="J42:M42" si="3">J40+J25</f>
        <v>54</v>
      </c>
      <c r="K42" s="249">
        <f t="shared" si="3"/>
        <v>89</v>
      </c>
      <c r="L42" s="250">
        <f t="shared" si="3"/>
        <v>3</v>
      </c>
      <c r="M42" s="251">
        <f t="shared" si="3"/>
        <v>13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261</v>
      </c>
      <c r="F46" s="112"/>
      <c r="G46" s="219" t="s">
        <v>239</v>
      </c>
      <c r="H46" s="220" t="s">
        <v>18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256</v>
      </c>
      <c r="E48" s="227" t="s">
        <v>191</v>
      </c>
      <c r="F48" s="227" t="s">
        <v>197</v>
      </c>
      <c r="G48" s="228" t="s">
        <v>239</v>
      </c>
      <c r="H48" s="227" t="s">
        <v>189</v>
      </c>
      <c r="I48" s="227" t="s">
        <v>195</v>
      </c>
      <c r="J48" s="229">
        <v>6.0</v>
      </c>
      <c r="K48" s="230">
        <v>0.0</v>
      </c>
      <c r="L48" s="231">
        <f>IF(AND(J48&gt;K48,J49&gt;K49),2,IF(J48&gt;K48,1,IF(J49&gt;K49,1,0)))</f>
        <v>2</v>
      </c>
      <c r="M48" s="231">
        <f>IF(AND(K48&gt;J48,K49&gt;J49),2,IF(K48&gt;J48,1,IF(K49&gt;J49,1,0)))</f>
        <v>0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6.0</v>
      </c>
      <c r="K49" s="235">
        <v>2.0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244</v>
      </c>
      <c r="E51" s="227" t="s">
        <v>103</v>
      </c>
      <c r="F51" s="227" t="s">
        <v>110</v>
      </c>
      <c r="G51" s="228" t="s">
        <v>239</v>
      </c>
      <c r="H51" s="227" t="s">
        <v>101</v>
      </c>
      <c r="I51" s="227" t="s">
        <v>304</v>
      </c>
      <c r="J51" s="229">
        <v>7.0</v>
      </c>
      <c r="K51" s="230">
        <v>5.0</v>
      </c>
      <c r="L51" s="231">
        <f>IF(AND(J51&gt;K51,J52&gt;K52),2,IF(J51&gt;K51,1,IF(J52&gt;K52,1,0)))</f>
        <v>1</v>
      </c>
      <c r="M51" s="231">
        <f>IF(AND(K51&gt;J51,K52&gt;J52),2,IF(K51&gt;J51,1,IF(K52&gt;J52,1,0)))</f>
        <v>1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3.0</v>
      </c>
      <c r="K52" s="235">
        <v>6.0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64" t="s">
        <v>245</v>
      </c>
      <c r="D54" s="226" t="s">
        <v>269</v>
      </c>
      <c r="E54" s="227" t="s">
        <v>84</v>
      </c>
      <c r="F54" s="227" t="s">
        <v>149</v>
      </c>
      <c r="G54" s="228" t="s">
        <v>239</v>
      </c>
      <c r="H54" s="227" t="s">
        <v>305</v>
      </c>
      <c r="I54" s="227" t="s">
        <v>160</v>
      </c>
      <c r="J54" s="229">
        <v>7.0</v>
      </c>
      <c r="K54" s="230">
        <v>5.0</v>
      </c>
      <c r="L54" s="231">
        <f>IF(AND(J54&gt;K54,J55&gt;K55),2,IF(J54&gt;K54,1,IF(J55&gt;K55,1,0)))</f>
        <v>2</v>
      </c>
      <c r="M54" s="231">
        <f>IF(AND(K54&gt;J54,K55&gt;J55),2,IF(K54&gt;J54,1,IF(K55&gt;J55,1,0)))</f>
        <v>0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6.0</v>
      </c>
      <c r="K55" s="235">
        <v>1.0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/>
      <c r="D57" s="238" t="s">
        <v>257</v>
      </c>
      <c r="E57" s="227" t="s">
        <v>123</v>
      </c>
      <c r="F57" s="227" t="s">
        <v>137</v>
      </c>
      <c r="G57" s="239" t="s">
        <v>239</v>
      </c>
      <c r="H57" s="227" t="s">
        <v>135</v>
      </c>
      <c r="I57" s="227" t="s">
        <v>121</v>
      </c>
      <c r="J57" s="229">
        <v>3.0</v>
      </c>
      <c r="K57" s="230">
        <v>6.0</v>
      </c>
      <c r="L57" s="231">
        <f>IF(AND(J57&gt;K57,J58&gt;K58),2,IF(J57&gt;K57,1,IF(J58&gt;K58,1,0)))</f>
        <v>0</v>
      </c>
      <c r="M57" s="231">
        <f>IF(AND(K57&gt;J57,K58&gt;J58),2,IF(K57&gt;J57,1,IF(K58&gt;J58,1,0)))</f>
        <v>2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0.0</v>
      </c>
      <c r="K58" s="235">
        <v>6.0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300</v>
      </c>
      <c r="D60" s="111"/>
      <c r="E60" s="111"/>
      <c r="F60" s="111"/>
      <c r="G60" s="111"/>
      <c r="H60" s="111"/>
      <c r="I60" s="112"/>
      <c r="J60" s="241">
        <f t="shared" ref="J60:M60" si="4">SUM(J48:J58)</f>
        <v>38</v>
      </c>
      <c r="K60" s="242">
        <f t="shared" si="4"/>
        <v>31</v>
      </c>
      <c r="L60" s="241">
        <f t="shared" si="4"/>
        <v>5</v>
      </c>
      <c r="M60" s="243">
        <f t="shared" si="4"/>
        <v>3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254</v>
      </c>
      <c r="E63" s="227" t="s">
        <v>267</v>
      </c>
      <c r="F63" s="227" t="s">
        <v>96</v>
      </c>
      <c r="G63" s="228" t="s">
        <v>239</v>
      </c>
      <c r="H63" s="227" t="s">
        <v>271</v>
      </c>
      <c r="I63" s="227" t="s">
        <v>88</v>
      </c>
      <c r="J63" s="229">
        <v>7.0</v>
      </c>
      <c r="K63" s="230">
        <v>5.0</v>
      </c>
      <c r="L63" s="231">
        <f>IF(AND(J63&gt;K63,J64&gt;K64),2,IF(J63&gt;K63,1,IF(J64&gt;K64,1,0)))</f>
        <v>2</v>
      </c>
      <c r="M63" s="231">
        <f>IF(AND(K63&gt;J63,K64&gt;J64),2,IF(K63&gt;J63,1,IF(K64&gt;J64,1,0)))</f>
        <v>0</v>
      </c>
      <c r="N63" s="257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6.0</v>
      </c>
      <c r="K64" s="235">
        <v>1.0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253</v>
      </c>
      <c r="D66" s="226" t="s">
        <v>248</v>
      </c>
      <c r="E66" s="227" t="s">
        <v>168</v>
      </c>
      <c r="F66" s="227" t="s">
        <v>180</v>
      </c>
      <c r="G66" s="228" t="s">
        <v>239</v>
      </c>
      <c r="H66" s="227" t="s">
        <v>172</v>
      </c>
      <c r="I66" s="227" t="s">
        <v>166</v>
      </c>
      <c r="J66" s="229">
        <v>2.0</v>
      </c>
      <c r="K66" s="230">
        <v>6.0</v>
      </c>
      <c r="L66" s="231">
        <f>IF(AND(J66&gt;K66,J67&gt;K67),2,IF(J66&gt;K66,1,IF(J67&gt;K67,1,0)))</f>
        <v>0</v>
      </c>
      <c r="M66" s="231">
        <f>IF(AND(K66&gt;J66,K67&gt;J67),2,IF(K66&gt;J66,1,IF(K67&gt;J67,1,0)))</f>
        <v>2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1.0</v>
      </c>
      <c r="K67" s="235">
        <v>6.0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255</v>
      </c>
      <c r="D69" s="226" t="s">
        <v>246</v>
      </c>
      <c r="E69" s="227" t="s">
        <v>306</v>
      </c>
      <c r="F69" s="227" t="s">
        <v>162</v>
      </c>
      <c r="G69" s="228" t="s">
        <v>239</v>
      </c>
      <c r="H69" s="227" t="s">
        <v>142</v>
      </c>
      <c r="I69" s="227" t="s">
        <v>153</v>
      </c>
      <c r="J69" s="229">
        <v>4.0</v>
      </c>
      <c r="K69" s="230">
        <v>6.0</v>
      </c>
      <c r="L69" s="231">
        <f>IF(AND(J69&gt;K69,J70&gt;K70),2,IF(J69&gt;K69,1,IF(J70&gt;K70,1,0)))</f>
        <v>0</v>
      </c>
      <c r="M69" s="231">
        <f>IF(AND(K69&gt;J69,K70&gt;J70),2,IF(K69&gt;J69,1,IF(K70&gt;J70,1,0)))</f>
        <v>2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2.0</v>
      </c>
      <c r="K70" s="235">
        <v>6.0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 t="s">
        <v>253</v>
      </c>
      <c r="D72" s="238" t="s">
        <v>243</v>
      </c>
      <c r="E72" s="227" t="s">
        <v>56</v>
      </c>
      <c r="F72" s="227" t="s">
        <v>63</v>
      </c>
      <c r="G72" s="239" t="s">
        <v>239</v>
      </c>
      <c r="H72" s="227" t="s">
        <v>61</v>
      </c>
      <c r="I72" s="227" t="s">
        <v>68</v>
      </c>
      <c r="J72" s="229">
        <v>4.0</v>
      </c>
      <c r="K72" s="230">
        <v>6.0</v>
      </c>
      <c r="L72" s="231">
        <f>IF(AND(J72&gt;K72,J73&gt;K73),2,IF(J72&gt;K72,1,IF(J73&gt;K73,1,0)))</f>
        <v>1</v>
      </c>
      <c r="M72" s="231">
        <f>IF(AND(K72&gt;J72,K73&gt;J73),2,IF(K72&gt;J72,1,IF(K73&gt;J73,1,0)))</f>
        <v>1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7.0</v>
      </c>
      <c r="K73" s="235">
        <v>5.0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302</v>
      </c>
      <c r="D75" s="111"/>
      <c r="E75" s="111"/>
      <c r="F75" s="111"/>
      <c r="G75" s="111"/>
      <c r="H75" s="111"/>
      <c r="I75" s="112"/>
      <c r="J75" s="241">
        <f t="shared" ref="J75:M75" si="5">SUM(J63:J73)</f>
        <v>33</v>
      </c>
      <c r="K75" s="242">
        <f t="shared" si="5"/>
        <v>41</v>
      </c>
      <c r="L75" s="241">
        <f t="shared" si="5"/>
        <v>3</v>
      </c>
      <c r="M75" s="243">
        <f t="shared" si="5"/>
        <v>5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303</v>
      </c>
      <c r="D77" s="111"/>
      <c r="E77" s="111"/>
      <c r="F77" s="111"/>
      <c r="G77" s="111"/>
      <c r="H77" s="111"/>
      <c r="I77" s="112"/>
      <c r="J77" s="248">
        <f t="shared" ref="J77:M77" si="6">J75+J60</f>
        <v>71</v>
      </c>
      <c r="K77" s="249">
        <f t="shared" si="6"/>
        <v>72</v>
      </c>
      <c r="L77" s="250">
        <f t="shared" si="6"/>
        <v>8</v>
      </c>
      <c r="M77" s="251">
        <f t="shared" si="6"/>
        <v>8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15</v>
      </c>
      <c r="F81" s="112"/>
      <c r="G81" s="219" t="s">
        <v>239</v>
      </c>
      <c r="H81" s="220" t="s">
        <v>21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248</v>
      </c>
      <c r="E83" s="227" t="s">
        <v>165</v>
      </c>
      <c r="F83" s="227" t="s">
        <v>177</v>
      </c>
      <c r="G83" s="228" t="s">
        <v>239</v>
      </c>
      <c r="H83" s="227" t="s">
        <v>175</v>
      </c>
      <c r="I83" s="227" t="s">
        <v>181</v>
      </c>
      <c r="J83" s="229">
        <v>6.0</v>
      </c>
      <c r="K83" s="230">
        <v>4.0</v>
      </c>
      <c r="L83" s="231">
        <f>IF(AND(J83&gt;K83,J84&gt;K84),2,IF(J83&gt;K83,1,IF(J84&gt;K84,1,0)))</f>
        <v>1</v>
      </c>
      <c r="M83" s="231">
        <f>IF(AND(K83&gt;J83,K84&gt;J84),2,IF(K83&gt;J83,1,IF(K84&gt;J84,1,0)))</f>
        <v>1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5.0</v>
      </c>
      <c r="K84" s="235">
        <v>7.0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257</v>
      </c>
      <c r="E86" s="227" t="s">
        <v>120</v>
      </c>
      <c r="F86" s="227" t="s">
        <v>127</v>
      </c>
      <c r="G86" s="228" t="s">
        <v>239</v>
      </c>
      <c r="H86" s="227" t="s">
        <v>131</v>
      </c>
      <c r="I86" s="227" t="s">
        <v>138</v>
      </c>
      <c r="J86" s="229">
        <v>6.0</v>
      </c>
      <c r="K86" s="230">
        <v>0.0</v>
      </c>
      <c r="L86" s="231">
        <f>IF(AND(J86&gt;K86,J87&gt;K87),2,IF(J86&gt;K86,1,IF(J87&gt;K87,1,0)))</f>
        <v>2</v>
      </c>
      <c r="M86" s="231">
        <f>IF(AND(K86&gt;J86,K87&gt;J87),2,IF(K86&gt;J86,1,IF(K87&gt;J87,1,0)))</f>
        <v>0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2.0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246</v>
      </c>
      <c r="E89" s="227" t="s">
        <v>147</v>
      </c>
      <c r="F89" s="227" t="s">
        <v>152</v>
      </c>
      <c r="G89" s="228" t="s">
        <v>239</v>
      </c>
      <c r="H89" s="227" t="s">
        <v>150</v>
      </c>
      <c r="I89" s="227" t="s">
        <v>307</v>
      </c>
      <c r="J89" s="229">
        <v>3.0</v>
      </c>
      <c r="K89" s="230">
        <v>6.0</v>
      </c>
      <c r="L89" s="231">
        <f>IF(AND(J89&gt;K89,J90&gt;K90),2,IF(J89&gt;K89,1,IF(J90&gt;K90,1,0)))</f>
        <v>1</v>
      </c>
      <c r="M89" s="231">
        <f>IF(AND(K89&gt;J89,K90&gt;J90),2,IF(K89&gt;J89,1,IF(K90&gt;J90,1,0)))</f>
        <v>1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6.0</v>
      </c>
      <c r="K90" s="235">
        <v>4.0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/>
      <c r="D92" s="238" t="s">
        <v>254</v>
      </c>
      <c r="E92" s="227" t="s">
        <v>308</v>
      </c>
      <c r="F92" s="227" t="s">
        <v>74</v>
      </c>
      <c r="G92" s="239" t="s">
        <v>239</v>
      </c>
      <c r="H92" s="227" t="s">
        <v>78</v>
      </c>
      <c r="I92" s="227" t="s">
        <v>90</v>
      </c>
      <c r="J92" s="229">
        <v>4.0</v>
      </c>
      <c r="K92" s="230">
        <v>6.0</v>
      </c>
      <c r="L92" s="231">
        <f>IF(AND(J92&gt;K92,J93&gt;K93),2,IF(J92&gt;K92,1,IF(J93&gt;K93,1,0)))</f>
        <v>1</v>
      </c>
      <c r="M92" s="231">
        <f>IF(AND(K92&gt;J92,K93&gt;J93),2,IF(K92&gt;J92,1,IF(K93&gt;J93,1,0)))</f>
        <v>1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3.0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300</v>
      </c>
      <c r="D95" s="111"/>
      <c r="E95" s="111"/>
      <c r="F95" s="111"/>
      <c r="G95" s="111"/>
      <c r="H95" s="111"/>
      <c r="I95" s="112"/>
      <c r="J95" s="241">
        <f t="shared" ref="J95:M95" si="7">SUM(J83:J93)</f>
        <v>42</v>
      </c>
      <c r="K95" s="242">
        <f t="shared" si="7"/>
        <v>32</v>
      </c>
      <c r="L95" s="241">
        <f t="shared" si="7"/>
        <v>5</v>
      </c>
      <c r="M95" s="243">
        <f t="shared" si="7"/>
        <v>3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243</v>
      </c>
      <c r="E98" s="227" t="s">
        <v>289</v>
      </c>
      <c r="F98" s="227" t="s">
        <v>60</v>
      </c>
      <c r="G98" s="228" t="s">
        <v>239</v>
      </c>
      <c r="H98" s="227" t="s">
        <v>64</v>
      </c>
      <c r="I98" s="227" t="s">
        <v>71</v>
      </c>
      <c r="J98" s="229">
        <v>6.0</v>
      </c>
      <c r="K98" s="230">
        <v>3.0</v>
      </c>
      <c r="L98" s="231">
        <f>IF(AND(J98&gt;K98,J99&gt;K99),2,IF(J98&gt;K98,1,IF(J99&gt;K99,1,0)))</f>
        <v>1</v>
      </c>
      <c r="M98" s="231">
        <f>IF(AND(K98&gt;J98,K99&gt;J99),2,IF(K98&gt;J98,1,IF(K99&gt;J99,1,0)))</f>
        <v>1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5.0</v>
      </c>
      <c r="K99" s="235">
        <v>7.0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244</v>
      </c>
      <c r="E101" s="227" t="s">
        <v>107</v>
      </c>
      <c r="F101" s="227" t="s">
        <v>114</v>
      </c>
      <c r="G101" s="228" t="s">
        <v>239</v>
      </c>
      <c r="H101" s="227" t="s">
        <v>111</v>
      </c>
      <c r="I101" s="227" t="s">
        <v>49</v>
      </c>
      <c r="J101" s="229">
        <v>6.0</v>
      </c>
      <c r="K101" s="230">
        <v>3.0</v>
      </c>
      <c r="L101" s="231">
        <f>IF(AND(J101&gt;K101,J102&gt;K102),2,IF(J101&gt;K101,1,IF(J102&gt;K102,1,0)))</f>
        <v>2</v>
      </c>
      <c r="M101" s="231">
        <f>IF(AND(K101&gt;J101,K102&gt;J102),2,IF(K101&gt;J101,1,IF(K102&gt;J102,1,0)))</f>
        <v>0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6.0</v>
      </c>
      <c r="K102" s="235">
        <v>0.0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255</v>
      </c>
      <c r="D104" s="226" t="s">
        <v>256</v>
      </c>
      <c r="E104" s="227" t="s">
        <v>188</v>
      </c>
      <c r="F104" s="227" t="s">
        <v>194</v>
      </c>
      <c r="G104" s="228" t="s">
        <v>239</v>
      </c>
      <c r="H104" s="227" t="s">
        <v>186</v>
      </c>
      <c r="I104" s="227" t="s">
        <v>192</v>
      </c>
      <c r="J104" s="229">
        <v>4.0</v>
      </c>
      <c r="K104" s="230">
        <v>6.0</v>
      </c>
      <c r="L104" s="231">
        <f>IF(AND(J104&gt;K104,J105&gt;K105),2,IF(J104&gt;K104,1,IF(J105&gt;K105,1,0)))</f>
        <v>0</v>
      </c>
      <c r="M104" s="231">
        <f>IF(AND(K104&gt;J104,K105&gt;J105),2,IF(K104&gt;J104,1,IF(K105&gt;J105,1,0)))</f>
        <v>2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4.0</v>
      </c>
      <c r="K105" s="235">
        <v>6.0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 t="s">
        <v>250</v>
      </c>
      <c r="D107" s="238" t="s">
        <v>251</v>
      </c>
      <c r="E107" s="227" t="s">
        <v>93</v>
      </c>
      <c r="F107" s="227" t="s">
        <v>159</v>
      </c>
      <c r="G107" s="228" t="s">
        <v>239</v>
      </c>
      <c r="H107" s="227" t="s">
        <v>97</v>
      </c>
      <c r="I107" s="227" t="s">
        <v>156</v>
      </c>
      <c r="J107" s="229">
        <v>2.0</v>
      </c>
      <c r="K107" s="230">
        <v>6.0</v>
      </c>
      <c r="L107" s="231">
        <f>IF(AND(J107&gt;K107,J108&gt;K108),2,IF(J107&gt;K107,1,IF(J108&gt;K108,1,0)))</f>
        <v>0</v>
      </c>
      <c r="M107" s="231">
        <f>IF(AND(K107&gt;J107,K108&gt;J108),2,IF(K107&gt;J107,1,IF(K108&gt;J108,1,0)))</f>
        <v>2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0.0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302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33</v>
      </c>
      <c r="K110" s="242">
        <f t="shared" si="8"/>
        <v>37</v>
      </c>
      <c r="L110" s="241">
        <f t="shared" si="8"/>
        <v>3</v>
      </c>
      <c r="M110" s="243">
        <f t="shared" si="8"/>
        <v>5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303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75</v>
      </c>
      <c r="K112" s="249">
        <f t="shared" si="9"/>
        <v>69</v>
      </c>
      <c r="L112" s="250">
        <f t="shared" si="9"/>
        <v>8</v>
      </c>
      <c r="M112" s="251">
        <f t="shared" si="9"/>
        <v>8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309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68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292</v>
      </c>
      <c r="F11" s="112"/>
      <c r="G11" s="219"/>
      <c r="H11" s="220" t="s">
        <v>288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254</v>
      </c>
      <c r="E13" s="227" t="s">
        <v>84</v>
      </c>
      <c r="F13" s="227" t="s">
        <v>48</v>
      </c>
      <c r="G13" s="228" t="s">
        <v>239</v>
      </c>
      <c r="H13" s="227" t="s">
        <v>79</v>
      </c>
      <c r="I13" s="227" t="s">
        <v>86</v>
      </c>
      <c r="J13" s="229">
        <v>3.0</v>
      </c>
      <c r="K13" s="230">
        <v>6.0</v>
      </c>
      <c r="L13" s="231">
        <f>IF(AND(J13&gt;K13,J14&gt;K14),2,IF(J13&gt;K13,1,IF(J14&gt;K14,1,0)))</f>
        <v>0</v>
      </c>
      <c r="M13" s="231">
        <f>IF(AND(K13&gt;J13,K14&gt;J14),2,IF(K13&gt;J13,1,IF(K14&gt;J14,1,0)))</f>
        <v>2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5.0</v>
      </c>
      <c r="K14" s="235">
        <v>7.0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246</v>
      </c>
      <c r="E16" s="227" t="s">
        <v>149</v>
      </c>
      <c r="F16" s="227" t="s">
        <v>310</v>
      </c>
      <c r="G16" s="228" t="s">
        <v>239</v>
      </c>
      <c r="H16" s="227" t="s">
        <v>146</v>
      </c>
      <c r="I16" s="227" t="s">
        <v>151</v>
      </c>
      <c r="J16" s="229">
        <v>3.0</v>
      </c>
      <c r="K16" s="230">
        <v>6.0</v>
      </c>
      <c r="L16" s="231">
        <f>IF(AND(J16&gt;K16,J17&gt;K17),2,IF(J16&gt;K16,1,IF(J17&gt;K17,1,0)))</f>
        <v>0</v>
      </c>
      <c r="M16" s="231">
        <f>IF(AND(K16&gt;J16,K17&gt;J17),2,IF(K16&gt;J16,1,IF(K17&gt;J17,1,0)))</f>
        <v>2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1.0</v>
      </c>
      <c r="K17" s="235">
        <v>6.0</v>
      </c>
      <c r="L17" s="233"/>
      <c r="M17" s="233"/>
      <c r="N17" s="257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243</v>
      </c>
      <c r="E19" s="227" t="s">
        <v>311</v>
      </c>
      <c r="F19" s="227" t="s">
        <v>70</v>
      </c>
      <c r="G19" s="228" t="s">
        <v>239</v>
      </c>
      <c r="H19" s="227" t="s">
        <v>58</v>
      </c>
      <c r="I19" s="227" t="s">
        <v>72</v>
      </c>
      <c r="J19" s="229">
        <v>1.0</v>
      </c>
      <c r="K19" s="230">
        <v>6.0</v>
      </c>
      <c r="L19" s="231">
        <f>IF(AND(J19&gt;K19,J20&gt;K20),2,IF(J19&gt;K19,1,IF(J20&gt;K20,1,0)))</f>
        <v>0</v>
      </c>
      <c r="M19" s="231">
        <f>IF(AND(K19&gt;J19,K20&gt;J20),2,IF(K19&gt;J19,1,IF(K20&gt;J20,1,0)))</f>
        <v>2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2.0</v>
      </c>
      <c r="K20" s="235">
        <v>6.0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264</v>
      </c>
      <c r="D22" s="238" t="s">
        <v>248</v>
      </c>
      <c r="E22" s="227" t="s">
        <v>174</v>
      </c>
      <c r="F22" s="227" t="s">
        <v>180</v>
      </c>
      <c r="G22" s="228" t="s">
        <v>239</v>
      </c>
      <c r="H22" s="227" t="s">
        <v>170</v>
      </c>
      <c r="I22" s="227" t="s">
        <v>312</v>
      </c>
      <c r="J22" s="229">
        <v>6.0</v>
      </c>
      <c r="K22" s="230">
        <v>2.0</v>
      </c>
      <c r="L22" s="231">
        <f>IF(AND(J22&gt;K22,J23&gt;K23),2,IF(J22&gt;K22,1,IF(J23&gt;K23,1,0)))</f>
        <v>1</v>
      </c>
      <c r="M22" s="231">
        <f>IF(AND(K22&gt;J22,K23&gt;J23),2,IF(K22&gt;J22,1,IF(K23&gt;J23,1,0)))</f>
        <v>1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4.0</v>
      </c>
      <c r="K23" s="235">
        <v>6.0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313</v>
      </c>
      <c r="D25" s="111"/>
      <c r="E25" s="111"/>
      <c r="F25" s="111"/>
      <c r="G25" s="111"/>
      <c r="H25" s="111"/>
      <c r="I25" s="112"/>
      <c r="J25" s="241">
        <f t="shared" ref="J25:M25" si="1">SUM(J13:J23)</f>
        <v>25</v>
      </c>
      <c r="K25" s="242">
        <f t="shared" si="1"/>
        <v>45</v>
      </c>
      <c r="L25" s="241">
        <f t="shared" si="1"/>
        <v>1</v>
      </c>
      <c r="M25" s="243">
        <f t="shared" si="1"/>
        <v>7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250</v>
      </c>
      <c r="D28" s="226" t="s">
        <v>256</v>
      </c>
      <c r="E28" s="227" t="s">
        <v>185</v>
      </c>
      <c r="F28" s="227" t="s">
        <v>191</v>
      </c>
      <c r="G28" s="228" t="s">
        <v>239</v>
      </c>
      <c r="H28" s="227" t="s">
        <v>193</v>
      </c>
      <c r="I28" s="227" t="s">
        <v>199</v>
      </c>
      <c r="J28" s="229">
        <v>6.0</v>
      </c>
      <c r="K28" s="230">
        <v>1.0</v>
      </c>
      <c r="L28" s="231">
        <f>IF(AND(J28&gt;K28,J29&gt;K29),2,IF(J28&gt;K28,1,IF(J29&gt;K29,1,0)))</f>
        <v>2</v>
      </c>
      <c r="M28" s="231">
        <f>IF(AND(K28&gt;J28,K29&gt;J29),2,IF(K28&gt;J28,1,IF(K29&gt;J29,1,0)))</f>
        <v>0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6.0</v>
      </c>
      <c r="K29" s="235">
        <v>2.0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25" t="s">
        <v>253</v>
      </c>
      <c r="D31" s="226" t="s">
        <v>314</v>
      </c>
      <c r="E31" s="227" t="s">
        <v>96</v>
      </c>
      <c r="F31" s="227" t="s">
        <v>155</v>
      </c>
      <c r="G31" s="228" t="s">
        <v>239</v>
      </c>
      <c r="H31" s="227" t="s">
        <v>91</v>
      </c>
      <c r="I31" s="227" t="s">
        <v>164</v>
      </c>
      <c r="J31" s="229">
        <v>6.0</v>
      </c>
      <c r="K31" s="230">
        <v>3.0</v>
      </c>
      <c r="L31" s="231">
        <f>IF(AND(J31&gt;K31,J32&gt;K32),2,IF(J31&gt;K31,1,IF(J32&gt;K32,1,0)))</f>
        <v>2</v>
      </c>
      <c r="M31" s="231">
        <f>IF(AND(K31&gt;J31,K32&gt;J32),2,IF(K31&gt;J31,1,IF(K32&gt;J32,1,0)))</f>
        <v>0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6.0</v>
      </c>
      <c r="K32" s="235">
        <v>3.0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25" t="s">
        <v>255</v>
      </c>
      <c r="D34" s="226" t="s">
        <v>244</v>
      </c>
      <c r="E34" s="227" t="s">
        <v>103</v>
      </c>
      <c r="F34" s="227" t="s">
        <v>117</v>
      </c>
      <c r="G34" s="228" t="s">
        <v>239</v>
      </c>
      <c r="H34" s="227" t="s">
        <v>118</v>
      </c>
      <c r="I34" s="227" t="s">
        <v>315</v>
      </c>
      <c r="J34" s="229">
        <v>6.0</v>
      </c>
      <c r="K34" s="230">
        <v>3.0</v>
      </c>
      <c r="L34" s="231">
        <f>IF(AND(J34&gt;K34,J35&gt;K35),2,IF(J34&gt;K34,1,IF(J35&gt;K35,1,0)))</f>
        <v>1</v>
      </c>
      <c r="M34" s="231">
        <f>IF(AND(K34&gt;J34,K35&gt;J35),2,IF(K34&gt;J34,1,IF(K35&gt;J35,1,0)))</f>
        <v>1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3.0</v>
      </c>
      <c r="K35" s="235">
        <v>6.0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301</v>
      </c>
      <c r="D37" s="238" t="s">
        <v>257</v>
      </c>
      <c r="E37" s="227" t="s">
        <v>123</v>
      </c>
      <c r="F37" s="227" t="s">
        <v>130</v>
      </c>
      <c r="G37" s="228" t="s">
        <v>239</v>
      </c>
      <c r="H37" s="227" t="s">
        <v>125</v>
      </c>
      <c r="I37" s="227" t="s">
        <v>132</v>
      </c>
      <c r="J37" s="229">
        <v>7.0</v>
      </c>
      <c r="K37" s="230">
        <v>5.0</v>
      </c>
      <c r="L37" s="231">
        <f>IF(AND(J37&gt;K37,J38&gt;K38),2,IF(J37&gt;K37,1,IF(J38&gt;K38,1,0)))</f>
        <v>2</v>
      </c>
      <c r="M37" s="231">
        <f>IF(AND(K37&gt;J37,K38&gt;J38),2,IF(K37&gt;J37,1,IF(K38&gt;J38,1,0)))</f>
        <v>0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6.0</v>
      </c>
      <c r="K38" s="235">
        <v>2.0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316</v>
      </c>
      <c r="D40" s="111"/>
      <c r="E40" s="111"/>
      <c r="F40" s="111"/>
      <c r="G40" s="111"/>
      <c r="H40" s="111"/>
      <c r="I40" s="112"/>
      <c r="J40" s="241">
        <f t="shared" ref="J40:M40" si="2">SUM(J28:J38)</f>
        <v>46</v>
      </c>
      <c r="K40" s="242">
        <f t="shared" si="2"/>
        <v>25</v>
      </c>
      <c r="L40" s="241">
        <f t="shared" si="2"/>
        <v>7</v>
      </c>
      <c r="M40" s="243">
        <f t="shared" si="2"/>
        <v>1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317</v>
      </c>
      <c r="D42" s="111"/>
      <c r="E42" s="111"/>
      <c r="F42" s="111"/>
      <c r="G42" s="111"/>
      <c r="H42" s="111"/>
      <c r="I42" s="112"/>
      <c r="J42" s="248">
        <f t="shared" ref="J42:M42" si="3">J40+J25</f>
        <v>71</v>
      </c>
      <c r="K42" s="249">
        <f t="shared" si="3"/>
        <v>70</v>
      </c>
      <c r="L42" s="250">
        <f t="shared" si="3"/>
        <v>8</v>
      </c>
      <c r="M42" s="251">
        <f t="shared" si="3"/>
        <v>8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19</v>
      </c>
      <c r="F46" s="112"/>
      <c r="G46" s="219"/>
      <c r="H46" s="220" t="s">
        <v>21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314</v>
      </c>
      <c r="E48" s="227" t="s">
        <v>89</v>
      </c>
      <c r="F48" s="227" t="s">
        <v>47</v>
      </c>
      <c r="G48" s="228" t="s">
        <v>239</v>
      </c>
      <c r="H48" s="227" t="s">
        <v>78</v>
      </c>
      <c r="I48" s="227" t="s">
        <v>156</v>
      </c>
      <c r="J48" s="229">
        <v>5.0</v>
      </c>
      <c r="K48" s="230">
        <v>7.0</v>
      </c>
      <c r="L48" s="231">
        <f>IF(AND(J48&gt;K48,J49&gt;K49),2,IF(J48&gt;K48,1,IF(J49&gt;K49,1,0)))</f>
        <v>1</v>
      </c>
      <c r="M48" s="231">
        <f>IF(AND(K48&gt;J48,K49&gt;J49),2,IF(K48&gt;J48,1,IF(K49&gt;J49,1,0)))</f>
        <v>1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7.0</v>
      </c>
      <c r="K49" s="235">
        <v>6.0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69">
        <v>6.0</v>
      </c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256</v>
      </c>
      <c r="E51" s="227" t="s">
        <v>184</v>
      </c>
      <c r="F51" s="227" t="s">
        <v>196</v>
      </c>
      <c r="G51" s="228" t="s">
        <v>239</v>
      </c>
      <c r="H51" s="227" t="s">
        <v>186</v>
      </c>
      <c r="I51" s="227" t="s">
        <v>192</v>
      </c>
      <c r="J51" s="229">
        <v>6.0</v>
      </c>
      <c r="K51" s="230">
        <v>7.0</v>
      </c>
      <c r="L51" s="231">
        <f>IF(AND(J51&gt;K51,J52&gt;K52),2,IF(J51&gt;K51,1,IF(J52&gt;K52,1,0)))</f>
        <v>0</v>
      </c>
      <c r="M51" s="231">
        <f>IF(AND(K51&gt;J51,K52&gt;J52),2,IF(K51&gt;J51,1,IF(K52&gt;J52,1,0)))</f>
        <v>2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4.0</v>
      </c>
      <c r="K52" s="235">
        <v>6.0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244</v>
      </c>
      <c r="E54" s="227" t="s">
        <v>109</v>
      </c>
      <c r="F54" s="227" t="s">
        <v>102</v>
      </c>
      <c r="G54" s="228" t="s">
        <v>239</v>
      </c>
      <c r="H54" s="227" t="s">
        <v>104</v>
      </c>
      <c r="I54" s="227" t="s">
        <v>111</v>
      </c>
      <c r="J54" s="229">
        <v>6.0</v>
      </c>
      <c r="K54" s="230">
        <v>3.0</v>
      </c>
      <c r="L54" s="231">
        <f>IF(AND(J54&gt;K54,J55&gt;K55),2,IF(J54&gt;K54,1,IF(J55&gt;K55,1,0)))</f>
        <v>2</v>
      </c>
      <c r="M54" s="231">
        <f>IF(AND(K54&gt;J54,K55&gt;J55),2,IF(K54&gt;J54,1,IF(K55&gt;J55,1,0)))</f>
        <v>0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6.0</v>
      </c>
      <c r="K55" s="235">
        <v>3.0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58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242</v>
      </c>
      <c r="D57" s="238" t="s">
        <v>257</v>
      </c>
      <c r="E57" s="227" t="s">
        <v>318</v>
      </c>
      <c r="F57" s="227" t="s">
        <v>136</v>
      </c>
      <c r="G57" s="239" t="s">
        <v>239</v>
      </c>
      <c r="H57" s="227" t="s">
        <v>124</v>
      </c>
      <c r="I57" s="227" t="s">
        <v>138</v>
      </c>
      <c r="J57" s="229">
        <v>2.0</v>
      </c>
      <c r="K57" s="230">
        <v>6.0</v>
      </c>
      <c r="L57" s="231">
        <f>IF(AND(J57&gt;K57,J58&gt;K58),2,IF(J57&gt;K57,1,IF(J58&gt;K58,1,0)))</f>
        <v>0</v>
      </c>
      <c r="M57" s="231">
        <f>IF(AND(K57&gt;J57,K58&gt;J58),2,IF(K57&gt;J57,1,IF(K58&gt;J58,1,0)))</f>
        <v>2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0.0</v>
      </c>
      <c r="K58" s="235">
        <v>6.0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313</v>
      </c>
      <c r="D60" s="111"/>
      <c r="E60" s="111"/>
      <c r="F60" s="111"/>
      <c r="G60" s="111"/>
      <c r="H60" s="111"/>
      <c r="I60" s="112"/>
      <c r="J60" s="241">
        <f t="shared" ref="J60:M60" si="4">SUM(J48:J58)</f>
        <v>36</v>
      </c>
      <c r="K60" s="242">
        <f t="shared" si="4"/>
        <v>44</v>
      </c>
      <c r="L60" s="241">
        <f t="shared" si="4"/>
        <v>3</v>
      </c>
      <c r="M60" s="243">
        <f t="shared" si="4"/>
        <v>5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254</v>
      </c>
      <c r="E63" s="227" t="s">
        <v>83</v>
      </c>
      <c r="F63" s="227" t="s">
        <v>319</v>
      </c>
      <c r="G63" s="228" t="s">
        <v>239</v>
      </c>
      <c r="H63" s="227" t="s">
        <v>85</v>
      </c>
      <c r="I63" s="227" t="s">
        <v>90</v>
      </c>
      <c r="J63" s="229">
        <v>6.0</v>
      </c>
      <c r="K63" s="230">
        <v>7.0</v>
      </c>
      <c r="L63" s="231">
        <f>IF(AND(J63&gt;K63,J64&gt;K64),2,IF(J63&gt;K63,1,IF(J64&gt;K64,1,0)))</f>
        <v>0</v>
      </c>
      <c r="M63" s="231">
        <f>IF(AND(K63&gt;J63,K64&gt;J64),2,IF(K63&gt;J63,1,IF(K64&gt;J64,1,0)))</f>
        <v>2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6.0</v>
      </c>
      <c r="K64" s="235">
        <v>7.0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253</v>
      </c>
      <c r="D66" s="226" t="s">
        <v>243</v>
      </c>
      <c r="E66" s="227" t="s">
        <v>55</v>
      </c>
      <c r="F66" s="227" t="s">
        <v>62</v>
      </c>
      <c r="G66" s="228" t="s">
        <v>239</v>
      </c>
      <c r="H66" s="227" t="s">
        <v>266</v>
      </c>
      <c r="I66" s="227" t="s">
        <v>71</v>
      </c>
      <c r="J66" s="229">
        <v>6.0</v>
      </c>
      <c r="K66" s="230">
        <v>0.0</v>
      </c>
      <c r="L66" s="231">
        <f>IF(AND(J66&gt;K66,J67&gt;K67),2,IF(J66&gt;K66,1,IF(J67&gt;K67,1,0)))</f>
        <v>2</v>
      </c>
      <c r="M66" s="231">
        <f>IF(AND(K66&gt;J66,K67&gt;J67),2,IF(K66&gt;J66,1,IF(K67&gt;J67,1,0)))</f>
        <v>0</v>
      </c>
      <c r="N66" s="257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3.0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255</v>
      </c>
      <c r="D69" s="226" t="s">
        <v>248</v>
      </c>
      <c r="E69" s="227" t="s">
        <v>167</v>
      </c>
      <c r="F69" s="227" t="s">
        <v>173</v>
      </c>
      <c r="G69" s="228" t="s">
        <v>239</v>
      </c>
      <c r="H69" s="227" t="s">
        <v>169</v>
      </c>
      <c r="I69" s="227" t="s">
        <v>175</v>
      </c>
      <c r="J69" s="229">
        <v>7.0</v>
      </c>
      <c r="K69" s="230">
        <v>5.0</v>
      </c>
      <c r="L69" s="231">
        <f>IF(AND(J69&gt;K69,J70&gt;K70),2,IF(J69&gt;K69,1,IF(J70&gt;K70,1,0)))</f>
        <v>1</v>
      </c>
      <c r="M69" s="231">
        <f>IF(AND(K69&gt;J69,K70&gt;J70),2,IF(K69&gt;J69,1,IF(K70&gt;J70,1,0)))</f>
        <v>1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1.0</v>
      </c>
      <c r="K70" s="235">
        <v>6.0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 t="s">
        <v>253</v>
      </c>
      <c r="D72" s="238" t="s">
        <v>246</v>
      </c>
      <c r="E72" s="227" t="s">
        <v>143</v>
      </c>
      <c r="F72" s="227" t="s">
        <v>247</v>
      </c>
      <c r="G72" s="239" t="s">
        <v>239</v>
      </c>
      <c r="H72" s="227" t="s">
        <v>150</v>
      </c>
      <c r="I72" s="227" t="s">
        <v>163</v>
      </c>
      <c r="J72" s="229">
        <v>7.0</v>
      </c>
      <c r="K72" s="230">
        <v>5.0</v>
      </c>
      <c r="L72" s="231">
        <f>IF(AND(J72&gt;K72,J73&gt;K73),2,IF(J72&gt;K72,1,IF(J73&gt;K73,1,0)))</f>
        <v>2</v>
      </c>
      <c r="M72" s="231">
        <f>IF(AND(K72&gt;J72,K73&gt;J73),2,IF(K72&gt;J72,1,IF(K73&gt;J73,1,0)))</f>
        <v>0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6.0</v>
      </c>
      <c r="K73" s="235">
        <v>2.0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316</v>
      </c>
      <c r="D75" s="111"/>
      <c r="E75" s="111"/>
      <c r="F75" s="111"/>
      <c r="G75" s="111"/>
      <c r="H75" s="111"/>
      <c r="I75" s="112"/>
      <c r="J75" s="241">
        <f t="shared" ref="J75:M75" si="5">SUM(J63:J73)</f>
        <v>45</v>
      </c>
      <c r="K75" s="242">
        <f t="shared" si="5"/>
        <v>35</v>
      </c>
      <c r="L75" s="241">
        <f t="shared" si="5"/>
        <v>5</v>
      </c>
      <c r="M75" s="243">
        <f t="shared" si="5"/>
        <v>3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317</v>
      </c>
      <c r="D77" s="111"/>
      <c r="E77" s="111"/>
      <c r="F77" s="111"/>
      <c r="G77" s="111"/>
      <c r="H77" s="111"/>
      <c r="I77" s="112"/>
      <c r="J77" s="248">
        <f t="shared" ref="J77:M77" si="6">J75+J60</f>
        <v>81</v>
      </c>
      <c r="K77" s="249">
        <f t="shared" si="6"/>
        <v>79</v>
      </c>
      <c r="L77" s="250">
        <f t="shared" si="6"/>
        <v>8</v>
      </c>
      <c r="M77" s="251">
        <f t="shared" si="6"/>
        <v>8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15</v>
      </c>
      <c r="F81" s="112"/>
      <c r="G81" s="219"/>
      <c r="H81" s="220" t="s">
        <v>18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244</v>
      </c>
      <c r="E83" s="227" t="s">
        <v>107</v>
      </c>
      <c r="F83" s="227" t="s">
        <v>114</v>
      </c>
      <c r="G83" s="228" t="s">
        <v>239</v>
      </c>
      <c r="H83" s="227" t="s">
        <v>101</v>
      </c>
      <c r="I83" s="227" t="s">
        <v>108</v>
      </c>
      <c r="J83" s="229">
        <v>7.0</v>
      </c>
      <c r="K83" s="230">
        <v>6.0</v>
      </c>
      <c r="L83" s="231">
        <f>IF(AND(J83&gt;K83,J84&gt;K84),2,IF(J83&gt;K83,1,IF(J84&gt;K84,1,0)))</f>
        <v>1</v>
      </c>
      <c r="M83" s="231">
        <f>IF(AND(K83&gt;J83,K84&gt;J84),2,IF(K83&gt;J83,1,IF(K84&gt;J84,1,0)))</f>
        <v>1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4.0</v>
      </c>
      <c r="K84" s="235">
        <v>6.0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243</v>
      </c>
      <c r="E86" s="227" t="s">
        <v>67</v>
      </c>
      <c r="F86" s="227" t="s">
        <v>320</v>
      </c>
      <c r="G86" s="228" t="s">
        <v>239</v>
      </c>
      <c r="H86" s="227" t="s">
        <v>54</v>
      </c>
      <c r="I86" s="227" t="s">
        <v>61</v>
      </c>
      <c r="J86" s="229">
        <v>2.0</v>
      </c>
      <c r="K86" s="230">
        <v>6.0</v>
      </c>
      <c r="L86" s="231">
        <f>IF(AND(J86&gt;K86,J87&gt;K87),2,IF(J86&gt;K86,1,IF(J87&gt;K87,1,0)))</f>
        <v>0</v>
      </c>
      <c r="M86" s="231">
        <f>IF(AND(K86&gt;J86,K87&gt;J87),2,IF(K86&gt;J86,1,IF(K87&gt;J87,1,0)))</f>
        <v>2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1.0</v>
      </c>
      <c r="K87" s="235">
        <v>6.0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314</v>
      </c>
      <c r="E89" s="227" t="s">
        <v>93</v>
      </c>
      <c r="F89" s="227" t="s">
        <v>152</v>
      </c>
      <c r="G89" s="228" t="s">
        <v>239</v>
      </c>
      <c r="H89" s="227" t="s">
        <v>271</v>
      </c>
      <c r="I89" s="227" t="s">
        <v>160</v>
      </c>
      <c r="J89" s="229">
        <v>4.0</v>
      </c>
      <c r="K89" s="230">
        <v>6.0</v>
      </c>
      <c r="L89" s="231">
        <f>IF(AND(J89&gt;K89,J90&gt;K90),2,IF(J89&gt;K89,1,IF(J90&gt;K90,1,0)))</f>
        <v>1</v>
      </c>
      <c r="M89" s="231">
        <f>IF(AND(K89&gt;J89,K90&gt;J90),2,IF(K89&gt;J89,1,IF(K90&gt;J90,1,0)))</f>
        <v>1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6.0</v>
      </c>
      <c r="K90" s="235">
        <v>0.0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 t="s">
        <v>245</v>
      </c>
      <c r="D92" s="238" t="s">
        <v>248</v>
      </c>
      <c r="E92" s="227" t="s">
        <v>165</v>
      </c>
      <c r="F92" s="227" t="s">
        <v>171</v>
      </c>
      <c r="G92" s="239" t="s">
        <v>239</v>
      </c>
      <c r="H92" s="227" t="s">
        <v>178</v>
      </c>
      <c r="I92" s="227" t="s">
        <v>279</v>
      </c>
      <c r="J92" s="229">
        <v>3.0</v>
      </c>
      <c r="K92" s="230">
        <v>6.0</v>
      </c>
      <c r="L92" s="231">
        <f>IF(AND(J92&gt;K92,J93&gt;K93),2,IF(J92&gt;K92,1,IF(J93&gt;K93,1,0)))</f>
        <v>1</v>
      </c>
      <c r="M92" s="231">
        <f>IF(AND(K92&gt;J92,K93&gt;J93),2,IF(K92&gt;J92,1,IF(K93&gt;J93,1,0)))</f>
        <v>1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0.0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313</v>
      </c>
      <c r="D95" s="111"/>
      <c r="E95" s="111"/>
      <c r="F95" s="111"/>
      <c r="G95" s="111"/>
      <c r="H95" s="111"/>
      <c r="I95" s="112"/>
      <c r="J95" s="241">
        <f t="shared" ref="J95:M95" si="7">SUM(J83:J93)</f>
        <v>33</v>
      </c>
      <c r="K95" s="242">
        <f t="shared" si="7"/>
        <v>36</v>
      </c>
      <c r="L95" s="241">
        <f t="shared" si="7"/>
        <v>3</v>
      </c>
      <c r="M95" s="243">
        <f t="shared" si="7"/>
        <v>5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254</v>
      </c>
      <c r="E98" s="227" t="s">
        <v>74</v>
      </c>
      <c r="F98" s="227" t="s">
        <v>81</v>
      </c>
      <c r="G98" s="228" t="s">
        <v>239</v>
      </c>
      <c r="H98" s="227" t="s">
        <v>82</v>
      </c>
      <c r="I98" s="227" t="s">
        <v>75</v>
      </c>
      <c r="J98" s="229">
        <v>0.0</v>
      </c>
      <c r="K98" s="230">
        <v>6.0</v>
      </c>
      <c r="L98" s="231">
        <f>IF(AND(J98&gt;K98,J99&gt;K99),2,IF(J98&gt;K98,1,IF(J99&gt;K99,1,0)))</f>
        <v>0</v>
      </c>
      <c r="M98" s="231">
        <f>IF(AND(K98&gt;J98,K99&gt;J99),2,IF(K98&gt;J98,1,IF(K99&gt;J99,1,0)))</f>
        <v>2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2.0</v>
      </c>
      <c r="K99" s="235">
        <v>6.0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257</v>
      </c>
      <c r="E101" s="227" t="s">
        <v>120</v>
      </c>
      <c r="F101" s="227" t="s">
        <v>127</v>
      </c>
      <c r="G101" s="228" t="s">
        <v>239</v>
      </c>
      <c r="H101" s="227" t="s">
        <v>128</v>
      </c>
      <c r="I101" s="227" t="s">
        <v>135</v>
      </c>
      <c r="J101" s="229">
        <v>6.0</v>
      </c>
      <c r="K101" s="230">
        <v>0.0</v>
      </c>
      <c r="L101" s="231">
        <f>IF(AND(J101&gt;K101,J102&gt;K102),2,IF(J101&gt;K101,1,IF(J102&gt;K102,1,0)))</f>
        <v>2</v>
      </c>
      <c r="M101" s="231">
        <f>IF(AND(K101&gt;J101,K102&gt;J102),2,IF(K101&gt;J101,1,IF(K102&gt;J102,1,0)))</f>
        <v>0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7.0</v>
      </c>
      <c r="K102" s="235">
        <v>5.0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64" t="s">
        <v>283</v>
      </c>
      <c r="D104" s="226" t="s">
        <v>246</v>
      </c>
      <c r="E104" s="227" t="s">
        <v>141</v>
      </c>
      <c r="F104" s="227" t="s">
        <v>159</v>
      </c>
      <c r="G104" s="228" t="s">
        <v>239</v>
      </c>
      <c r="H104" s="227" t="s">
        <v>148</v>
      </c>
      <c r="I104" s="227" t="s">
        <v>321</v>
      </c>
      <c r="J104" s="229">
        <v>6.0</v>
      </c>
      <c r="K104" s="230">
        <v>4.0</v>
      </c>
      <c r="L104" s="231">
        <f>IF(AND(J104&gt;K104,J105&gt;K105),2,IF(J104&gt;K104,1,IF(J105&gt;K105,1,0)))</f>
        <v>2</v>
      </c>
      <c r="M104" s="231">
        <f>IF(AND(K104&gt;J104,K105&gt;J105),2,IF(K104&gt;J104,1,IF(K105&gt;J105,1,0)))</f>
        <v>0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7.0</v>
      </c>
      <c r="K105" s="235">
        <v>5.0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/>
      <c r="D107" s="238" t="s">
        <v>256</v>
      </c>
      <c r="E107" s="227" t="s">
        <v>182</v>
      </c>
      <c r="F107" s="227" t="s">
        <v>188</v>
      </c>
      <c r="G107" s="239" t="s">
        <v>239</v>
      </c>
      <c r="H107" s="227" t="s">
        <v>183</v>
      </c>
      <c r="I107" s="227" t="s">
        <v>195</v>
      </c>
      <c r="J107" s="229">
        <v>6.0</v>
      </c>
      <c r="K107" s="230">
        <v>0.0</v>
      </c>
      <c r="L107" s="231">
        <f>IF(AND(J107&gt;K107,J108&gt;K108),2,IF(J107&gt;K107,1,IF(J108&gt;K108,1,0)))</f>
        <v>2</v>
      </c>
      <c r="M107" s="231">
        <f>IF(AND(K107&gt;J107,K108&gt;J108),2,IF(K107&gt;J107,1,IF(K108&gt;J108,1,0)))</f>
        <v>0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6.0</v>
      </c>
      <c r="K108" s="235">
        <v>2.0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316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40</v>
      </c>
      <c r="K110" s="242">
        <f t="shared" si="8"/>
        <v>28</v>
      </c>
      <c r="L110" s="241">
        <f t="shared" si="8"/>
        <v>6</v>
      </c>
      <c r="M110" s="243">
        <f t="shared" si="8"/>
        <v>2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317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73</v>
      </c>
      <c r="K112" s="249">
        <f t="shared" si="9"/>
        <v>64</v>
      </c>
      <c r="L112" s="250">
        <f t="shared" si="9"/>
        <v>9</v>
      </c>
      <c r="M112" s="251">
        <f t="shared" si="9"/>
        <v>7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7" width="9.14"/>
    <col customWidth="1" min="18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322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15</v>
      </c>
      <c r="F11" s="112"/>
      <c r="G11" s="219"/>
      <c r="H11" s="220" t="s">
        <v>261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64" t="s">
        <v>323</v>
      </c>
      <c r="D13" s="226" t="s">
        <v>256</v>
      </c>
      <c r="E13" s="227" t="s">
        <v>182</v>
      </c>
      <c r="F13" s="227" t="s">
        <v>194</v>
      </c>
      <c r="G13" s="228" t="s">
        <v>239</v>
      </c>
      <c r="H13" s="227" t="s">
        <v>185</v>
      </c>
      <c r="I13" s="227" t="s">
        <v>191</v>
      </c>
      <c r="J13" s="229">
        <v>0.0</v>
      </c>
      <c r="K13" s="230">
        <v>6.0</v>
      </c>
      <c r="L13" s="231">
        <f>IF(AND(J13&gt;K13,J14&gt;K14),2,IF(J13&gt;K13,1,IF(J14&gt;K14,1,0)))</f>
        <v>0</v>
      </c>
      <c r="M13" s="231">
        <f>IF(AND(K13&gt;J13,K14&gt;J14),2,IF(K13&gt;J13,1,IF(K14&gt;J14,1,0)))</f>
        <v>2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1.0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64" t="s">
        <v>324</v>
      </c>
      <c r="D16" s="226" t="s">
        <v>314</v>
      </c>
      <c r="E16" s="227" t="s">
        <v>81</v>
      </c>
      <c r="F16" s="227" t="s">
        <v>141</v>
      </c>
      <c r="G16" s="228" t="s">
        <v>239</v>
      </c>
      <c r="H16" s="227" t="s">
        <v>48</v>
      </c>
      <c r="I16" s="227" t="s">
        <v>162</v>
      </c>
      <c r="J16" s="229">
        <v>6.0</v>
      </c>
      <c r="K16" s="230">
        <v>3.0</v>
      </c>
      <c r="L16" s="231">
        <f>IF(AND(J16&gt;K16,J17&gt;K17),2,IF(J16&gt;K16,1,IF(J17&gt;K17,1,0)))</f>
        <v>2</v>
      </c>
      <c r="M16" s="231">
        <f>IF(AND(K16&gt;J16,K17&gt;J17),2,IF(K16&gt;J16,1,IF(K17&gt;J17,1,0)))</f>
        <v>0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6.0</v>
      </c>
      <c r="K17" s="235">
        <v>1.0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64" t="s">
        <v>325</v>
      </c>
      <c r="D19" s="226" t="s">
        <v>254</v>
      </c>
      <c r="E19" s="227" t="s">
        <v>74</v>
      </c>
      <c r="F19" s="227" t="s">
        <v>45</v>
      </c>
      <c r="G19" s="228" t="s">
        <v>239</v>
      </c>
      <c r="H19" s="227" t="s">
        <v>267</v>
      </c>
      <c r="I19" s="227" t="s">
        <v>84</v>
      </c>
      <c r="J19" s="229">
        <v>1.0</v>
      </c>
      <c r="K19" s="230">
        <v>6.0</v>
      </c>
      <c r="L19" s="231">
        <f>IF(AND(J19&gt;K19,J20&gt;K20),2,IF(J19&gt;K19,1,IF(J20&gt;K20,1,0)))</f>
        <v>0</v>
      </c>
      <c r="M19" s="231">
        <f>IF(AND(K19&gt;J19,K20&gt;J20),2,IF(K19&gt;J19,1,IF(K20&gt;J20,1,0)))</f>
        <v>2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1.0</v>
      </c>
      <c r="K20" s="235">
        <v>6.0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 t="s">
        <v>262</v>
      </c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/>
      <c r="D22" s="238" t="s">
        <v>257</v>
      </c>
      <c r="E22" s="227" t="s">
        <v>120</v>
      </c>
      <c r="F22" s="227" t="s">
        <v>134</v>
      </c>
      <c r="G22" s="239" t="s">
        <v>239</v>
      </c>
      <c r="H22" s="227" t="s">
        <v>130</v>
      </c>
      <c r="I22" s="227" t="s">
        <v>137</v>
      </c>
      <c r="J22" s="229">
        <v>7.0</v>
      </c>
      <c r="K22" s="230">
        <v>6.0</v>
      </c>
      <c r="L22" s="231">
        <f>IF(AND(J22&gt;K22,J23&gt;K23),2,IF(J22&gt;K22,1,IF(J23&gt;K23,1,0)))</f>
        <v>1</v>
      </c>
      <c r="M22" s="231">
        <f>IF(AND(K22&gt;J22,K23&gt;J23),2,IF(K22&gt;J22,1,IF(K23&gt;J23,1,0)))</f>
        <v>1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4.0</v>
      </c>
      <c r="K23" s="235">
        <v>6.0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326</v>
      </c>
      <c r="D25" s="111"/>
      <c r="E25" s="111"/>
      <c r="F25" s="111"/>
      <c r="G25" s="111"/>
      <c r="H25" s="111"/>
      <c r="I25" s="112"/>
      <c r="J25" s="241">
        <f t="shared" ref="J25:M25" si="1">SUM(J13:J23)</f>
        <v>26</v>
      </c>
      <c r="K25" s="242">
        <f t="shared" si="1"/>
        <v>40</v>
      </c>
      <c r="L25" s="241">
        <f t="shared" si="1"/>
        <v>3</v>
      </c>
      <c r="M25" s="243">
        <f t="shared" si="1"/>
        <v>5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64" t="s">
        <v>327</v>
      </c>
      <c r="D28" s="226" t="s">
        <v>243</v>
      </c>
      <c r="E28" s="227" t="s">
        <v>289</v>
      </c>
      <c r="F28" s="227" t="s">
        <v>60</v>
      </c>
      <c r="G28" s="228" t="s">
        <v>239</v>
      </c>
      <c r="H28" s="227" t="s">
        <v>56</v>
      </c>
      <c r="I28" s="227" t="s">
        <v>70</v>
      </c>
      <c r="J28" s="229">
        <v>6.0</v>
      </c>
      <c r="K28" s="230">
        <v>4.0</v>
      </c>
      <c r="L28" s="231">
        <f>IF(AND(J28&gt;K28,J29&gt;K29),2,IF(J28&gt;K28,1,IF(J29&gt;K29,1,0)))</f>
        <v>2</v>
      </c>
      <c r="M28" s="231">
        <f>IF(AND(K28&gt;J28,K29&gt;J29),2,IF(K28&gt;J28,1,IF(K29&gt;J29,1,0)))</f>
        <v>0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6.0</v>
      </c>
      <c r="K29" s="235">
        <v>4.0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64" t="s">
        <v>281</v>
      </c>
      <c r="D31" s="226" t="s">
        <v>244</v>
      </c>
      <c r="E31" s="227" t="s">
        <v>100</v>
      </c>
      <c r="F31" s="227" t="s">
        <v>107</v>
      </c>
      <c r="G31" s="228" t="s">
        <v>239</v>
      </c>
      <c r="H31" s="227" t="s">
        <v>117</v>
      </c>
      <c r="I31" s="227" t="s">
        <v>110</v>
      </c>
      <c r="J31" s="229">
        <v>2.0</v>
      </c>
      <c r="K31" s="230">
        <v>6.0</v>
      </c>
      <c r="L31" s="231">
        <f>IF(AND(J31&gt;K31,J32&gt;K32),2,IF(J31&gt;K31,1,IF(J32&gt;K32,1,0)))</f>
        <v>0</v>
      </c>
      <c r="M31" s="231">
        <f>IF(AND(K31&gt;J31,K32&gt;J32),2,IF(K31&gt;J31,1,IF(K32&gt;J32,1,0)))</f>
        <v>2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6.0</v>
      </c>
      <c r="K32" s="235">
        <v>7.0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64" t="s">
        <v>328</v>
      </c>
      <c r="D34" s="226" t="s">
        <v>246</v>
      </c>
      <c r="E34" s="227" t="s">
        <v>147</v>
      </c>
      <c r="F34" s="227" t="s">
        <v>152</v>
      </c>
      <c r="G34" s="228" t="s">
        <v>239</v>
      </c>
      <c r="H34" s="227" t="s">
        <v>144</v>
      </c>
      <c r="I34" s="227" t="s">
        <v>155</v>
      </c>
      <c r="J34" s="229">
        <v>6.0</v>
      </c>
      <c r="K34" s="230">
        <v>1.0</v>
      </c>
      <c r="L34" s="231">
        <f>IF(AND(J34&gt;K34,J35&gt;K35),2,IF(J34&gt;K34,1,IF(J35&gt;K35,1,0)))</f>
        <v>2</v>
      </c>
      <c r="M34" s="231">
        <f>IF(AND(K34&gt;J34,K35&gt;J35),2,IF(K34&gt;J34,1,IF(K35&gt;J35,1,0)))</f>
        <v>0</v>
      </c>
      <c r="N34" s="209"/>
      <c r="O34" s="209"/>
      <c r="P34" s="209"/>
      <c r="Q34" s="209"/>
      <c r="R34" s="209"/>
      <c r="S34" s="270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6.0</v>
      </c>
      <c r="K35" s="235">
        <v>3.0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64" t="s">
        <v>327</v>
      </c>
      <c r="D37" s="238" t="s">
        <v>248</v>
      </c>
      <c r="E37" s="227" t="s">
        <v>177</v>
      </c>
      <c r="F37" s="227" t="s">
        <v>165</v>
      </c>
      <c r="G37" s="228" t="s">
        <v>239</v>
      </c>
      <c r="H37" s="227" t="s">
        <v>168</v>
      </c>
      <c r="I37" s="227" t="s">
        <v>174</v>
      </c>
      <c r="J37" s="229">
        <v>6.0</v>
      </c>
      <c r="K37" s="230">
        <v>3.0</v>
      </c>
      <c r="L37" s="231">
        <f>IF(AND(J37&gt;K37,J38&gt;K38),2,IF(J37&gt;K37,1,IF(J38&gt;K38,1,0)))</f>
        <v>2</v>
      </c>
      <c r="M37" s="231">
        <f>IF(AND(K37&gt;J37,K38&gt;J38),2,IF(K37&gt;J37,1,IF(K38&gt;J38,1,0)))</f>
        <v>0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6.0</v>
      </c>
      <c r="K38" s="235">
        <v>2.0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329</v>
      </c>
      <c r="D40" s="111"/>
      <c r="E40" s="111"/>
      <c r="F40" s="111"/>
      <c r="G40" s="111"/>
      <c r="H40" s="111"/>
      <c r="I40" s="112"/>
      <c r="J40" s="241">
        <f t="shared" ref="J40:M40" si="2">SUM(J28:J38)</f>
        <v>44</v>
      </c>
      <c r="K40" s="242">
        <f t="shared" si="2"/>
        <v>30</v>
      </c>
      <c r="L40" s="241">
        <f t="shared" si="2"/>
        <v>6</v>
      </c>
      <c r="M40" s="243">
        <f t="shared" si="2"/>
        <v>2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330</v>
      </c>
      <c r="D42" s="111"/>
      <c r="E42" s="111"/>
      <c r="F42" s="111"/>
      <c r="G42" s="111"/>
      <c r="H42" s="111"/>
      <c r="I42" s="112"/>
      <c r="J42" s="248">
        <f t="shared" ref="J42:M42" si="3">J40+J25</f>
        <v>70</v>
      </c>
      <c r="K42" s="249">
        <f t="shared" si="3"/>
        <v>70</v>
      </c>
      <c r="L42" s="250">
        <f t="shared" si="3"/>
        <v>9</v>
      </c>
      <c r="M42" s="251">
        <f t="shared" si="3"/>
        <v>7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18</v>
      </c>
      <c r="F46" s="112"/>
      <c r="G46" s="219"/>
      <c r="H46" s="220" t="s">
        <v>19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244</v>
      </c>
      <c r="E48" s="227" t="s">
        <v>108</v>
      </c>
      <c r="F48" s="227" t="s">
        <v>304</v>
      </c>
      <c r="G48" s="228" t="s">
        <v>331</v>
      </c>
      <c r="H48" s="227" t="s">
        <v>116</v>
      </c>
      <c r="I48" s="227" t="s">
        <v>109</v>
      </c>
      <c r="J48" s="229">
        <v>0.0</v>
      </c>
      <c r="K48" s="230">
        <v>6.0</v>
      </c>
      <c r="L48" s="231">
        <f>IF(AND(J48&gt;K48,J49&gt;K49),2,IF(J48&gt;K48,1,IF(J49&gt;K49,1,0)))</f>
        <v>0</v>
      </c>
      <c r="M48" s="231">
        <f>IF(AND(K48&gt;J48,K49&gt;J49),2,IF(K48&gt;J48,1,IF(K49&gt;J49,1,0)))</f>
        <v>2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0.0</v>
      </c>
      <c r="K49" s="235">
        <v>6.0</v>
      </c>
      <c r="L49" s="233"/>
      <c r="M49" s="233"/>
      <c r="N49" s="257" t="s">
        <v>332</v>
      </c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254</v>
      </c>
      <c r="E51" s="227" t="s">
        <v>82</v>
      </c>
      <c r="F51" s="227" t="s">
        <v>75</v>
      </c>
      <c r="G51" s="228" t="s">
        <v>331</v>
      </c>
      <c r="H51" s="227" t="s">
        <v>83</v>
      </c>
      <c r="I51" s="227" t="s">
        <v>95</v>
      </c>
      <c r="J51" s="229">
        <v>6.0</v>
      </c>
      <c r="K51" s="230">
        <v>2.0</v>
      </c>
      <c r="L51" s="231">
        <f>IF(AND(J51&gt;K51,J52&gt;K52),2,IF(J51&gt;K51,1,IF(J52&gt;K52,1,0)))</f>
        <v>2</v>
      </c>
      <c r="M51" s="231">
        <f>IF(AND(K51&gt;J51,K52&gt;J52),2,IF(K51&gt;J51,1,IF(K52&gt;J52,1,0)))</f>
        <v>0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6.0</v>
      </c>
      <c r="K52" s="235">
        <v>4.0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246</v>
      </c>
      <c r="E54" s="227" t="s">
        <v>148</v>
      </c>
      <c r="F54" s="227" t="s">
        <v>153</v>
      </c>
      <c r="G54" s="228" t="s">
        <v>239</v>
      </c>
      <c r="H54" s="227" t="s">
        <v>252</v>
      </c>
      <c r="I54" s="227" t="s">
        <v>47</v>
      </c>
      <c r="J54" s="229">
        <v>2.0</v>
      </c>
      <c r="K54" s="230">
        <v>6.0</v>
      </c>
      <c r="L54" s="231">
        <f>IF(AND(J54&gt;K54,J55&gt;K55),2,IF(J54&gt;K54,1,IF(J55&gt;K55,1,0)))</f>
        <v>0</v>
      </c>
      <c r="M54" s="231">
        <f>IF(AND(K54&gt;J54,K55&gt;J55),2,IF(K54&gt;J54,1,IF(K55&gt;J55,1,0)))</f>
        <v>2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5.0</v>
      </c>
      <c r="K55" s="235">
        <v>7.0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248</v>
      </c>
      <c r="E57" s="227" t="s">
        <v>166</v>
      </c>
      <c r="F57" s="227" t="s">
        <v>172</v>
      </c>
      <c r="G57" s="239" t="s">
        <v>239</v>
      </c>
      <c r="H57" s="227" t="s">
        <v>179</v>
      </c>
      <c r="I57" s="227" t="s">
        <v>173</v>
      </c>
      <c r="J57" s="229">
        <v>6.0</v>
      </c>
      <c r="K57" s="230">
        <v>3.0</v>
      </c>
      <c r="L57" s="231">
        <f>IF(AND(J57&gt;K57,J58&gt;K58),2,IF(J57&gt;K57,1,IF(J58&gt;K58,1,0)))</f>
        <v>2</v>
      </c>
      <c r="M57" s="231">
        <f>IF(AND(K57&gt;J57,K58&gt;J58),2,IF(K57&gt;J57,1,IF(K58&gt;J58,1,0)))</f>
        <v>0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6.0</v>
      </c>
      <c r="K58" s="235">
        <v>3.0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326</v>
      </c>
      <c r="D60" s="111"/>
      <c r="E60" s="111"/>
      <c r="F60" s="111"/>
      <c r="G60" s="111"/>
      <c r="H60" s="111"/>
      <c r="I60" s="112"/>
      <c r="J60" s="241">
        <f t="shared" ref="J60:M60" si="4">SUM(J48:J58)</f>
        <v>31</v>
      </c>
      <c r="K60" s="242">
        <f t="shared" si="4"/>
        <v>37</v>
      </c>
      <c r="L60" s="241">
        <f t="shared" si="4"/>
        <v>4</v>
      </c>
      <c r="M60" s="243">
        <f t="shared" si="4"/>
        <v>4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256</v>
      </c>
      <c r="E63" s="227" t="s">
        <v>183</v>
      </c>
      <c r="F63" s="227" t="s">
        <v>189</v>
      </c>
      <c r="G63" s="228" t="s">
        <v>331</v>
      </c>
      <c r="H63" s="227" t="s">
        <v>190</v>
      </c>
      <c r="I63" s="227" t="s">
        <v>196</v>
      </c>
      <c r="J63" s="229">
        <v>6.0</v>
      </c>
      <c r="K63" s="230">
        <v>4.0</v>
      </c>
      <c r="L63" s="231">
        <f>IF(AND(J63&gt;K63,J64&gt;K64),2,IF(J63&gt;K63,1,IF(J64&gt;K64,1,0)))</f>
        <v>2</v>
      </c>
      <c r="M63" s="231">
        <f>IF(AND(K63&gt;J63,K64&gt;J64),2,IF(K63&gt;J63,1,IF(K64&gt;J64,1,0)))</f>
        <v>0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7.0</v>
      </c>
      <c r="K64" s="235">
        <v>6.0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281</v>
      </c>
      <c r="D66" s="226" t="s">
        <v>269</v>
      </c>
      <c r="E66" s="227" t="s">
        <v>160</v>
      </c>
      <c r="F66" s="227" t="s">
        <v>88</v>
      </c>
      <c r="G66" s="228" t="s">
        <v>239</v>
      </c>
      <c r="H66" s="227" t="s">
        <v>76</v>
      </c>
      <c r="I66" s="227" t="s">
        <v>161</v>
      </c>
      <c r="J66" s="229">
        <v>1.0</v>
      </c>
      <c r="K66" s="230">
        <v>6.0</v>
      </c>
      <c r="L66" s="231">
        <f>IF(AND(J66&gt;K66,J67&gt;K67),2,IF(J66&gt;K66,1,IF(J67&gt;K67,1,0)))</f>
        <v>1</v>
      </c>
      <c r="M66" s="231">
        <f>IF(AND(K66&gt;J66,K67&gt;J67),2,IF(K66&gt;J66,1,IF(K67&gt;J67,1,0)))</f>
        <v>1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4.0</v>
      </c>
      <c r="L67" s="233"/>
      <c r="M67" s="233"/>
      <c r="N67" s="209"/>
      <c r="O67" s="209"/>
      <c r="P67" s="209"/>
      <c r="Q67" s="209" t="s">
        <v>262</v>
      </c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283</v>
      </c>
      <c r="D69" s="226" t="s">
        <v>243</v>
      </c>
      <c r="E69" s="227" t="s">
        <v>54</v>
      </c>
      <c r="F69" s="227" t="s">
        <v>61</v>
      </c>
      <c r="G69" s="228" t="s">
        <v>239</v>
      </c>
      <c r="H69" s="227" t="s">
        <v>62</v>
      </c>
      <c r="I69" s="227" t="s">
        <v>333</v>
      </c>
      <c r="J69" s="229">
        <v>6.0</v>
      </c>
      <c r="K69" s="230">
        <v>2.0</v>
      </c>
      <c r="L69" s="231">
        <f>IF(AND(J69&gt;K69,J70&gt;K70),2,IF(J69&gt;K69,1,IF(J70&gt;K70,1,0)))</f>
        <v>2</v>
      </c>
      <c r="M69" s="231">
        <f>IF(AND(K69&gt;J69,K70&gt;J70),2,IF(K69&gt;J69,1,IF(K70&gt;J70,1,0)))</f>
        <v>0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6.0</v>
      </c>
      <c r="K70" s="235">
        <v>3.0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/>
      <c r="D72" s="238" t="s">
        <v>257</v>
      </c>
      <c r="E72" s="227" t="s">
        <v>121</v>
      </c>
      <c r="F72" s="227" t="s">
        <v>135</v>
      </c>
      <c r="G72" s="239" t="s">
        <v>239</v>
      </c>
      <c r="H72" s="227" t="s">
        <v>122</v>
      </c>
      <c r="I72" s="227" t="s">
        <v>136</v>
      </c>
      <c r="J72" s="229">
        <v>6.0</v>
      </c>
      <c r="K72" s="230">
        <v>2.0</v>
      </c>
      <c r="L72" s="231">
        <f>IF(AND(J72&gt;K72,J73&gt;K73),2,IF(J72&gt;K72,1,IF(J73&gt;K73,1,0)))</f>
        <v>2</v>
      </c>
      <c r="M72" s="231">
        <f>IF(AND(K72&gt;J72,K73&gt;J73),2,IF(K72&gt;J72,1,IF(K73&gt;J73,1,0)))</f>
        <v>0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6.0</v>
      </c>
      <c r="K73" s="235">
        <v>3.0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329</v>
      </c>
      <c r="D75" s="111"/>
      <c r="E75" s="111"/>
      <c r="F75" s="111"/>
      <c r="G75" s="111"/>
      <c r="H75" s="111"/>
      <c r="I75" s="112"/>
      <c r="J75" s="241">
        <f t="shared" ref="J75:M75" si="5">SUM(J63:J73)</f>
        <v>44</v>
      </c>
      <c r="K75" s="242">
        <f t="shared" si="5"/>
        <v>30</v>
      </c>
      <c r="L75" s="241">
        <f t="shared" si="5"/>
        <v>7</v>
      </c>
      <c r="M75" s="243">
        <f t="shared" si="5"/>
        <v>1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330</v>
      </c>
      <c r="D77" s="111"/>
      <c r="E77" s="111"/>
      <c r="F77" s="111"/>
      <c r="G77" s="111"/>
      <c r="H77" s="111"/>
      <c r="I77" s="112"/>
      <c r="J77" s="248">
        <f t="shared" ref="J77:M77" si="6">J75+J60</f>
        <v>75</v>
      </c>
      <c r="K77" s="249">
        <f t="shared" si="6"/>
        <v>67</v>
      </c>
      <c r="L77" s="250">
        <f t="shared" si="6"/>
        <v>11</v>
      </c>
      <c r="M77" s="251">
        <f t="shared" si="6"/>
        <v>5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21</v>
      </c>
      <c r="F81" s="112"/>
      <c r="G81" s="219"/>
      <c r="H81" s="220" t="s">
        <v>22</v>
      </c>
      <c r="I81" s="112"/>
      <c r="J81" s="221" t="s">
        <v>240</v>
      </c>
      <c r="K81" s="112"/>
      <c r="L81" s="221" t="s">
        <v>241</v>
      </c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64" t="s">
        <v>323</v>
      </c>
      <c r="D83" s="226" t="s">
        <v>244</v>
      </c>
      <c r="E83" s="227" t="s">
        <v>104</v>
      </c>
      <c r="F83" s="227" t="s">
        <v>49</v>
      </c>
      <c r="G83" s="228" t="s">
        <v>331</v>
      </c>
      <c r="H83" s="227" t="s">
        <v>105</v>
      </c>
      <c r="I83" s="227" t="s">
        <v>112</v>
      </c>
      <c r="J83" s="229">
        <v>3.0</v>
      </c>
      <c r="K83" s="230">
        <v>6.0</v>
      </c>
      <c r="L83" s="231">
        <f>IF(AND(J83&gt;K83,J84&gt;K84),2,IF(J83&gt;K83,1,IF(J84&gt;K84,1,0)))</f>
        <v>0</v>
      </c>
      <c r="M83" s="231">
        <f>IF(AND(K83&gt;J83,K84&gt;J84),2,IF(K83&gt;J83,1,IF(K84&gt;J84,1,0)))</f>
        <v>2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2.0</v>
      </c>
      <c r="K84" s="235">
        <v>6.0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 t="s">
        <v>262</v>
      </c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64" t="s">
        <v>324</v>
      </c>
      <c r="D86" s="226" t="s">
        <v>314</v>
      </c>
      <c r="E86" s="227" t="s">
        <v>334</v>
      </c>
      <c r="F86" s="227" t="s">
        <v>145</v>
      </c>
      <c r="G86" s="228" t="s">
        <v>239</v>
      </c>
      <c r="H86" s="227" t="s">
        <v>335</v>
      </c>
      <c r="I86" s="227" t="s">
        <v>151</v>
      </c>
      <c r="J86" s="229">
        <v>3.0</v>
      </c>
      <c r="K86" s="230">
        <v>6.0</v>
      </c>
      <c r="L86" s="231">
        <f>IF(AND(J86&gt;K86,J87&gt;K87),2,IF(J86&gt;K86,1,IF(J87&gt;K87,1,0)))</f>
        <v>1</v>
      </c>
      <c r="M86" s="231">
        <f>IF(AND(K86&gt;J86,K87&gt;J87),2,IF(K86&gt;J86,1,IF(K87&gt;J87,1,0)))</f>
        <v>1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4.0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64" t="s">
        <v>325</v>
      </c>
      <c r="D89" s="226" t="s">
        <v>243</v>
      </c>
      <c r="E89" s="227" t="s">
        <v>57</v>
      </c>
      <c r="F89" s="227" t="s">
        <v>64</v>
      </c>
      <c r="G89" s="228" t="s">
        <v>239</v>
      </c>
      <c r="H89" s="227" t="s">
        <v>58</v>
      </c>
      <c r="I89" s="227" t="s">
        <v>336</v>
      </c>
      <c r="J89" s="229">
        <v>6.0</v>
      </c>
      <c r="K89" s="230">
        <v>7.0</v>
      </c>
      <c r="L89" s="231">
        <f>IF(AND(J89&gt;K89,J90&gt;K90),2,IF(J89&gt;K89,1,IF(J90&gt;K90,1,0)))</f>
        <v>0</v>
      </c>
      <c r="M89" s="231">
        <f>IF(AND(K89&gt;J89,K90&gt;J90),2,IF(K89&gt;J89,1,IF(K90&gt;J90,1,0)))</f>
        <v>2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3.0</v>
      </c>
      <c r="K90" s="235">
        <v>6.0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64" t="s">
        <v>324</v>
      </c>
      <c r="D92" s="238" t="s">
        <v>256</v>
      </c>
      <c r="E92" s="227" t="s">
        <v>186</v>
      </c>
      <c r="F92" s="227" t="s">
        <v>263</v>
      </c>
      <c r="G92" s="239" t="s">
        <v>239</v>
      </c>
      <c r="H92" s="227" t="s">
        <v>187</v>
      </c>
      <c r="I92" s="227" t="s">
        <v>199</v>
      </c>
      <c r="J92" s="229">
        <v>7.0</v>
      </c>
      <c r="K92" s="230">
        <v>5.0</v>
      </c>
      <c r="L92" s="231">
        <f>IF(AND(J92&gt;K92,J93&gt;K93),2,IF(J92&gt;K92,1,IF(J93&gt;K93,1,0)))</f>
        <v>1</v>
      </c>
      <c r="M92" s="231">
        <f>IF(AND(K92&gt;J92,K93&gt;J93),2,IF(K92&gt;J92,1,IF(K93&gt;J93,1,0)))</f>
        <v>1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3.0</v>
      </c>
      <c r="K93" s="235">
        <v>6.0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326</v>
      </c>
      <c r="D95" s="111"/>
      <c r="E95" s="111"/>
      <c r="F95" s="111"/>
      <c r="G95" s="111"/>
      <c r="H95" s="111"/>
      <c r="I95" s="112"/>
      <c r="J95" s="241">
        <f t="shared" ref="J95:M95" si="7">SUM(J83:J93)</f>
        <v>33</v>
      </c>
      <c r="K95" s="242">
        <f t="shared" si="7"/>
        <v>46</v>
      </c>
      <c r="L95" s="241">
        <f t="shared" si="7"/>
        <v>2</v>
      </c>
      <c r="M95" s="243">
        <f t="shared" si="7"/>
        <v>6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246</v>
      </c>
      <c r="E98" s="227" t="s">
        <v>150</v>
      </c>
      <c r="F98" s="227" t="s">
        <v>163</v>
      </c>
      <c r="G98" s="228" t="s">
        <v>331</v>
      </c>
      <c r="H98" s="227" t="s">
        <v>146</v>
      </c>
      <c r="I98" s="227" t="s">
        <v>337</v>
      </c>
      <c r="J98" s="229">
        <v>2.0</v>
      </c>
      <c r="K98" s="230">
        <v>6.0</v>
      </c>
      <c r="L98" s="231">
        <f>IF(AND(J98&gt;K98,J99&gt;K99),2,IF(J98&gt;K98,1,IF(J99&gt;K99,1,0)))</f>
        <v>0</v>
      </c>
      <c r="M98" s="231">
        <f>IF(AND(K98&gt;J98,K99&gt;J99),2,IF(K98&gt;J98,1,IF(K99&gt;J99,1,0)))</f>
        <v>2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1.0</v>
      </c>
      <c r="K99" s="235">
        <v>6.0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248</v>
      </c>
      <c r="E101" s="227" t="s">
        <v>169</v>
      </c>
      <c r="F101" s="227" t="s">
        <v>181</v>
      </c>
      <c r="G101" s="228" t="s">
        <v>239</v>
      </c>
      <c r="H101" s="227" t="s">
        <v>170</v>
      </c>
      <c r="I101" s="227" t="s">
        <v>176</v>
      </c>
      <c r="J101" s="229">
        <v>3.0</v>
      </c>
      <c r="K101" s="230">
        <v>6.0</v>
      </c>
      <c r="L101" s="231">
        <f>IF(AND(J101&gt;K101,J102&gt;K102),2,IF(J101&gt;K101,1,IF(J102&gt;K102,1,0)))</f>
        <v>0</v>
      </c>
      <c r="M101" s="231">
        <f>IF(AND(K101&gt;J101,K102&gt;J102),2,IF(K101&gt;J101,1,IF(K102&gt;J102,1,0)))</f>
        <v>2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0.0</v>
      </c>
      <c r="K102" s="235">
        <v>6.0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255</v>
      </c>
      <c r="D104" s="226" t="s">
        <v>254</v>
      </c>
      <c r="E104" s="227" t="s">
        <v>78</v>
      </c>
      <c r="F104" s="227" t="s">
        <v>90</v>
      </c>
      <c r="G104" s="228" t="s">
        <v>239</v>
      </c>
      <c r="H104" s="227" t="s">
        <v>79</v>
      </c>
      <c r="I104" s="227" t="s">
        <v>98</v>
      </c>
      <c r="J104" s="229">
        <v>6.0</v>
      </c>
      <c r="K104" s="230">
        <v>3.0</v>
      </c>
      <c r="L104" s="231">
        <f>IF(AND(J104&gt;K104,J105&gt;K105),2,IF(J104&gt;K104,1,IF(J105&gt;K105,1,0)))</f>
        <v>1</v>
      </c>
      <c r="M104" s="231">
        <f>IF(AND(K104&gt;J104,K105&gt;J105),2,IF(K104&gt;J104,1,IF(K105&gt;J105,1,0)))</f>
        <v>1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1.0</v>
      </c>
      <c r="K105" s="235">
        <v>6.0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64" t="s">
        <v>253</v>
      </c>
      <c r="D107" s="238" t="s">
        <v>257</v>
      </c>
      <c r="E107" s="227" t="s">
        <v>124</v>
      </c>
      <c r="F107" s="227" t="s">
        <v>131</v>
      </c>
      <c r="G107" s="239" t="s">
        <v>239</v>
      </c>
      <c r="H107" s="227" t="s">
        <v>125</v>
      </c>
      <c r="I107" s="227" t="s">
        <v>139</v>
      </c>
      <c r="J107" s="229">
        <v>1.0</v>
      </c>
      <c r="K107" s="230">
        <v>6.0</v>
      </c>
      <c r="L107" s="231">
        <f>IF(AND(J107&gt;K107,J108&gt;K108),2,IF(J107&gt;K107,1,IF(J108&gt;K108,1,0)))</f>
        <v>0</v>
      </c>
      <c r="M107" s="231">
        <f>IF(AND(K107&gt;J107,K108&gt;J108),2,IF(K107&gt;J107,1,IF(K108&gt;J108,1,0)))</f>
        <v>2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1.0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329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15</v>
      </c>
      <c r="K110" s="242">
        <f t="shared" si="8"/>
        <v>45</v>
      </c>
      <c r="L110" s="241">
        <f t="shared" si="8"/>
        <v>1</v>
      </c>
      <c r="M110" s="243">
        <f t="shared" si="8"/>
        <v>7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330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48</v>
      </c>
      <c r="K112" s="249">
        <f t="shared" si="9"/>
        <v>91</v>
      </c>
      <c r="L112" s="250">
        <f t="shared" si="9"/>
        <v>3</v>
      </c>
      <c r="M112" s="251">
        <f t="shared" si="9"/>
        <v>13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338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15</v>
      </c>
      <c r="F11" s="112"/>
      <c r="G11" s="219"/>
      <c r="H11" s="220" t="s">
        <v>19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248</v>
      </c>
      <c r="E13" s="227" t="s">
        <v>171</v>
      </c>
      <c r="F13" s="227" t="s">
        <v>177</v>
      </c>
      <c r="G13" s="228" t="s">
        <v>239</v>
      </c>
      <c r="H13" s="227" t="s">
        <v>167</v>
      </c>
      <c r="I13" s="227" t="s">
        <v>173</v>
      </c>
      <c r="J13" s="229">
        <v>7.0</v>
      </c>
      <c r="K13" s="230">
        <v>6.0</v>
      </c>
      <c r="L13" s="231">
        <f>IF(AND(J13&gt;K13,J14&gt;K14),2,IF(J13&gt;K13,1,IF(J14&gt;K14,1,0)))</f>
        <v>1</v>
      </c>
      <c r="M13" s="231">
        <f>IF(AND(K13&gt;J13,K14&gt;J14),2,IF(K13&gt;J13,1,IF(K14&gt;J14,1,0)))</f>
        <v>1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3.0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244</v>
      </c>
      <c r="E16" s="227" t="s">
        <v>100</v>
      </c>
      <c r="F16" s="227" t="s">
        <v>114</v>
      </c>
      <c r="G16" s="228" t="s">
        <v>239</v>
      </c>
      <c r="H16" s="227" t="s">
        <v>102</v>
      </c>
      <c r="I16" s="227" t="s">
        <v>116</v>
      </c>
      <c r="J16" s="229">
        <v>2.0</v>
      </c>
      <c r="K16" s="230">
        <v>6.0</v>
      </c>
      <c r="L16" s="231">
        <f>IF(AND(J16&gt;K16,J17&gt;K17),2,IF(J16&gt;K16,1,IF(J17&gt;K17,1,0)))</f>
        <v>0</v>
      </c>
      <c r="M16" s="231">
        <f>IF(AND(K16&gt;J16,K17&gt;J17),2,IF(K16&gt;J16,1,IF(K17&gt;J17,1,0)))</f>
        <v>2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3.0</v>
      </c>
      <c r="K17" s="235">
        <v>6.0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251</v>
      </c>
      <c r="E19" s="227" t="s">
        <v>74</v>
      </c>
      <c r="F19" s="227" t="s">
        <v>159</v>
      </c>
      <c r="G19" s="228" t="s">
        <v>239</v>
      </c>
      <c r="H19" s="227" t="s">
        <v>89</v>
      </c>
      <c r="I19" s="227" t="s">
        <v>247</v>
      </c>
      <c r="J19" s="229">
        <v>4.0</v>
      </c>
      <c r="K19" s="230">
        <v>6.0</v>
      </c>
      <c r="L19" s="231">
        <f>IF(AND(J19&gt;K19,J20&gt;K20),2,IF(J19&gt;K19,1,IF(J20&gt;K20,1,0)))</f>
        <v>0</v>
      </c>
      <c r="M19" s="231">
        <f>IF(AND(K19&gt;J19,K20&gt;J20),2,IF(K19&gt;J19,1,IF(K20&gt;J20,1,0)))</f>
        <v>2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0.0</v>
      </c>
      <c r="K20" s="235">
        <v>6.0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242</v>
      </c>
      <c r="D22" s="238" t="s">
        <v>257</v>
      </c>
      <c r="E22" s="227" t="s">
        <v>120</v>
      </c>
      <c r="F22" s="227" t="s">
        <v>127</v>
      </c>
      <c r="G22" s="228" t="s">
        <v>239</v>
      </c>
      <c r="H22" s="227" t="s">
        <v>122</v>
      </c>
      <c r="I22" s="227" t="s">
        <v>136</v>
      </c>
      <c r="J22" s="229">
        <v>6.0</v>
      </c>
      <c r="K22" s="230">
        <v>4.0</v>
      </c>
      <c r="L22" s="231">
        <f>IF(AND(J22&gt;K22,J23&gt;K23),2,IF(J22&gt;K22,1,IF(J23&gt;K23,1,0)))</f>
        <v>2</v>
      </c>
      <c r="M22" s="231">
        <f>IF(AND(K22&gt;J22,K23&gt;J23),2,IF(K22&gt;J22,1,IF(K23&gt;J23,1,0)))</f>
        <v>0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6.0</v>
      </c>
      <c r="K23" s="235">
        <v>2.0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339</v>
      </c>
      <c r="D25" s="111"/>
      <c r="E25" s="111"/>
      <c r="F25" s="111"/>
      <c r="G25" s="111"/>
      <c r="H25" s="111"/>
      <c r="I25" s="112"/>
      <c r="J25" s="241">
        <f t="shared" ref="J25:M25" si="1">SUM(J13:J23)</f>
        <v>31</v>
      </c>
      <c r="K25" s="242">
        <f t="shared" si="1"/>
        <v>42</v>
      </c>
      <c r="L25" s="241">
        <f t="shared" si="1"/>
        <v>3</v>
      </c>
      <c r="M25" s="243">
        <f t="shared" si="1"/>
        <v>5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301</v>
      </c>
      <c r="D28" s="226" t="s">
        <v>243</v>
      </c>
      <c r="E28" s="227" t="s">
        <v>289</v>
      </c>
      <c r="F28" s="227" t="s">
        <v>67</v>
      </c>
      <c r="G28" s="228" t="s">
        <v>239</v>
      </c>
      <c r="H28" s="227" t="s">
        <v>55</v>
      </c>
      <c r="I28" s="227" t="s">
        <v>69</v>
      </c>
      <c r="J28" s="229">
        <v>6.0</v>
      </c>
      <c r="K28" s="230">
        <v>4.0</v>
      </c>
      <c r="L28" s="231">
        <f>IF(AND(J28&gt;K28,J29&gt;K29),2,IF(J28&gt;K28,1,IF(J29&gt;K29,1,0)))</f>
        <v>2</v>
      </c>
      <c r="M28" s="231">
        <f>IF(AND(K28&gt;J28,K29&gt;J29),2,IF(K28&gt;J28,1,IF(K29&gt;J29,1,0)))</f>
        <v>0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6.0</v>
      </c>
      <c r="K29" s="235">
        <v>4.0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25" t="s">
        <v>340</v>
      </c>
      <c r="D31" s="226" t="s">
        <v>246</v>
      </c>
      <c r="E31" s="227" t="s">
        <v>141</v>
      </c>
      <c r="F31" s="227" t="s">
        <v>147</v>
      </c>
      <c r="G31" s="228" t="s">
        <v>239</v>
      </c>
      <c r="H31" s="227" t="s">
        <v>252</v>
      </c>
      <c r="I31" s="227" t="s">
        <v>293</v>
      </c>
      <c r="J31" s="229">
        <v>7.0</v>
      </c>
      <c r="K31" s="230">
        <v>6.0</v>
      </c>
      <c r="L31" s="231">
        <f>IF(AND(J31&gt;K31,J32&gt;K32),2,IF(J31&gt;K31,1,IF(J32&gt;K32,1,0)))</f>
        <v>1</v>
      </c>
      <c r="M31" s="231">
        <f>IF(AND(K31&gt;J31,K32&gt;J32),2,IF(K31&gt;J31,1,IF(K32&gt;J32,1,0)))</f>
        <v>1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4.0</v>
      </c>
      <c r="K32" s="235">
        <v>6.0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25" t="s">
        <v>274</v>
      </c>
      <c r="D34" s="226" t="s">
        <v>254</v>
      </c>
      <c r="E34" s="227" t="s">
        <v>81</v>
      </c>
      <c r="F34" s="227" t="s">
        <v>93</v>
      </c>
      <c r="G34" s="228" t="s">
        <v>239</v>
      </c>
      <c r="H34" s="227" t="s">
        <v>76</v>
      </c>
      <c r="I34" s="227" t="s">
        <v>83</v>
      </c>
      <c r="J34" s="229">
        <v>2.0</v>
      </c>
      <c r="K34" s="230">
        <v>6.0</v>
      </c>
      <c r="L34" s="231">
        <f>IF(AND(J34&gt;K34,J35&gt;K35),2,IF(J34&gt;K34,1,IF(J35&gt;K35,1,0)))</f>
        <v>0</v>
      </c>
      <c r="M34" s="231">
        <f>IF(AND(K34&gt;J34,K35&gt;J35),2,IF(K34&gt;J34,1,IF(K35&gt;J35,1,0)))</f>
        <v>2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1.0</v>
      </c>
      <c r="K35" s="235">
        <v>6.0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301</v>
      </c>
      <c r="D37" s="238" t="s">
        <v>256</v>
      </c>
      <c r="E37" s="227" t="s">
        <v>341</v>
      </c>
      <c r="F37" s="227" t="s">
        <v>182</v>
      </c>
      <c r="G37" s="239" t="s">
        <v>239</v>
      </c>
      <c r="H37" s="227" t="s">
        <v>184</v>
      </c>
      <c r="I37" s="227" t="s">
        <v>190</v>
      </c>
      <c r="J37" s="229">
        <v>3.0</v>
      </c>
      <c r="K37" s="230">
        <v>6.0</v>
      </c>
      <c r="L37" s="231">
        <f>IF(AND(J37&gt;K37,J38&gt;K38),2,IF(J37&gt;K37,1,IF(J38&gt;K38,1,0)))</f>
        <v>1</v>
      </c>
      <c r="M37" s="231">
        <f>IF(AND(K37&gt;J37,K38&gt;J38),2,IF(K37&gt;J37,1,IF(K38&gt;J38,1,0)))</f>
        <v>1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6.0</v>
      </c>
      <c r="K38" s="235">
        <v>2.0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342</v>
      </c>
      <c r="D40" s="111"/>
      <c r="E40" s="111"/>
      <c r="F40" s="111"/>
      <c r="G40" s="111"/>
      <c r="H40" s="111"/>
      <c r="I40" s="112"/>
      <c r="J40" s="241">
        <f t="shared" ref="J40:M40" si="2">SUM(J28:J38)</f>
        <v>35</v>
      </c>
      <c r="K40" s="242">
        <f t="shared" si="2"/>
        <v>40</v>
      </c>
      <c r="L40" s="241">
        <f t="shared" si="2"/>
        <v>4</v>
      </c>
      <c r="M40" s="243">
        <f t="shared" si="2"/>
        <v>4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343</v>
      </c>
      <c r="D42" s="111"/>
      <c r="E42" s="111"/>
      <c r="F42" s="111"/>
      <c r="G42" s="111"/>
      <c r="H42" s="111"/>
      <c r="I42" s="112"/>
      <c r="J42" s="248">
        <f t="shared" ref="J42:M42" si="3">J40+J25</f>
        <v>66</v>
      </c>
      <c r="K42" s="249">
        <f t="shared" si="3"/>
        <v>82</v>
      </c>
      <c r="L42" s="250">
        <f t="shared" si="3"/>
        <v>7</v>
      </c>
      <c r="M42" s="251">
        <f t="shared" si="3"/>
        <v>9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261</v>
      </c>
      <c r="F46" s="112"/>
      <c r="G46" s="219"/>
      <c r="H46" s="220" t="s">
        <v>21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256</v>
      </c>
      <c r="E48" s="227" t="s">
        <v>185</v>
      </c>
      <c r="F48" s="227" t="s">
        <v>197</v>
      </c>
      <c r="G48" s="228" t="s">
        <v>239</v>
      </c>
      <c r="H48" s="227" t="s">
        <v>186</v>
      </c>
      <c r="I48" s="227" t="s">
        <v>192</v>
      </c>
      <c r="J48" s="229">
        <v>4.0</v>
      </c>
      <c r="K48" s="230">
        <v>6.0</v>
      </c>
      <c r="L48" s="231">
        <f>IF(AND(J48&gt;K48,J49&gt;K49),2,IF(J48&gt;K48,1,IF(J49&gt;K49,1,0)))</f>
        <v>0</v>
      </c>
      <c r="M48" s="231">
        <f>IF(AND(K48&gt;J48,K49&gt;J49),2,IF(K48&gt;J48,1,IF(K49&gt;J49,1,0)))</f>
        <v>2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4.0</v>
      </c>
      <c r="K49" s="235">
        <v>6.0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254</v>
      </c>
      <c r="E51" s="227" t="s">
        <v>267</v>
      </c>
      <c r="F51" s="227" t="s">
        <v>48</v>
      </c>
      <c r="G51" s="228" t="s">
        <v>239</v>
      </c>
      <c r="H51" s="227" t="s">
        <v>78</v>
      </c>
      <c r="I51" s="227" t="s">
        <v>90</v>
      </c>
      <c r="J51" s="229">
        <v>6.0</v>
      </c>
      <c r="K51" s="230">
        <v>4.0</v>
      </c>
      <c r="L51" s="231">
        <f>IF(AND(J51&gt;K51,J52&gt;K52),2,IF(J51&gt;K51,1,IF(J52&gt;K52,1,0)))</f>
        <v>1</v>
      </c>
      <c r="M51" s="231">
        <f>IF(AND(K51&gt;J51,K52&gt;J52),2,IF(K51&gt;J51,1,IF(K52&gt;J52,1,0)))</f>
        <v>1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5.0</v>
      </c>
      <c r="K52" s="235">
        <v>7.0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64" t="s">
        <v>344</v>
      </c>
      <c r="D54" s="226" t="s">
        <v>243</v>
      </c>
      <c r="E54" s="227" t="s">
        <v>63</v>
      </c>
      <c r="F54" s="227" t="s">
        <v>70</v>
      </c>
      <c r="G54" s="228" t="s">
        <v>239</v>
      </c>
      <c r="H54" s="227" t="s">
        <v>57</v>
      </c>
      <c r="I54" s="227" t="s">
        <v>71</v>
      </c>
      <c r="J54" s="229">
        <v>4.0</v>
      </c>
      <c r="K54" s="230">
        <v>6.0</v>
      </c>
      <c r="L54" s="231">
        <f>IF(AND(J54&gt;K54,J55&gt;K55),2,IF(J54&gt;K54,1,IF(J55&gt;K55,1,0)))</f>
        <v>0</v>
      </c>
      <c r="M54" s="231">
        <f>IF(AND(K54&gt;J54,K55&gt;J55),2,IF(K54&gt;J54,1,IF(K55&gt;J55,1,0)))</f>
        <v>2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2.0</v>
      </c>
      <c r="K55" s="235">
        <v>6.0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246</v>
      </c>
      <c r="E57" s="227" t="s">
        <v>345</v>
      </c>
      <c r="F57" s="227" t="s">
        <v>162</v>
      </c>
      <c r="G57" s="239" t="s">
        <v>239</v>
      </c>
      <c r="H57" s="227" t="s">
        <v>145</v>
      </c>
      <c r="I57" s="227" t="s">
        <v>156</v>
      </c>
      <c r="J57" s="229">
        <v>4.0</v>
      </c>
      <c r="K57" s="230">
        <v>6.0</v>
      </c>
      <c r="L57" s="231">
        <f>IF(AND(J57&gt;K57,J58&gt;K58),2,IF(J57&gt;K57,1,IF(J58&gt;K58,1,0)))</f>
        <v>0</v>
      </c>
      <c r="M57" s="231">
        <f>IF(AND(K57&gt;J57,K58&gt;J58),2,IF(K57&gt;J57,1,IF(K58&gt;J58,1,0)))</f>
        <v>2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3.0</v>
      </c>
      <c r="K58" s="235">
        <v>6.0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339</v>
      </c>
      <c r="D60" s="111"/>
      <c r="E60" s="111"/>
      <c r="F60" s="111"/>
      <c r="G60" s="111"/>
      <c r="H60" s="111"/>
      <c r="I60" s="112"/>
      <c r="J60" s="241">
        <f t="shared" ref="J60:M60" si="4">SUM(J48:J58)</f>
        <v>32</v>
      </c>
      <c r="K60" s="242">
        <f t="shared" si="4"/>
        <v>47</v>
      </c>
      <c r="L60" s="241">
        <f t="shared" si="4"/>
        <v>1</v>
      </c>
      <c r="M60" s="243">
        <f t="shared" si="4"/>
        <v>7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301</v>
      </c>
      <c r="D63" s="226" t="s">
        <v>251</v>
      </c>
      <c r="E63" s="227" t="s">
        <v>84</v>
      </c>
      <c r="F63" s="227" t="s">
        <v>149</v>
      </c>
      <c r="G63" s="228" t="s">
        <v>239</v>
      </c>
      <c r="H63" s="227" t="s">
        <v>97</v>
      </c>
      <c r="I63" s="227" t="s">
        <v>150</v>
      </c>
      <c r="J63" s="229">
        <v>6.0</v>
      </c>
      <c r="K63" s="230">
        <v>3.0</v>
      </c>
      <c r="L63" s="227">
        <v>2.0</v>
      </c>
      <c r="M63" s="231">
        <f>IF(AND(K63&gt;J63,K64&gt;J64),2,IF(K63&gt;J63,1,IF(K64&gt;J64,1,0)))</f>
        <v>0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6.0</v>
      </c>
      <c r="K64" s="235">
        <v>4.0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340</v>
      </c>
      <c r="D66" s="226" t="s">
        <v>248</v>
      </c>
      <c r="E66" s="227" t="s">
        <v>346</v>
      </c>
      <c r="F66" s="227" t="s">
        <v>174</v>
      </c>
      <c r="G66" s="228" t="s">
        <v>239</v>
      </c>
      <c r="H66" s="227" t="s">
        <v>175</v>
      </c>
      <c r="I66" s="227" t="s">
        <v>181</v>
      </c>
      <c r="J66" s="229">
        <v>6.0</v>
      </c>
      <c r="K66" s="230">
        <v>3.0</v>
      </c>
      <c r="L66" s="231">
        <f>IF(AND(J66&gt;K66,J67&gt;K67),2,IF(J66&gt;K66,1,IF(J67&gt;K67,1,0)))</f>
        <v>1</v>
      </c>
      <c r="M66" s="231">
        <f>IF(AND(K66&gt;J66,K67&gt;J67),2,IF(K66&gt;J66,1,IF(K67&gt;J67,1,0)))</f>
        <v>1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4.0</v>
      </c>
      <c r="K67" s="235">
        <v>6.0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274</v>
      </c>
      <c r="D69" s="226" t="s">
        <v>257</v>
      </c>
      <c r="E69" s="227" t="s">
        <v>137</v>
      </c>
      <c r="F69" s="227" t="s">
        <v>123</v>
      </c>
      <c r="G69" s="228" t="s">
        <v>239</v>
      </c>
      <c r="H69" s="227" t="s">
        <v>124</v>
      </c>
      <c r="I69" s="227" t="s">
        <v>138</v>
      </c>
      <c r="J69" s="229">
        <v>6.0</v>
      </c>
      <c r="K69" s="230">
        <v>3.0</v>
      </c>
      <c r="L69" s="231">
        <f>IF(AND(J69&gt;K69,J70&gt;K70),2,IF(J69&gt;K69,1,IF(J70&gt;K70,1,0)))</f>
        <v>2</v>
      </c>
      <c r="M69" s="231">
        <f>IF(AND(K69&gt;J69,K70&gt;J70),2,IF(K69&gt;J69,1,IF(K70&gt;J70,1,0)))</f>
        <v>0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6.0</v>
      </c>
      <c r="K70" s="235">
        <v>3.0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 t="s">
        <v>340</v>
      </c>
      <c r="D72" s="238" t="s">
        <v>244</v>
      </c>
      <c r="E72" s="227" t="s">
        <v>103</v>
      </c>
      <c r="F72" s="227" t="s">
        <v>110</v>
      </c>
      <c r="G72" s="228" t="s">
        <v>239</v>
      </c>
      <c r="H72" s="227" t="s">
        <v>104</v>
      </c>
      <c r="I72" s="227" t="s">
        <v>111</v>
      </c>
      <c r="J72" s="229">
        <v>6.0</v>
      </c>
      <c r="K72" s="230">
        <v>3.0</v>
      </c>
      <c r="L72" s="231">
        <f>IF(AND(J72&gt;K72,J73&gt;K73),2,IF(J72&gt;K72,1,IF(J73&gt;K73,1,0)))</f>
        <v>2</v>
      </c>
      <c r="M72" s="231">
        <f>IF(AND(K72&gt;J72,K73&gt;J73),2,IF(K72&gt;J72,1,IF(K73&gt;J73,1,0)))</f>
        <v>0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6.0</v>
      </c>
      <c r="K73" s="235">
        <v>3.0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342</v>
      </c>
      <c r="D75" s="111"/>
      <c r="E75" s="111"/>
      <c r="F75" s="111"/>
      <c r="G75" s="111"/>
      <c r="H75" s="111"/>
      <c r="I75" s="112"/>
      <c r="J75" s="241">
        <f t="shared" ref="J75:M75" si="5">SUM(J63:J73)</f>
        <v>46</v>
      </c>
      <c r="K75" s="242">
        <f t="shared" si="5"/>
        <v>28</v>
      </c>
      <c r="L75" s="241">
        <f t="shared" si="5"/>
        <v>7</v>
      </c>
      <c r="M75" s="243">
        <f t="shared" si="5"/>
        <v>1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343</v>
      </c>
      <c r="D77" s="111"/>
      <c r="E77" s="111"/>
      <c r="F77" s="111"/>
      <c r="G77" s="111"/>
      <c r="H77" s="111"/>
      <c r="I77" s="112"/>
      <c r="J77" s="248">
        <f t="shared" ref="J77:M77" si="6">J75+J60</f>
        <v>78</v>
      </c>
      <c r="K77" s="249">
        <f t="shared" si="6"/>
        <v>75</v>
      </c>
      <c r="L77" s="250">
        <f t="shared" si="6"/>
        <v>8</v>
      </c>
      <c r="M77" s="251">
        <f t="shared" si="6"/>
        <v>8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18</v>
      </c>
      <c r="F81" s="112"/>
      <c r="G81" s="219"/>
      <c r="H81" s="220" t="s">
        <v>22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248</v>
      </c>
      <c r="E83" s="227" t="s">
        <v>166</v>
      </c>
      <c r="F83" s="227" t="s">
        <v>178</v>
      </c>
      <c r="G83" s="228" t="s">
        <v>239</v>
      </c>
      <c r="H83" s="227" t="s">
        <v>170</v>
      </c>
      <c r="I83" s="227" t="s">
        <v>50</v>
      </c>
      <c r="J83" s="229">
        <v>4.0</v>
      </c>
      <c r="K83" s="230">
        <v>6.0</v>
      </c>
      <c r="L83" s="231">
        <f>IF(AND(J83&gt;K83,J84&gt;K84),2,IF(J83&gt;K83,1,IF(J84&gt;K84,1,0)))</f>
        <v>0</v>
      </c>
      <c r="M83" s="231">
        <f>IF(AND(K83&gt;J83,K84&gt;J84),2,IF(K83&gt;J83,1,IF(K84&gt;J84,1,0)))</f>
        <v>2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6.0</v>
      </c>
      <c r="K84" s="235">
        <v>7.0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257</v>
      </c>
      <c r="E86" s="227" t="s">
        <v>121</v>
      </c>
      <c r="F86" s="227" t="s">
        <v>128</v>
      </c>
      <c r="G86" s="228" t="s">
        <v>239</v>
      </c>
      <c r="H86" s="227" t="s">
        <v>132</v>
      </c>
      <c r="I86" s="227" t="s">
        <v>139</v>
      </c>
      <c r="J86" s="229">
        <v>7.0</v>
      </c>
      <c r="K86" s="230">
        <v>6.0</v>
      </c>
      <c r="L86" s="231">
        <f>IF(AND(J86&gt;K86,J87&gt;K87),2,IF(J86&gt;K86,1,IF(J87&gt;K87,1,0)))</f>
        <v>2</v>
      </c>
      <c r="M86" s="231">
        <f>IF(AND(K86&gt;J86,K87&gt;J87),2,IF(K86&gt;J86,1,IF(K87&gt;J87,1,0)))</f>
        <v>0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1.0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251</v>
      </c>
      <c r="E89" s="227" t="s">
        <v>75</v>
      </c>
      <c r="F89" s="227" t="s">
        <v>148</v>
      </c>
      <c r="G89" s="228" t="s">
        <v>239</v>
      </c>
      <c r="H89" s="227" t="s">
        <v>98</v>
      </c>
      <c r="I89" s="227" t="s">
        <v>164</v>
      </c>
      <c r="J89" s="229">
        <v>6.0</v>
      </c>
      <c r="K89" s="230">
        <v>1.0</v>
      </c>
      <c r="L89" s="231">
        <f>IF(AND(J89&gt;K89,J90&gt;K90),2,IF(J89&gt;K89,1,IF(J90&gt;K90,1,0)))</f>
        <v>1</v>
      </c>
      <c r="M89" s="231">
        <f>IF(AND(K89&gt;J89,K90&gt;J90),2,IF(K89&gt;J89,1,IF(K90&gt;J90,1,0)))</f>
        <v>1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5.0</v>
      </c>
      <c r="K90" s="235">
        <v>7.0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 t="s">
        <v>245</v>
      </c>
      <c r="D92" s="238" t="s">
        <v>244</v>
      </c>
      <c r="E92" s="227" t="s">
        <v>304</v>
      </c>
      <c r="F92" s="227" t="s">
        <v>108</v>
      </c>
      <c r="G92" s="228" t="s">
        <v>239</v>
      </c>
      <c r="H92" s="227" t="s">
        <v>105</v>
      </c>
      <c r="I92" s="227" t="s">
        <v>118</v>
      </c>
      <c r="J92" s="229">
        <v>0.0</v>
      </c>
      <c r="K92" s="230">
        <v>6.0</v>
      </c>
      <c r="L92" s="231">
        <f>IF(AND(J92&gt;K92,J93&gt;K93),2,IF(J92&gt;K92,1,IF(J93&gt;K93,1,0)))</f>
        <v>0</v>
      </c>
      <c r="M92" s="231">
        <f>IF(AND(K92&gt;J92,K93&gt;J93),2,IF(K92&gt;J92,1,IF(K93&gt;J93,1,0)))</f>
        <v>2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4.0</v>
      </c>
      <c r="K93" s="235">
        <v>6.0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339</v>
      </c>
      <c r="D95" s="111"/>
      <c r="E95" s="111"/>
      <c r="F95" s="111"/>
      <c r="G95" s="111"/>
      <c r="H95" s="111"/>
      <c r="I95" s="112"/>
      <c r="J95" s="241">
        <f t="shared" ref="J95:M95" si="7">SUM(J83:J93)</f>
        <v>38</v>
      </c>
      <c r="K95" s="242">
        <f t="shared" si="7"/>
        <v>40</v>
      </c>
      <c r="L95" s="241">
        <f t="shared" si="7"/>
        <v>3</v>
      </c>
      <c r="M95" s="243">
        <f t="shared" si="7"/>
        <v>5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254</v>
      </c>
      <c r="E98" s="227" t="s">
        <v>271</v>
      </c>
      <c r="F98" s="227" t="s">
        <v>88</v>
      </c>
      <c r="G98" s="228" t="s">
        <v>239</v>
      </c>
      <c r="H98" s="227" t="s">
        <v>86</v>
      </c>
      <c r="I98" s="227" t="s">
        <v>91</v>
      </c>
      <c r="J98" s="229">
        <v>0.0</v>
      </c>
      <c r="K98" s="230">
        <v>6.0</v>
      </c>
      <c r="L98" s="231">
        <f>IF(AND(J98&gt;K98,J99&gt;K99),2,IF(J98&gt;K98,1,IF(J99&gt;K99,1,0)))</f>
        <v>0</v>
      </c>
      <c r="M98" s="231">
        <f>IF(AND(K98&gt;J98,K99&gt;J99),2,IF(K98&gt;J98,1,IF(K99&gt;J99,1,0)))</f>
        <v>2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3.0</v>
      </c>
      <c r="K99" s="235">
        <v>6.0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243</v>
      </c>
      <c r="E101" s="227" t="s">
        <v>61</v>
      </c>
      <c r="F101" s="227" t="s">
        <v>68</v>
      </c>
      <c r="G101" s="228" t="s">
        <v>239</v>
      </c>
      <c r="H101" s="227" t="s">
        <v>58</v>
      </c>
      <c r="I101" s="227" t="s">
        <v>65</v>
      </c>
      <c r="J101" s="229">
        <v>6.0</v>
      </c>
      <c r="K101" s="230">
        <v>4.0</v>
      </c>
      <c r="L101" s="231">
        <f>IF(AND(J101&gt;K101,J102&gt;K102),2,IF(J101&gt;K101,1,IF(J102&gt;K102,1,0)))</f>
        <v>1</v>
      </c>
      <c r="M101" s="231">
        <f>IF(AND(K101&gt;J101,K102&gt;J102),2,IF(K101&gt;J101,1,IF(K102&gt;J102,1,0)))</f>
        <v>1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5.0</v>
      </c>
      <c r="K102" s="235">
        <v>7.0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242</v>
      </c>
      <c r="D104" s="226" t="s">
        <v>246</v>
      </c>
      <c r="E104" s="227" t="s">
        <v>142</v>
      </c>
      <c r="F104" s="271" t="s">
        <v>148</v>
      </c>
      <c r="G104" s="228" t="s">
        <v>239</v>
      </c>
      <c r="H104" s="227" t="s">
        <v>146</v>
      </c>
      <c r="I104" s="227" t="s">
        <v>157</v>
      </c>
      <c r="J104" s="229">
        <v>0.0</v>
      </c>
      <c r="K104" s="230">
        <v>6.0</v>
      </c>
      <c r="L104" s="231">
        <f>IF(AND(J104&gt;K104,J105&gt;K105),2,IF(J104&gt;K104,1,IF(J105&gt;K105,1,0)))</f>
        <v>0</v>
      </c>
      <c r="M104" s="231">
        <f>IF(AND(K104&gt;J104,K105&gt;J105),2,IF(K104&gt;J104,1,IF(K105&gt;J105,1,0)))</f>
        <v>2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0.0</v>
      </c>
      <c r="K105" s="235">
        <v>6.0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/>
      <c r="D107" s="238" t="s">
        <v>256</v>
      </c>
      <c r="E107" s="227" t="s">
        <v>183</v>
      </c>
      <c r="F107" s="227" t="s">
        <v>195</v>
      </c>
      <c r="G107" s="239" t="s">
        <v>239</v>
      </c>
      <c r="H107" s="227" t="s">
        <v>187</v>
      </c>
      <c r="I107" s="227" t="s">
        <v>199</v>
      </c>
      <c r="J107" s="229">
        <v>3.0</v>
      </c>
      <c r="K107" s="230">
        <v>6.0</v>
      </c>
      <c r="L107" s="231">
        <f>IF(AND(J107&gt;K107,J108&gt;K108),2,IF(J107&gt;K107,1,IF(J108&gt;K108,1,0)))</f>
        <v>1</v>
      </c>
      <c r="M107" s="231">
        <f>IF(AND(K107&gt;J107,K108&gt;J108),2,IF(K107&gt;J107,1,IF(K108&gt;J108,1,0)))</f>
        <v>1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7.0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342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24</v>
      </c>
      <c r="K110" s="242">
        <f t="shared" si="8"/>
        <v>47</v>
      </c>
      <c r="L110" s="241">
        <f t="shared" si="8"/>
        <v>2</v>
      </c>
      <c r="M110" s="243">
        <f t="shared" si="8"/>
        <v>6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343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62</v>
      </c>
      <c r="K112" s="249">
        <f t="shared" si="9"/>
        <v>87</v>
      </c>
      <c r="L112" s="250">
        <f t="shared" si="9"/>
        <v>5</v>
      </c>
      <c r="M112" s="251">
        <f t="shared" si="9"/>
        <v>11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347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18</v>
      </c>
      <c r="F11" s="112"/>
      <c r="G11" s="219"/>
      <c r="H11" s="220" t="s">
        <v>21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254</v>
      </c>
      <c r="E13" s="227" t="s">
        <v>82</v>
      </c>
      <c r="F13" s="227" t="s">
        <v>88</v>
      </c>
      <c r="G13" s="228" t="s">
        <v>239</v>
      </c>
      <c r="H13" s="227" t="s">
        <v>78</v>
      </c>
      <c r="I13" s="227" t="s">
        <v>97</v>
      </c>
      <c r="J13" s="229">
        <v>6.0</v>
      </c>
      <c r="K13" s="230">
        <v>4.0</v>
      </c>
      <c r="L13" s="231">
        <f>IF(AND(J13&gt;K13,J14&gt;K14),2,IF(J13&gt;K13,1,IF(J14&gt;K14,1,0)))</f>
        <v>1</v>
      </c>
      <c r="M13" s="231">
        <f>IF(AND(K13&gt;J13,K14&gt;J14),2,IF(K13&gt;J13,1,IF(K14&gt;J14,1,0)))</f>
        <v>1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4.0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244</v>
      </c>
      <c r="E16" s="227" t="s">
        <v>108</v>
      </c>
      <c r="F16" s="227" t="s">
        <v>304</v>
      </c>
      <c r="G16" s="228" t="s">
        <v>239</v>
      </c>
      <c r="H16" s="227" t="s">
        <v>111</v>
      </c>
      <c r="I16" s="227" t="s">
        <v>49</v>
      </c>
      <c r="J16" s="229">
        <v>3.0</v>
      </c>
      <c r="K16" s="230">
        <v>6.0</v>
      </c>
      <c r="L16" s="231">
        <f>IF(AND(J16&gt;K16,J17&gt;K17),2,IF(J16&gt;K16,1,IF(J17&gt;K17,1,0)))</f>
        <v>0</v>
      </c>
      <c r="M16" s="231">
        <f>IF(AND(K16&gt;J16,K17&gt;J17),2,IF(K16&gt;J16,1,IF(K17&gt;J17,1,0)))</f>
        <v>2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6.0</v>
      </c>
      <c r="K17" s="235">
        <v>7.0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257</v>
      </c>
      <c r="E19" s="227" t="s">
        <v>121</v>
      </c>
      <c r="F19" s="227" t="s">
        <v>128</v>
      </c>
      <c r="G19" s="228" t="s">
        <v>239</v>
      </c>
      <c r="H19" s="227" t="s">
        <v>124</v>
      </c>
      <c r="I19" s="227" t="s">
        <v>131</v>
      </c>
      <c r="J19" s="229">
        <v>6.0</v>
      </c>
      <c r="K19" s="230">
        <v>4.0</v>
      </c>
      <c r="L19" s="231">
        <f>IF(AND(J19&gt;K19,J20&gt;K20),2,IF(J19&gt;K19,1,IF(J20&gt;K20,1,0)))</f>
        <v>2</v>
      </c>
      <c r="M19" s="231">
        <f>IF(AND(K19&gt;J19,K20&gt;J20),2,IF(K19&gt;J19,1,IF(K20&gt;J20,1,0)))</f>
        <v>0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6.0</v>
      </c>
      <c r="K20" s="235">
        <v>4.0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242</v>
      </c>
      <c r="D22" s="238" t="s">
        <v>248</v>
      </c>
      <c r="E22" s="227" t="s">
        <v>166</v>
      </c>
      <c r="F22" s="227" t="s">
        <v>178</v>
      </c>
      <c r="G22" s="228" t="s">
        <v>239</v>
      </c>
      <c r="H22" s="227" t="s">
        <v>169</v>
      </c>
      <c r="I22" s="227" t="s">
        <v>175</v>
      </c>
      <c r="J22" s="229">
        <v>6.0</v>
      </c>
      <c r="K22" s="230">
        <v>7.0</v>
      </c>
      <c r="L22" s="231">
        <f>IF(AND(J22&gt;K22,J23&gt;K23),2,IF(J22&gt;K22,1,IF(J23&gt;K23,1,0)))</f>
        <v>0</v>
      </c>
      <c r="M22" s="231">
        <f>IF(AND(K22&gt;J22,K23&gt;J23),2,IF(K22&gt;J22,1,IF(K23&gt;J23,1,0)))</f>
        <v>2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0.0</v>
      </c>
      <c r="K23" s="235">
        <v>6.0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348</v>
      </c>
      <c r="D25" s="111"/>
      <c r="E25" s="111"/>
      <c r="F25" s="111"/>
      <c r="G25" s="111"/>
      <c r="H25" s="111"/>
      <c r="I25" s="112"/>
      <c r="J25" s="241">
        <f t="shared" ref="J25:M25" si="1">SUM(J13:J23)</f>
        <v>37</v>
      </c>
      <c r="K25" s="242">
        <f t="shared" si="1"/>
        <v>44</v>
      </c>
      <c r="L25" s="241">
        <f t="shared" si="1"/>
        <v>3</v>
      </c>
      <c r="M25" s="243">
        <f t="shared" si="1"/>
        <v>5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250</v>
      </c>
      <c r="D28" s="226" t="s">
        <v>243</v>
      </c>
      <c r="E28" s="227" t="s">
        <v>54</v>
      </c>
      <c r="F28" s="227" t="s">
        <v>68</v>
      </c>
      <c r="G28" s="228" t="s">
        <v>239</v>
      </c>
      <c r="H28" s="227" t="s">
        <v>57</v>
      </c>
      <c r="I28" s="227" t="s">
        <v>64</v>
      </c>
      <c r="J28" s="229">
        <v>4.0</v>
      </c>
      <c r="K28" s="230">
        <v>6.0</v>
      </c>
      <c r="L28" s="231">
        <f>IF(AND(J28&gt;K28,J29&gt;K29),2,IF(J28&gt;K28,1,IF(J29&gt;K29,1,0)))</f>
        <v>1</v>
      </c>
      <c r="M28" s="231">
        <f>IF(AND(K28&gt;J28,K29&gt;J29),2,IF(K28&gt;J28,1,IF(K29&gt;J29,1,0)))</f>
        <v>1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7.0</v>
      </c>
      <c r="K29" s="235">
        <v>5.0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25" t="s">
        <v>253</v>
      </c>
      <c r="D31" s="226" t="s">
        <v>314</v>
      </c>
      <c r="E31" s="227" t="s">
        <v>271</v>
      </c>
      <c r="F31" s="227" t="s">
        <v>160</v>
      </c>
      <c r="G31" s="239" t="s">
        <v>239</v>
      </c>
      <c r="H31" s="227" t="s">
        <v>85</v>
      </c>
      <c r="I31" s="227" t="s">
        <v>163</v>
      </c>
      <c r="J31" s="229">
        <v>4.0</v>
      </c>
      <c r="K31" s="230">
        <v>6.0</v>
      </c>
      <c r="L31" s="231">
        <f>IF(AND(J31&gt;K31,J32&gt;K32),2,IF(J31&gt;K31,1,IF(J32&gt;K32,1,0)))</f>
        <v>0</v>
      </c>
      <c r="M31" s="231">
        <f>IF(AND(K31&gt;J31,K32&gt;J32),2,IF(K31&gt;J31,1,IF(K32&gt;J32,1,0)))</f>
        <v>2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3.0</v>
      </c>
      <c r="K32" s="235">
        <v>6.0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25" t="s">
        <v>255</v>
      </c>
      <c r="D34" s="226" t="s">
        <v>256</v>
      </c>
      <c r="E34" s="227" t="s">
        <v>183</v>
      </c>
      <c r="F34" s="227" t="s">
        <v>189</v>
      </c>
      <c r="G34" s="228" t="s">
        <v>239</v>
      </c>
      <c r="H34" s="227" t="s">
        <v>186</v>
      </c>
      <c r="I34" s="227" t="s">
        <v>192</v>
      </c>
      <c r="J34" s="229">
        <v>4.0</v>
      </c>
      <c r="K34" s="230">
        <v>6.0</v>
      </c>
      <c r="L34" s="231">
        <f>IF(AND(J34&gt;K34,J35&gt;K35),2,IF(J34&gt;K34,1,IF(J35&gt;K35,1,0)))</f>
        <v>1</v>
      </c>
      <c r="M34" s="231">
        <f>IF(AND(K34&gt;J34,K35&gt;J35),2,IF(K34&gt;J34,1,IF(K35&gt;J35,1,0)))</f>
        <v>1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7.0</v>
      </c>
      <c r="K35" s="235">
        <v>6.0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250</v>
      </c>
      <c r="D37" s="238" t="s">
        <v>246</v>
      </c>
      <c r="E37" s="227" t="s">
        <v>153</v>
      </c>
      <c r="F37" s="227" t="s">
        <v>349</v>
      </c>
      <c r="G37" s="239" t="s">
        <v>239</v>
      </c>
      <c r="H37" s="227" t="s">
        <v>145</v>
      </c>
      <c r="I37" s="227" t="s">
        <v>150</v>
      </c>
      <c r="J37" s="229">
        <v>5.0</v>
      </c>
      <c r="K37" s="230">
        <v>7.0</v>
      </c>
      <c r="L37" s="231">
        <f>IF(AND(J37&gt;K37,J38&gt;K38),2,IF(J37&gt;K37,1,IF(J38&gt;K38,1,0)))</f>
        <v>0</v>
      </c>
      <c r="M37" s="231">
        <f>IF(AND(K37&gt;J37,K38&gt;J38),2,IF(K37&gt;J37,1,IF(K38&gt;J38,1,0)))</f>
        <v>2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1.0</v>
      </c>
      <c r="K38" s="235">
        <v>6.0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350</v>
      </c>
      <c r="D40" s="111"/>
      <c r="E40" s="111"/>
      <c r="F40" s="111"/>
      <c r="G40" s="111"/>
      <c r="H40" s="111"/>
      <c r="I40" s="112"/>
      <c r="J40" s="241">
        <f t="shared" ref="J40:M40" si="2">SUM(J28:J38)</f>
        <v>35</v>
      </c>
      <c r="K40" s="242">
        <f t="shared" si="2"/>
        <v>48</v>
      </c>
      <c r="L40" s="241">
        <f t="shared" si="2"/>
        <v>2</v>
      </c>
      <c r="M40" s="243">
        <f t="shared" si="2"/>
        <v>6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351</v>
      </c>
      <c r="D42" s="111"/>
      <c r="E42" s="111"/>
      <c r="F42" s="111"/>
      <c r="G42" s="111"/>
      <c r="H42" s="111"/>
      <c r="I42" s="112"/>
      <c r="J42" s="248">
        <f t="shared" ref="J42:M42" si="3">J40+J25</f>
        <v>72</v>
      </c>
      <c r="K42" s="249">
        <f t="shared" si="3"/>
        <v>92</v>
      </c>
      <c r="L42" s="250">
        <f t="shared" si="3"/>
        <v>5</v>
      </c>
      <c r="M42" s="251">
        <f t="shared" si="3"/>
        <v>11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15</v>
      </c>
      <c r="F46" s="112"/>
      <c r="G46" s="219"/>
      <c r="H46" s="220" t="s">
        <v>22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244</v>
      </c>
      <c r="E48" s="227" t="s">
        <v>107</v>
      </c>
      <c r="F48" s="227" t="s">
        <v>114</v>
      </c>
      <c r="G48" s="228" t="s">
        <v>239</v>
      </c>
      <c r="H48" s="227" t="s">
        <v>105</v>
      </c>
      <c r="I48" s="227" t="s">
        <v>118</v>
      </c>
      <c r="J48" s="229">
        <v>4.0</v>
      </c>
      <c r="K48" s="230">
        <v>6.0</v>
      </c>
      <c r="L48" s="231">
        <f>IF(AND(J48&gt;K48,J49&gt;K49),2,IF(J48&gt;K48,1,IF(J49&gt;K49,1,0)))</f>
        <v>0</v>
      </c>
      <c r="M48" s="231">
        <f>IF(AND(K48&gt;J48,K49&gt;J49),2,IF(K48&gt;J48,1,IF(K49&gt;J49,1,0)))</f>
        <v>2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0.0</v>
      </c>
      <c r="K49" s="235">
        <v>6.0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246</v>
      </c>
      <c r="E51" s="227" t="s">
        <v>147</v>
      </c>
      <c r="F51" s="227" t="s">
        <v>152</v>
      </c>
      <c r="G51" s="228" t="s">
        <v>239</v>
      </c>
      <c r="H51" s="227" t="s">
        <v>146</v>
      </c>
      <c r="I51" s="227" t="s">
        <v>157</v>
      </c>
      <c r="J51" s="229">
        <v>6.0</v>
      </c>
      <c r="K51" s="230">
        <v>4.0</v>
      </c>
      <c r="L51" s="231">
        <f>IF(AND(J51&gt;K51,J52&gt;K52),2,IF(J51&gt;K51,1,IF(J52&gt;K52,1,0)))</f>
        <v>1</v>
      </c>
      <c r="M51" s="231">
        <f>IF(AND(K51&gt;J51,K52&gt;J52),2,IF(K51&gt;J51,1,IF(K52&gt;J52,1,0)))</f>
        <v>1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2.0</v>
      </c>
      <c r="K52" s="235">
        <v>6.0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254</v>
      </c>
      <c r="E54" s="227" t="s">
        <v>74</v>
      </c>
      <c r="F54" s="227" t="s">
        <v>93</v>
      </c>
      <c r="G54" s="228" t="s">
        <v>239</v>
      </c>
      <c r="H54" s="227" t="s">
        <v>98</v>
      </c>
      <c r="I54" s="227" t="s">
        <v>91</v>
      </c>
      <c r="J54" s="229">
        <v>2.0</v>
      </c>
      <c r="K54" s="230">
        <v>6.0</v>
      </c>
      <c r="L54" s="231">
        <f>IF(AND(J54&gt;K54,J55&gt;K55),2,IF(J54&gt;K54,1,IF(J55&gt;K55,1,0)))</f>
        <v>0</v>
      </c>
      <c r="M54" s="231">
        <f>IF(AND(K54&gt;J54,K55&gt;J55),2,IF(K54&gt;J54,1,IF(K55&gt;J55,1,0)))</f>
        <v>2</v>
      </c>
      <c r="N54" s="209"/>
      <c r="O54" s="25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4.0</v>
      </c>
      <c r="K55" s="235">
        <v>6.0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256</v>
      </c>
      <c r="E57" s="227" t="s">
        <v>182</v>
      </c>
      <c r="F57" s="227" t="s">
        <v>194</v>
      </c>
      <c r="G57" s="228" t="s">
        <v>239</v>
      </c>
      <c r="H57" s="227" t="s">
        <v>193</v>
      </c>
      <c r="I57" s="227" t="s">
        <v>199</v>
      </c>
      <c r="J57" s="229">
        <v>5.0</v>
      </c>
      <c r="K57" s="230">
        <v>7.0</v>
      </c>
      <c r="L57" s="231">
        <f>IF(AND(J57&gt;K57,J58&gt;K58),2,IF(J57&gt;K57,1,IF(J58&gt;K58,1,0)))</f>
        <v>1</v>
      </c>
      <c r="M57" s="231">
        <f>IF(AND(K57&gt;J57,K58&gt;J58),2,IF(K57&gt;J57,1,IF(K58&gt;J58,1,0)))</f>
        <v>1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6.0</v>
      </c>
      <c r="K58" s="235">
        <v>3.0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348</v>
      </c>
      <c r="D60" s="111"/>
      <c r="E60" s="111"/>
      <c r="F60" s="111"/>
      <c r="G60" s="111"/>
      <c r="H60" s="111"/>
      <c r="I60" s="112"/>
      <c r="J60" s="241">
        <f t="shared" ref="J60:M60" si="4">SUM(J48:J58)</f>
        <v>29</v>
      </c>
      <c r="K60" s="242">
        <f t="shared" si="4"/>
        <v>44</v>
      </c>
      <c r="L60" s="241">
        <f t="shared" si="4"/>
        <v>2</v>
      </c>
      <c r="M60" s="243">
        <f t="shared" si="4"/>
        <v>6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248</v>
      </c>
      <c r="E63" s="227" t="s">
        <v>352</v>
      </c>
      <c r="F63" s="227" t="s">
        <v>171</v>
      </c>
      <c r="G63" s="228" t="s">
        <v>239</v>
      </c>
      <c r="H63" s="227" t="s">
        <v>176</v>
      </c>
      <c r="I63" s="227" t="s">
        <v>50</v>
      </c>
      <c r="J63" s="229">
        <v>3.0</v>
      </c>
      <c r="K63" s="230">
        <v>6.0</v>
      </c>
      <c r="L63" s="231">
        <f>IF(AND(J63&gt;K63,J64&gt;K64),2,IF(J63&gt;K63,1,IF(J64&gt;K64,1,0)))</f>
        <v>0</v>
      </c>
      <c r="M63" s="231">
        <f>IF(AND(K63&gt;J63,K64&gt;J64),2,IF(K63&gt;J63,1,IF(K64&gt;J64,1,0)))</f>
        <v>2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3.0</v>
      </c>
      <c r="K64" s="235">
        <v>6.0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253</v>
      </c>
      <c r="D66" s="226" t="s">
        <v>314</v>
      </c>
      <c r="E66" s="227" t="s">
        <v>45</v>
      </c>
      <c r="F66" s="227" t="s">
        <v>141</v>
      </c>
      <c r="G66" s="239" t="s">
        <v>239</v>
      </c>
      <c r="H66" s="227" t="s">
        <v>86</v>
      </c>
      <c r="I66" s="227" t="s">
        <v>151</v>
      </c>
      <c r="J66" s="229">
        <v>6.0</v>
      </c>
      <c r="K66" s="230">
        <v>7.0</v>
      </c>
      <c r="L66" s="231">
        <f>IF(AND(J66&gt;K66,J67&gt;K67),2,IF(J66&gt;K66,1,IF(J67&gt;K67,1,0)))</f>
        <v>0</v>
      </c>
      <c r="M66" s="231">
        <f>IF(AND(K66&gt;J66,K67&gt;J67),2,IF(K66&gt;J66,1,IF(K67&gt;J67,1,0)))</f>
        <v>2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7.0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255</v>
      </c>
      <c r="D69" s="226" t="s">
        <v>243</v>
      </c>
      <c r="E69" s="227" t="s">
        <v>289</v>
      </c>
      <c r="F69" s="227" t="s">
        <v>60</v>
      </c>
      <c r="G69" s="239" t="s">
        <v>239</v>
      </c>
      <c r="H69" s="227" t="s">
        <v>65</v>
      </c>
      <c r="I69" s="227" t="s">
        <v>72</v>
      </c>
      <c r="J69" s="229">
        <v>6.0</v>
      </c>
      <c r="K69" s="230">
        <v>3.0</v>
      </c>
      <c r="L69" s="231">
        <f>IF(AND(J69&gt;K69,J70&gt;K70),2,IF(J69&gt;K69,1,IF(J70&gt;K70,1,0)))</f>
        <v>2</v>
      </c>
      <c r="M69" s="231">
        <f>IF(AND(K69&gt;J69,K70&gt;J70),2,IF(K69&gt;J69,1,IF(K70&gt;J70,1,0)))</f>
        <v>0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7.0</v>
      </c>
      <c r="K70" s="235">
        <v>5.0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 t="s">
        <v>253</v>
      </c>
      <c r="D72" s="238" t="s">
        <v>257</v>
      </c>
      <c r="E72" s="227" t="s">
        <v>120</v>
      </c>
      <c r="F72" s="227" t="s">
        <v>134</v>
      </c>
      <c r="G72" s="239" t="s">
        <v>239</v>
      </c>
      <c r="H72" s="227" t="s">
        <v>132</v>
      </c>
      <c r="I72" s="227" t="s">
        <v>125</v>
      </c>
      <c r="J72" s="229">
        <v>6.0</v>
      </c>
      <c r="K72" s="230">
        <v>2.0</v>
      </c>
      <c r="L72" s="231">
        <f>IF(AND(J72&gt;K72,J73&gt;K73),2,IF(J72&gt;K72,1,IF(J73&gt;K73,1,0)))</f>
        <v>1</v>
      </c>
      <c r="M72" s="231">
        <f>IF(AND(K72&gt;J72,K73&gt;J73),2,IF(K72&gt;J72,1,IF(K73&gt;J73,1,0)))</f>
        <v>1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4.0</v>
      </c>
      <c r="K73" s="235">
        <v>6.0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350</v>
      </c>
      <c r="D75" s="111"/>
      <c r="E75" s="111"/>
      <c r="F75" s="111"/>
      <c r="G75" s="111"/>
      <c r="H75" s="111"/>
      <c r="I75" s="112"/>
      <c r="J75" s="241">
        <f t="shared" ref="J75:M75" si="5">SUM(J63:J73)</f>
        <v>41</v>
      </c>
      <c r="K75" s="242">
        <f t="shared" si="5"/>
        <v>42</v>
      </c>
      <c r="L75" s="241">
        <f t="shared" si="5"/>
        <v>3</v>
      </c>
      <c r="M75" s="243">
        <f t="shared" si="5"/>
        <v>5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351</v>
      </c>
      <c r="D77" s="111"/>
      <c r="E77" s="111"/>
      <c r="F77" s="111"/>
      <c r="G77" s="111"/>
      <c r="H77" s="111"/>
      <c r="I77" s="112"/>
      <c r="J77" s="248">
        <f t="shared" ref="J77:M77" si="6">J75+J60</f>
        <v>70</v>
      </c>
      <c r="K77" s="249">
        <f t="shared" si="6"/>
        <v>86</v>
      </c>
      <c r="L77" s="250">
        <f t="shared" si="6"/>
        <v>5</v>
      </c>
      <c r="M77" s="251">
        <f t="shared" si="6"/>
        <v>11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353</v>
      </c>
      <c r="F81" s="112"/>
      <c r="G81" s="219"/>
      <c r="H81" s="220" t="s">
        <v>354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246</v>
      </c>
      <c r="E83" s="227" t="s">
        <v>144</v>
      </c>
      <c r="F83" s="227" t="s">
        <v>149</v>
      </c>
      <c r="G83" s="228" t="s">
        <v>239</v>
      </c>
      <c r="H83" s="227" t="s">
        <v>252</v>
      </c>
      <c r="I83" s="227" t="s">
        <v>161</v>
      </c>
      <c r="J83" s="229">
        <v>6.0</v>
      </c>
      <c r="K83" s="230">
        <v>4.0</v>
      </c>
      <c r="L83" s="231">
        <f>IF(AND(J83&gt;K83,J84&gt;K84),2,IF(J83&gt;K83,1,IF(J84&gt;K84,1,0)))</f>
        <v>2</v>
      </c>
      <c r="M83" s="231">
        <f>IF(AND(K83&gt;J83,K84&gt;J84),2,IF(K83&gt;J83,1,IF(K84&gt;J84,1,0)))</f>
        <v>0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6.0</v>
      </c>
      <c r="K84" s="235">
        <v>3.0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256</v>
      </c>
      <c r="E86" s="227" t="s">
        <v>185</v>
      </c>
      <c r="F86" s="227" t="s">
        <v>191</v>
      </c>
      <c r="G86" s="228" t="s">
        <v>239</v>
      </c>
      <c r="H86" s="227" t="s">
        <v>190</v>
      </c>
      <c r="I86" s="227" t="s">
        <v>184</v>
      </c>
      <c r="J86" s="229">
        <v>6.0</v>
      </c>
      <c r="K86" s="230">
        <v>3.0</v>
      </c>
      <c r="L86" s="231">
        <f>IF(AND(J86&gt;K86,J87&gt;K87),2,IF(J86&gt;K86,1,IF(J87&gt;K87,1,0)))</f>
        <v>2</v>
      </c>
      <c r="M86" s="231">
        <f>IF(AND(K86&gt;J86,K87&gt;J87),2,IF(K86&gt;J86,1,IF(K87&gt;J87,1,0)))</f>
        <v>0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3.0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254</v>
      </c>
      <c r="E89" s="227" t="s">
        <v>355</v>
      </c>
      <c r="F89" s="227" t="s">
        <v>96</v>
      </c>
      <c r="G89" s="228" t="s">
        <v>239</v>
      </c>
      <c r="H89" s="227" t="s">
        <v>76</v>
      </c>
      <c r="I89" s="227" t="s">
        <v>356</v>
      </c>
      <c r="J89" s="229">
        <v>6.0</v>
      </c>
      <c r="K89" s="230">
        <v>2.0</v>
      </c>
      <c r="L89" s="231">
        <f>IF(AND(J89&gt;K89,J90&gt;K90),2,IF(J89&gt;K89,1,IF(J90&gt;K90,1,0)))</f>
        <v>2</v>
      </c>
      <c r="M89" s="231">
        <f>IF(AND(K89&gt;J89,K90&gt;J90),2,IF(K89&gt;J89,1,IF(K90&gt;J90,1,0)))</f>
        <v>0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6.0</v>
      </c>
      <c r="K90" s="235">
        <v>2.0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 t="s">
        <v>245</v>
      </c>
      <c r="D92" s="238" t="s">
        <v>244</v>
      </c>
      <c r="E92" s="227" t="s">
        <v>110</v>
      </c>
      <c r="F92" s="227" t="s">
        <v>357</v>
      </c>
      <c r="G92" s="239" t="s">
        <v>239</v>
      </c>
      <c r="H92" s="227" t="s">
        <v>109</v>
      </c>
      <c r="I92" s="227" t="s">
        <v>116</v>
      </c>
      <c r="J92" s="229">
        <v>6.0</v>
      </c>
      <c r="K92" s="230">
        <v>4.0</v>
      </c>
      <c r="L92" s="231">
        <f>IF(AND(J92&gt;K92,J93&gt;K93),2,IF(J92&gt;K92,1,IF(J93&gt;K93,1,0)))</f>
        <v>2</v>
      </c>
      <c r="M92" s="231">
        <f>IF(AND(K92&gt;J92,K93&gt;J93),2,IF(K92&gt;J92,1,IF(K93&gt;J93,1,0)))</f>
        <v>0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3.0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348</v>
      </c>
      <c r="D95" s="111"/>
      <c r="E95" s="111"/>
      <c r="F95" s="111"/>
      <c r="G95" s="111"/>
      <c r="H95" s="111"/>
      <c r="I95" s="112"/>
      <c r="J95" s="241">
        <f t="shared" ref="J95:M95" si="7">SUM(J83:J93)</f>
        <v>48</v>
      </c>
      <c r="K95" s="242">
        <f t="shared" si="7"/>
        <v>24</v>
      </c>
      <c r="L95" s="241">
        <f t="shared" si="7"/>
        <v>8</v>
      </c>
      <c r="M95" s="243">
        <f t="shared" si="7"/>
        <v>0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243</v>
      </c>
      <c r="E98" s="227" t="s">
        <v>56</v>
      </c>
      <c r="F98" s="227" t="s">
        <v>70</v>
      </c>
      <c r="G98" s="228" t="s">
        <v>239</v>
      </c>
      <c r="H98" s="227" t="s">
        <v>55</v>
      </c>
      <c r="I98" s="227" t="s">
        <v>62</v>
      </c>
      <c r="J98" s="229">
        <v>2.0</v>
      </c>
      <c r="K98" s="230">
        <v>6.0</v>
      </c>
      <c r="L98" s="231">
        <f>IF(AND(J98&gt;K98,J99&gt;K99),2,IF(J98&gt;K98,1,IF(J99&gt;K99,1,0)))</f>
        <v>0</v>
      </c>
      <c r="M98" s="231">
        <f>IF(AND(K98&gt;J98,K99&gt;J99),2,IF(K98&gt;J98,1,IF(K99&gt;J99,1,0)))</f>
        <v>2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4.0</v>
      </c>
      <c r="K99" s="235">
        <v>6.0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314</v>
      </c>
      <c r="E101" s="227" t="s">
        <v>84</v>
      </c>
      <c r="F101" s="227" t="s">
        <v>155</v>
      </c>
      <c r="G101" s="239" t="s">
        <v>239</v>
      </c>
      <c r="H101" s="227" t="s">
        <v>95</v>
      </c>
      <c r="I101" s="227" t="s">
        <v>47</v>
      </c>
      <c r="J101" s="229">
        <v>2.0</v>
      </c>
      <c r="K101" s="230">
        <v>6.0</v>
      </c>
      <c r="L101" s="231">
        <f>IF(AND(J101&gt;K101,J102&gt;K102),2,IF(J101&gt;K101,1,IF(J102&gt;K102,1,0)))</f>
        <v>0</v>
      </c>
      <c r="M101" s="231">
        <f>IF(AND(K101&gt;J101,K102&gt;J102),2,IF(K101&gt;J101,1,IF(K102&gt;J102,1,0)))</f>
        <v>2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4.0</v>
      </c>
      <c r="K102" s="235">
        <v>6.0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255</v>
      </c>
      <c r="D104" s="226" t="s">
        <v>248</v>
      </c>
      <c r="E104" s="227" t="s">
        <v>174</v>
      </c>
      <c r="F104" s="227" t="s">
        <v>180</v>
      </c>
      <c r="G104" s="239" t="s">
        <v>239</v>
      </c>
      <c r="H104" s="227" t="s">
        <v>167</v>
      </c>
      <c r="I104" s="227" t="s">
        <v>179</v>
      </c>
      <c r="J104" s="229">
        <v>1.0</v>
      </c>
      <c r="K104" s="230">
        <v>6.0</v>
      </c>
      <c r="L104" s="231">
        <f>IF(AND(J104&gt;K104,J105&gt;K105),2,IF(J104&gt;K104,1,IF(J105&gt;K105,1,0)))</f>
        <v>0</v>
      </c>
      <c r="M104" s="231">
        <f>IF(AND(K104&gt;J104,K105&gt;J105),2,IF(K104&gt;J104,1,IF(K105&gt;J105,1,0)))</f>
        <v>2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4.0</v>
      </c>
      <c r="K105" s="235">
        <v>6.0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 t="s">
        <v>255</v>
      </c>
      <c r="D107" s="238" t="s">
        <v>257</v>
      </c>
      <c r="E107" s="227" t="s">
        <v>130</v>
      </c>
      <c r="F107" s="227" t="s">
        <v>137</v>
      </c>
      <c r="G107" s="239" t="s">
        <v>239</v>
      </c>
      <c r="H107" s="227" t="s">
        <v>122</v>
      </c>
      <c r="I107" s="227" t="s">
        <v>294</v>
      </c>
      <c r="J107" s="229">
        <v>2.0</v>
      </c>
      <c r="K107" s="230">
        <v>6.0</v>
      </c>
      <c r="L107" s="231">
        <f>IF(AND(J107&gt;K107,J108&gt;K108),2,IF(J107&gt;K107,1,IF(J108&gt;K108,1,0)))</f>
        <v>0</v>
      </c>
      <c r="M107" s="231">
        <f>IF(AND(K107&gt;J107,K108&gt;J108),2,IF(K107&gt;J107,1,IF(K108&gt;J108,1,0)))</f>
        <v>2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6.0</v>
      </c>
      <c r="K108" s="235">
        <v>7.0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350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25</v>
      </c>
      <c r="K110" s="242">
        <f t="shared" si="8"/>
        <v>49</v>
      </c>
      <c r="L110" s="241">
        <f t="shared" si="8"/>
        <v>0</v>
      </c>
      <c r="M110" s="243">
        <f t="shared" si="8"/>
        <v>8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351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73</v>
      </c>
      <c r="K112" s="249">
        <f t="shared" si="9"/>
        <v>73</v>
      </c>
      <c r="L112" s="250">
        <f t="shared" si="9"/>
        <v>8</v>
      </c>
      <c r="M112" s="251">
        <f t="shared" si="9"/>
        <v>8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72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358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19</v>
      </c>
      <c r="F11" s="112"/>
      <c r="G11" s="219"/>
      <c r="H11" s="220" t="s">
        <v>22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248</v>
      </c>
      <c r="E13" s="227" t="s">
        <v>173</v>
      </c>
      <c r="F13" s="227" t="s">
        <v>179</v>
      </c>
      <c r="G13" s="228" t="s">
        <v>239</v>
      </c>
      <c r="H13" s="227" t="s">
        <v>170</v>
      </c>
      <c r="I13" s="227" t="s">
        <v>176</v>
      </c>
      <c r="J13" s="229">
        <v>4.0</v>
      </c>
      <c r="K13" s="230">
        <v>6.0</v>
      </c>
      <c r="L13" s="231">
        <f>IF(AND(J13&gt;K13,J14&gt;K14),2,IF(J13&gt;K13,1,IF(J14&gt;K14,1,0)))</f>
        <v>0</v>
      </c>
      <c r="M13" s="231">
        <f>IF(AND(K13&gt;J13,K14&gt;J14),2,IF(K13&gt;J13,1,IF(K14&gt;J14,1,0)))</f>
        <v>2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1.0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69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244</v>
      </c>
      <c r="E16" s="227" t="s">
        <v>102</v>
      </c>
      <c r="F16" s="227" t="s">
        <v>116</v>
      </c>
      <c r="G16" s="228" t="s">
        <v>239</v>
      </c>
      <c r="H16" s="227" t="s">
        <v>105</v>
      </c>
      <c r="I16" s="227" t="s">
        <v>112</v>
      </c>
      <c r="J16" s="229">
        <v>2.0</v>
      </c>
      <c r="K16" s="230">
        <v>6.0</v>
      </c>
      <c r="L16" s="231">
        <f>IF(AND(J16&gt;K16,J17&gt;K17),2,IF(J16&gt;K16,1,IF(J17&gt;K17,1,0)))</f>
        <v>0</v>
      </c>
      <c r="M16" s="231">
        <f>IF(AND(K16&gt;J16,K17&gt;J17),2,IF(K16&gt;J16,1,IF(K17&gt;J17,1,0)))</f>
        <v>2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1.0</v>
      </c>
      <c r="K17" s="235">
        <v>6.0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243</v>
      </c>
      <c r="E19" s="227" t="s">
        <v>55</v>
      </c>
      <c r="F19" s="227" t="s">
        <v>62</v>
      </c>
      <c r="G19" s="228" t="s">
        <v>239</v>
      </c>
      <c r="H19" s="227" t="s">
        <v>65</v>
      </c>
      <c r="I19" s="227" t="s">
        <v>72</v>
      </c>
      <c r="J19" s="229">
        <v>6.0</v>
      </c>
      <c r="K19" s="230">
        <v>2.0</v>
      </c>
      <c r="L19" s="231">
        <f>IF(AND(J19&gt;K19,J20&gt;K20),2,IF(J19&gt;K19,1,IF(J20&gt;K20,1,0)))</f>
        <v>2</v>
      </c>
      <c r="M19" s="231">
        <f>IF(AND(K19&gt;J19,K20&gt;J20),2,IF(K19&gt;J19,1,IF(K20&gt;J20,1,0)))</f>
        <v>0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6.0</v>
      </c>
      <c r="K20" s="235">
        <v>0.0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242</v>
      </c>
      <c r="D22" s="238" t="s">
        <v>254</v>
      </c>
      <c r="E22" s="227" t="s">
        <v>83</v>
      </c>
      <c r="F22" s="227" t="s">
        <v>76</v>
      </c>
      <c r="G22" s="228" t="s">
        <v>239</v>
      </c>
      <c r="H22" s="227" t="s">
        <v>79</v>
      </c>
      <c r="I22" s="227" t="s">
        <v>86</v>
      </c>
      <c r="J22" s="229">
        <v>2.0</v>
      </c>
      <c r="K22" s="230">
        <v>6.0</v>
      </c>
      <c r="L22" s="231">
        <f>IF(AND(J22&gt;K22,J23&gt;K23),2,IF(J22&gt;K22,1,IF(J23&gt;K23,1,0)))</f>
        <v>0</v>
      </c>
      <c r="M22" s="231">
        <f>IF(AND(K22&gt;J22,K23&gt;J23),2,IF(K22&gt;J22,1,IF(K23&gt;J23,1,0)))</f>
        <v>2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4.0</v>
      </c>
      <c r="K23" s="235">
        <v>6.0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359</v>
      </c>
      <c r="D25" s="111"/>
      <c r="E25" s="111"/>
      <c r="F25" s="111"/>
      <c r="G25" s="111"/>
      <c r="H25" s="111"/>
      <c r="I25" s="112"/>
      <c r="J25" s="241">
        <f t="shared" ref="J25:M25" si="1">SUM(J13:J23)</f>
        <v>26</v>
      </c>
      <c r="K25" s="242">
        <f t="shared" si="1"/>
        <v>38</v>
      </c>
      <c r="L25" s="241">
        <f t="shared" si="1"/>
        <v>2</v>
      </c>
      <c r="M25" s="243">
        <f t="shared" si="1"/>
        <v>6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64" t="s">
        <v>250</v>
      </c>
      <c r="D28" s="226" t="s">
        <v>257</v>
      </c>
      <c r="E28" s="227" t="s">
        <v>122</v>
      </c>
      <c r="F28" s="273" t="s">
        <v>136</v>
      </c>
      <c r="G28" s="228" t="s">
        <v>239</v>
      </c>
      <c r="H28" s="227" t="s">
        <v>132</v>
      </c>
      <c r="I28" s="227" t="s">
        <v>139</v>
      </c>
      <c r="J28" s="229">
        <v>0.0</v>
      </c>
      <c r="K28" s="230">
        <v>6.0</v>
      </c>
      <c r="L28" s="231">
        <f>IF(AND(J28&gt;K28,J29&gt;K29),2,IF(J28&gt;K28,1,IF(J29&gt;K29,1,0)))</f>
        <v>0</v>
      </c>
      <c r="M28" s="231">
        <f>IF(AND(K28&gt;J28,K29&gt;J29),2,IF(K28&gt;J28,1,IF(K29&gt;J29,1,0)))</f>
        <v>2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9.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3.0</v>
      </c>
      <c r="K29" s="235">
        <v>6.0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64" t="s">
        <v>253</v>
      </c>
      <c r="D31" s="226" t="s">
        <v>246</v>
      </c>
      <c r="E31" s="227" t="s">
        <v>161</v>
      </c>
      <c r="F31" s="227" t="s">
        <v>247</v>
      </c>
      <c r="G31" s="228" t="s">
        <v>239</v>
      </c>
      <c r="H31" s="227" t="s">
        <v>146</v>
      </c>
      <c r="I31" s="227" t="s">
        <v>151</v>
      </c>
      <c r="J31" s="274">
        <v>1.0</v>
      </c>
      <c r="K31" s="230">
        <v>6.0</v>
      </c>
      <c r="L31" s="231">
        <f>IF(AND(J31&gt;K31,J32&gt;K32),2,IF(J31&gt;K31,1,IF(J32&gt;K32,1,0)))</f>
        <v>0</v>
      </c>
      <c r="M31" s="231">
        <f>IF(AND(K31&gt;J31,K32&gt;J32),2,IF(K31&gt;J31,1,IF(K32&gt;J32,1,0)))</f>
        <v>2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0.0</v>
      </c>
      <c r="K32" s="235">
        <v>6.0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64" t="s">
        <v>255</v>
      </c>
      <c r="D34" s="226" t="s">
        <v>314</v>
      </c>
      <c r="E34" s="227" t="s">
        <v>89</v>
      </c>
      <c r="F34" s="227" t="s">
        <v>47</v>
      </c>
      <c r="G34" s="228" t="s">
        <v>239</v>
      </c>
      <c r="H34" s="227" t="s">
        <v>360</v>
      </c>
      <c r="I34" s="227" t="s">
        <v>157</v>
      </c>
      <c r="J34" s="229">
        <v>6.0</v>
      </c>
      <c r="K34" s="230">
        <v>2.0</v>
      </c>
      <c r="L34" s="231">
        <f>IF(AND(J34&gt;K34,J35&gt;K35),2,IF(J34&gt;K34,1,IF(J35&gt;K35,1,0)))</f>
        <v>2</v>
      </c>
      <c r="M34" s="231">
        <f>IF(AND(K34&gt;J34,K35&gt;J35),2,IF(K34&gt;J34,1,IF(K35&gt;J35,1,0)))</f>
        <v>0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7.0</v>
      </c>
      <c r="K35" s="235">
        <v>5.0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64" t="s">
        <v>250</v>
      </c>
      <c r="D37" s="238" t="s">
        <v>256</v>
      </c>
      <c r="E37" s="227" t="s">
        <v>184</v>
      </c>
      <c r="F37" s="227" t="s">
        <v>361</v>
      </c>
      <c r="G37" s="239" t="s">
        <v>239</v>
      </c>
      <c r="H37" s="227" t="s">
        <v>193</v>
      </c>
      <c r="I37" s="227" t="s">
        <v>199</v>
      </c>
      <c r="J37" s="229">
        <v>6.0</v>
      </c>
      <c r="K37" s="230">
        <v>4.0</v>
      </c>
      <c r="L37" s="231">
        <f>IF(AND(J37&gt;K37,J38&gt;K38),2,IF(J37&gt;K37,1,IF(J38&gt;K38,1,0)))</f>
        <v>2</v>
      </c>
      <c r="M37" s="231">
        <f>IF(AND(K37&gt;J37,K38&gt;J38),2,IF(K37&gt;J37,1,IF(K38&gt;J38,1,0)))</f>
        <v>0</v>
      </c>
      <c r="N37" s="257" t="s">
        <v>362</v>
      </c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7.0</v>
      </c>
      <c r="K38" s="235">
        <v>6.0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363</v>
      </c>
      <c r="D40" s="111"/>
      <c r="E40" s="111"/>
      <c r="F40" s="111"/>
      <c r="G40" s="111"/>
      <c r="H40" s="111"/>
      <c r="I40" s="112"/>
      <c r="J40" s="241">
        <f t="shared" ref="J40:M40" si="2">SUM(J28:J38)</f>
        <v>30</v>
      </c>
      <c r="K40" s="242">
        <f t="shared" si="2"/>
        <v>41</v>
      </c>
      <c r="L40" s="241">
        <f t="shared" si="2"/>
        <v>4</v>
      </c>
      <c r="M40" s="243">
        <f t="shared" si="2"/>
        <v>4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364</v>
      </c>
      <c r="D42" s="111"/>
      <c r="E42" s="111"/>
      <c r="F42" s="111"/>
      <c r="G42" s="111"/>
      <c r="H42" s="111"/>
      <c r="I42" s="112"/>
      <c r="J42" s="248">
        <f t="shared" ref="J42:M42" si="3">J40+J25</f>
        <v>56</v>
      </c>
      <c r="K42" s="249">
        <f t="shared" si="3"/>
        <v>79</v>
      </c>
      <c r="L42" s="250">
        <f t="shared" si="3"/>
        <v>6</v>
      </c>
      <c r="M42" s="251">
        <f t="shared" si="3"/>
        <v>10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261</v>
      </c>
      <c r="F46" s="112"/>
      <c r="G46" s="219"/>
      <c r="H46" s="220" t="s">
        <v>18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64" t="s">
        <v>365</v>
      </c>
      <c r="D48" s="226" t="s">
        <v>244</v>
      </c>
      <c r="E48" s="227" t="s">
        <v>103</v>
      </c>
      <c r="F48" s="227" t="s">
        <v>117</v>
      </c>
      <c r="G48" s="228" t="s">
        <v>239</v>
      </c>
      <c r="H48" s="227" t="s">
        <v>108</v>
      </c>
      <c r="I48" s="227" t="s">
        <v>304</v>
      </c>
      <c r="J48" s="229">
        <v>6.0</v>
      </c>
      <c r="K48" s="230">
        <v>4.0</v>
      </c>
      <c r="L48" s="231">
        <f>IF(AND(J48&gt;K48,J49&gt;K49),2,IF(J48&gt;K48,1,IF(J49&gt;K49,1,0)))</f>
        <v>2</v>
      </c>
      <c r="M48" s="231">
        <f>IF(AND(K48&gt;J48,K49&gt;J49),2,IF(K48&gt;J48,1,IF(K49&gt;J49,1,0)))</f>
        <v>0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7.0</v>
      </c>
      <c r="K49" s="235">
        <v>6.0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243</v>
      </c>
      <c r="E51" s="227" t="s">
        <v>56</v>
      </c>
      <c r="F51" s="227" t="s">
        <v>63</v>
      </c>
      <c r="G51" s="228" t="s">
        <v>239</v>
      </c>
      <c r="H51" s="227" t="s">
        <v>54</v>
      </c>
      <c r="I51" s="227" t="s">
        <v>68</v>
      </c>
      <c r="J51" s="229">
        <v>6.0</v>
      </c>
      <c r="K51" s="230">
        <v>4.0</v>
      </c>
      <c r="L51" s="231">
        <f>IF(AND(J51&gt;K51,J52&gt;K52),2,IF(J51&gt;K51,1,IF(J52&gt;K52,1,0)))</f>
        <v>1</v>
      </c>
      <c r="M51" s="231">
        <f>IF(AND(K51&gt;J51,K52&gt;J52),2,IF(K51&gt;J51,1,IF(K52&gt;J52,1,0)))</f>
        <v>1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6.0</v>
      </c>
      <c r="K52" s="235">
        <v>7.0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269</v>
      </c>
      <c r="E54" s="227" t="s">
        <v>48</v>
      </c>
      <c r="F54" s="227" t="s">
        <v>366</v>
      </c>
      <c r="G54" s="228" t="s">
        <v>239</v>
      </c>
      <c r="H54" s="227" t="s">
        <v>82</v>
      </c>
      <c r="I54" s="227" t="s">
        <v>142</v>
      </c>
      <c r="J54" s="229">
        <v>0.0</v>
      </c>
      <c r="K54" s="230">
        <v>6.0</v>
      </c>
      <c r="L54" s="231">
        <f>IF(AND(J54&gt;K54,J55&gt;K55),2,IF(J54&gt;K54,1,IF(J55&gt;K55,1,0)))</f>
        <v>0</v>
      </c>
      <c r="M54" s="231">
        <f>IF(AND(K54&gt;J54,K55&gt;J55),2,IF(K54&gt;J54,1,IF(K55&gt;J55,1,0)))</f>
        <v>2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2.0</v>
      </c>
      <c r="K55" s="235">
        <v>6.0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256</v>
      </c>
      <c r="E57" s="227" t="s">
        <v>191</v>
      </c>
      <c r="F57" s="227" t="s">
        <v>197</v>
      </c>
      <c r="G57" s="228" t="s">
        <v>239</v>
      </c>
      <c r="H57" s="227" t="s">
        <v>195</v>
      </c>
      <c r="I57" s="227" t="s">
        <v>183</v>
      </c>
      <c r="J57" s="229">
        <v>6.0</v>
      </c>
      <c r="K57" s="230">
        <v>0.0</v>
      </c>
      <c r="L57" s="231">
        <f>IF(AND(J57&gt;K57,J58&gt;K58),2,IF(J57&gt;K57,1,IF(J58&gt;K58,1,0)))</f>
        <v>2</v>
      </c>
      <c r="M57" s="231">
        <f>IF(AND(K57&gt;J57,K58&gt;J58),2,IF(K57&gt;J57,1,IF(K58&gt;J58,1,0)))</f>
        <v>0</v>
      </c>
      <c r="N57" s="257" t="s">
        <v>332</v>
      </c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6.0</v>
      </c>
      <c r="K58" s="235">
        <v>4.0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359</v>
      </c>
      <c r="D60" s="111"/>
      <c r="E60" s="111"/>
      <c r="F60" s="111"/>
      <c r="G60" s="111"/>
      <c r="H60" s="111"/>
      <c r="I60" s="112"/>
      <c r="J60" s="241">
        <f t="shared" ref="J60:M60" si="4">SUM(J48:J58)</f>
        <v>39</v>
      </c>
      <c r="K60" s="242">
        <f t="shared" si="4"/>
        <v>37</v>
      </c>
      <c r="L60" s="241">
        <f t="shared" si="4"/>
        <v>5</v>
      </c>
      <c r="M60" s="243">
        <f t="shared" si="4"/>
        <v>3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64" t="s">
        <v>250</v>
      </c>
      <c r="D63" s="226" t="s">
        <v>248</v>
      </c>
      <c r="E63" s="227" t="s">
        <v>168</v>
      </c>
      <c r="F63" s="227" t="s">
        <v>180</v>
      </c>
      <c r="G63" s="228" t="s">
        <v>239</v>
      </c>
      <c r="H63" s="227" t="s">
        <v>166</v>
      </c>
      <c r="I63" s="227" t="s">
        <v>279</v>
      </c>
      <c r="J63" s="229">
        <v>1.0</v>
      </c>
      <c r="K63" s="230">
        <v>6.0</v>
      </c>
      <c r="L63" s="231">
        <f>IF(AND(J63&gt;K63,J64&gt;K64),2,IF(J63&gt;K63,1,IF(J64&gt;K64,1,0)))</f>
        <v>0</v>
      </c>
      <c r="M63" s="231">
        <f>IF(AND(K63&gt;J63,K64&gt;J64),2,IF(K63&gt;J63,1,IF(K64&gt;J64,1,0)))</f>
        <v>2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6.0</v>
      </c>
      <c r="K64" s="235">
        <v>7.0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64" t="s">
        <v>253</v>
      </c>
      <c r="D66" s="226" t="s">
        <v>246</v>
      </c>
      <c r="E66" s="227" t="s">
        <v>155</v>
      </c>
      <c r="F66" s="227" t="s">
        <v>149</v>
      </c>
      <c r="G66" s="228" t="s">
        <v>239</v>
      </c>
      <c r="H66" s="227" t="s">
        <v>148</v>
      </c>
      <c r="I66" s="227" t="s">
        <v>160</v>
      </c>
      <c r="J66" s="229">
        <v>7.0</v>
      </c>
      <c r="K66" s="230">
        <v>6.0</v>
      </c>
      <c r="L66" s="231">
        <f>IF(AND(J66&gt;K66,J67&gt;K67),2,IF(J66&gt;K66,1,IF(J67&gt;K67,1,0)))</f>
        <v>1</v>
      </c>
      <c r="M66" s="231">
        <f>IF(AND(K66&gt;J66,K67&gt;J67),2,IF(K66&gt;J66,1,IF(K67&gt;J67,1,0)))</f>
        <v>1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7.0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64" t="s">
        <v>255</v>
      </c>
      <c r="D69" s="226" t="s">
        <v>257</v>
      </c>
      <c r="E69" s="227" t="s">
        <v>123</v>
      </c>
      <c r="F69" s="227" t="s">
        <v>137</v>
      </c>
      <c r="G69" s="228" t="s">
        <v>239</v>
      </c>
      <c r="H69" s="227" t="s">
        <v>128</v>
      </c>
      <c r="I69" s="227" t="s">
        <v>135</v>
      </c>
      <c r="J69" s="229">
        <v>6.0</v>
      </c>
      <c r="K69" s="230">
        <v>7.0</v>
      </c>
      <c r="L69" s="231">
        <f>IF(AND(J69&gt;K69,J70&gt;K70),2,IF(J69&gt;K69,1,IF(J70&gt;K70,1,0)))</f>
        <v>1</v>
      </c>
      <c r="M69" s="231">
        <f>IF(AND(K69&gt;J69,K70&gt;J70),2,IF(K69&gt;J69,1,IF(K70&gt;J70,1,0)))</f>
        <v>1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6.0</v>
      </c>
      <c r="K70" s="235">
        <v>4.0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64" t="s">
        <v>253</v>
      </c>
      <c r="D72" s="238" t="s">
        <v>254</v>
      </c>
      <c r="E72" s="227" t="s">
        <v>84</v>
      </c>
      <c r="F72" s="227" t="s">
        <v>96</v>
      </c>
      <c r="G72" s="239" t="s">
        <v>239</v>
      </c>
      <c r="H72" s="227" t="s">
        <v>271</v>
      </c>
      <c r="I72" s="227" t="s">
        <v>88</v>
      </c>
      <c r="J72" s="229">
        <v>6.0</v>
      </c>
      <c r="K72" s="230">
        <v>4.0</v>
      </c>
      <c r="L72" s="231">
        <f>IF(AND(J72&gt;K72,J73&gt;K73),2,IF(J72&gt;K72,1,IF(J73&gt;K73,1,0)))</f>
        <v>1</v>
      </c>
      <c r="M72" s="231">
        <f>IF(AND(K72&gt;J72,K73&gt;J73),2,IF(K72&gt;J72,1,IF(K73&gt;J73,1,0)))</f>
        <v>1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2.0</v>
      </c>
      <c r="K73" s="235">
        <v>6.0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363</v>
      </c>
      <c r="D75" s="111"/>
      <c r="E75" s="111"/>
      <c r="F75" s="111"/>
      <c r="G75" s="111"/>
      <c r="H75" s="111"/>
      <c r="I75" s="112"/>
      <c r="J75" s="241">
        <f t="shared" ref="J75:M75" si="5">SUM(J63:J73)</f>
        <v>40</v>
      </c>
      <c r="K75" s="242">
        <f t="shared" si="5"/>
        <v>47</v>
      </c>
      <c r="L75" s="241">
        <f t="shared" si="5"/>
        <v>3</v>
      </c>
      <c r="M75" s="243">
        <f t="shared" si="5"/>
        <v>5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364</v>
      </c>
      <c r="D77" s="111"/>
      <c r="E77" s="111"/>
      <c r="F77" s="111"/>
      <c r="G77" s="111"/>
      <c r="H77" s="111"/>
      <c r="I77" s="112"/>
      <c r="J77" s="248">
        <f t="shared" ref="J77:M77" si="6">J75+J60</f>
        <v>79</v>
      </c>
      <c r="K77" s="249">
        <f t="shared" si="6"/>
        <v>84</v>
      </c>
      <c r="L77" s="250">
        <f t="shared" si="6"/>
        <v>8</v>
      </c>
      <c r="M77" s="251">
        <f t="shared" si="6"/>
        <v>8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15</v>
      </c>
      <c r="F81" s="112"/>
      <c r="G81" s="219"/>
      <c r="H81" s="220" t="s">
        <v>21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64" t="s">
        <v>242</v>
      </c>
      <c r="D83" s="226" t="s">
        <v>246</v>
      </c>
      <c r="E83" s="227" t="s">
        <v>147</v>
      </c>
      <c r="F83" s="227" t="s">
        <v>152</v>
      </c>
      <c r="G83" s="228" t="s">
        <v>239</v>
      </c>
      <c r="H83" s="227" t="s">
        <v>150</v>
      </c>
      <c r="I83" s="227" t="s">
        <v>367</v>
      </c>
      <c r="J83" s="229">
        <v>7.0</v>
      </c>
      <c r="K83" s="230">
        <v>5.0</v>
      </c>
      <c r="L83" s="231">
        <f>IF(AND(J83&gt;K83,J84&gt;K84),2,IF(J83&gt;K83,1,IF(J84&gt;K84,1,0)))</f>
        <v>2</v>
      </c>
      <c r="M83" s="231">
        <f>IF(AND(K83&gt;J83,K84&gt;J84),2,IF(K83&gt;J83,1,IF(K84&gt;J84,1,0)))</f>
        <v>0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6.0</v>
      </c>
      <c r="K84" s="235">
        <v>1.0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64" t="s">
        <v>264</v>
      </c>
      <c r="D86" s="226" t="s">
        <v>244</v>
      </c>
      <c r="E86" s="227" t="s">
        <v>368</v>
      </c>
      <c r="F86" s="273" t="s">
        <v>114</v>
      </c>
      <c r="G86" s="228" t="s">
        <v>239</v>
      </c>
      <c r="H86" s="227" t="s">
        <v>104</v>
      </c>
      <c r="I86" s="227" t="s">
        <v>49</v>
      </c>
      <c r="J86" s="229">
        <v>7.0</v>
      </c>
      <c r="K86" s="230">
        <v>6.0</v>
      </c>
      <c r="L86" s="231">
        <f>IF(AND(J86&gt;K86,J87&gt;K87),2,IF(J86&gt;K86,1,IF(J87&gt;K87,1,0)))</f>
        <v>2</v>
      </c>
      <c r="M86" s="231">
        <f>IF(AND(K86&gt;J86,K87&gt;J87),2,IF(K86&gt;J86,1,IF(K87&gt;J87,1,0)))</f>
        <v>0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1.0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64" t="s">
        <v>245</v>
      </c>
      <c r="D89" s="226" t="s">
        <v>257</v>
      </c>
      <c r="E89" s="227" t="s">
        <v>120</v>
      </c>
      <c r="F89" s="227" t="s">
        <v>127</v>
      </c>
      <c r="G89" s="228" t="s">
        <v>239</v>
      </c>
      <c r="H89" s="227" t="s">
        <v>131</v>
      </c>
      <c r="I89" s="227" t="s">
        <v>138</v>
      </c>
      <c r="J89" s="229">
        <v>6.0</v>
      </c>
      <c r="K89" s="230">
        <v>3.0</v>
      </c>
      <c r="L89" s="231">
        <f>IF(AND(J89&gt;K89,J90&gt;K90),2,IF(J89&gt;K89,1,IF(J90&gt;K90,1,0)))</f>
        <v>2</v>
      </c>
      <c r="M89" s="231">
        <f>IF(AND(K89&gt;J89,K90&gt;J90),2,IF(K89&gt;J89,1,IF(K90&gt;J90,1,0)))</f>
        <v>0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6.0</v>
      </c>
      <c r="K90" s="235">
        <v>4.0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64" t="s">
        <v>245</v>
      </c>
      <c r="D92" s="238" t="s">
        <v>256</v>
      </c>
      <c r="E92" s="227" t="s">
        <v>188</v>
      </c>
      <c r="F92" s="227" t="s">
        <v>369</v>
      </c>
      <c r="G92" s="239" t="s">
        <v>239</v>
      </c>
      <c r="H92" s="227" t="s">
        <v>192</v>
      </c>
      <c r="I92" s="227" t="s">
        <v>198</v>
      </c>
      <c r="J92" s="229">
        <v>2.0</v>
      </c>
      <c r="K92" s="230">
        <v>6.0</v>
      </c>
      <c r="L92" s="231">
        <f>IF(AND(J92&gt;K92,J93&gt;K93),2,IF(J92&gt;K92,1,IF(J93&gt;K93,1,0)))</f>
        <v>1</v>
      </c>
      <c r="M92" s="231">
        <f>IF(AND(K92&gt;J92,K93&gt;J93),2,IF(K92&gt;J92,1,IF(K93&gt;J93,1,0)))</f>
        <v>1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3.0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359</v>
      </c>
      <c r="D95" s="111"/>
      <c r="E95" s="111"/>
      <c r="F95" s="111"/>
      <c r="G95" s="111"/>
      <c r="H95" s="111"/>
      <c r="I95" s="112"/>
      <c r="J95" s="241">
        <f t="shared" ref="J95:M95" si="7">SUM(J83:J93)</f>
        <v>46</v>
      </c>
      <c r="K95" s="242">
        <f t="shared" si="7"/>
        <v>29</v>
      </c>
      <c r="L95" s="241">
        <f t="shared" si="7"/>
        <v>7</v>
      </c>
      <c r="M95" s="243">
        <f t="shared" si="7"/>
        <v>1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64" t="s">
        <v>250</v>
      </c>
      <c r="D98" s="226" t="s">
        <v>243</v>
      </c>
      <c r="E98" s="227" t="s">
        <v>289</v>
      </c>
      <c r="F98" s="227" t="s">
        <v>67</v>
      </c>
      <c r="G98" s="228" t="s">
        <v>239</v>
      </c>
      <c r="H98" s="227" t="s">
        <v>64</v>
      </c>
      <c r="I98" s="227" t="s">
        <v>71</v>
      </c>
      <c r="J98" s="229">
        <v>6.0</v>
      </c>
      <c r="K98" s="230">
        <v>1.0</v>
      </c>
      <c r="L98" s="231">
        <f>IF(AND(J98&gt;K98,J99&gt;K99),2,IF(J98&gt;K98,1,IF(J99&gt;K99,1,0)))</f>
        <v>2</v>
      </c>
      <c r="M98" s="231">
        <f>IF(AND(K98&gt;J98,K99&gt;J99),2,IF(K98&gt;J98,1,IF(K99&gt;J99,1,0)))</f>
        <v>0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6.0</v>
      </c>
      <c r="K99" s="235">
        <v>2.0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64" t="s">
        <v>253</v>
      </c>
      <c r="D101" s="226" t="s">
        <v>248</v>
      </c>
      <c r="E101" s="227" t="s">
        <v>165</v>
      </c>
      <c r="F101" s="227" t="s">
        <v>370</v>
      </c>
      <c r="G101" s="228" t="s">
        <v>239</v>
      </c>
      <c r="H101" s="227" t="s">
        <v>169</v>
      </c>
      <c r="I101" s="227" t="s">
        <v>181</v>
      </c>
      <c r="J101" s="229">
        <v>3.0</v>
      </c>
      <c r="K101" s="230">
        <v>6.0</v>
      </c>
      <c r="L101" s="231">
        <f>IF(AND(J101&gt;K101,J102&gt;K102),2,IF(J101&gt;K101,1,IF(J102&gt;K102,1,0)))</f>
        <v>1</v>
      </c>
      <c r="M101" s="231">
        <f>IF(AND(K101&gt;J101,K102&gt;J102),2,IF(K101&gt;J101,1,IF(K102&gt;J102,1,0)))</f>
        <v>1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7.0</v>
      </c>
      <c r="K102" s="235">
        <v>6.0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64" t="s">
        <v>255</v>
      </c>
      <c r="D104" s="226" t="s">
        <v>254</v>
      </c>
      <c r="E104" s="227" t="s">
        <v>81</v>
      </c>
      <c r="F104" s="227" t="s">
        <v>45</v>
      </c>
      <c r="G104" s="228" t="s">
        <v>239</v>
      </c>
      <c r="H104" s="227" t="s">
        <v>78</v>
      </c>
      <c r="I104" s="227" t="s">
        <v>85</v>
      </c>
      <c r="J104" s="229">
        <v>1.0</v>
      </c>
      <c r="K104" s="230">
        <v>6.0</v>
      </c>
      <c r="L104" s="231">
        <f>IF(AND(J104&gt;K104,J105&gt;K105),2,IF(J104&gt;K104,1,IF(J105&gt;K105,1,0)))</f>
        <v>0</v>
      </c>
      <c r="M104" s="231">
        <f>IF(AND(K104&gt;J104,K105&gt;J105),2,IF(K104&gt;J104,1,IF(K105&gt;J105,1,0)))</f>
        <v>2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2.0</v>
      </c>
      <c r="K105" s="235">
        <v>6.0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64" t="s">
        <v>283</v>
      </c>
      <c r="D107" s="238" t="s">
        <v>269</v>
      </c>
      <c r="E107" s="227" t="s">
        <v>74</v>
      </c>
      <c r="F107" s="227" t="s">
        <v>371</v>
      </c>
      <c r="G107" s="239" t="s">
        <v>239</v>
      </c>
      <c r="H107" s="227" t="s">
        <v>97</v>
      </c>
      <c r="I107" s="227" t="s">
        <v>145</v>
      </c>
      <c r="J107" s="229">
        <v>5.0</v>
      </c>
      <c r="K107" s="230">
        <v>7.0</v>
      </c>
      <c r="L107" s="231">
        <f>IF(AND(J107&gt;K107,J108&gt;K108),2,IF(J107&gt;K107,1,IF(J108&gt;K108,1,0)))</f>
        <v>0</v>
      </c>
      <c r="M107" s="231">
        <f>IF(AND(K107&gt;J107,K108&gt;J108),2,IF(K107&gt;J107,1,IF(K108&gt;J108,1,0)))</f>
        <v>2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3.0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363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33</v>
      </c>
      <c r="K110" s="242">
        <f t="shared" si="8"/>
        <v>40</v>
      </c>
      <c r="L110" s="241">
        <f t="shared" si="8"/>
        <v>3</v>
      </c>
      <c r="M110" s="243">
        <f t="shared" si="8"/>
        <v>5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364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79</v>
      </c>
      <c r="K112" s="249">
        <f t="shared" si="9"/>
        <v>69</v>
      </c>
      <c r="L112" s="250">
        <f t="shared" si="9"/>
        <v>10</v>
      </c>
      <c r="M112" s="251">
        <f t="shared" si="9"/>
        <v>6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372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292</v>
      </c>
      <c r="F11" s="112"/>
      <c r="G11" s="219" t="s">
        <v>239</v>
      </c>
      <c r="H11" s="220" t="s">
        <v>288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246</v>
      </c>
      <c r="E13" s="227" t="s">
        <v>149</v>
      </c>
      <c r="F13" s="227" t="s">
        <v>162</v>
      </c>
      <c r="G13" s="228" t="s">
        <v>239</v>
      </c>
      <c r="H13" s="227" t="s">
        <v>146</v>
      </c>
      <c r="I13" s="227" t="s">
        <v>151</v>
      </c>
      <c r="J13" s="229">
        <v>0.0</v>
      </c>
      <c r="K13" s="230">
        <v>6.0</v>
      </c>
      <c r="L13" s="231">
        <f>IF(AND(J13&gt;K13,J14&gt;K14),2,IF(J13&gt;K13,1,IF(J14&gt;K14,1,0)))</f>
        <v>0</v>
      </c>
      <c r="M13" s="231">
        <f>IF(AND(K13&gt;J13,K14&gt;J14),2,IF(K13&gt;J13,1,IF(K14&gt;J14,1,0)))</f>
        <v>2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0.0</v>
      </c>
      <c r="K14" s="235">
        <v>6.0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57">
        <v>1.0</v>
      </c>
      <c r="C15" s="269">
        <v>6.0</v>
      </c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57">
        <v>0.0</v>
      </c>
      <c r="C16" s="264">
        <v>6.0</v>
      </c>
      <c r="D16" s="226" t="s">
        <v>314</v>
      </c>
      <c r="E16" s="227" t="s">
        <v>48</v>
      </c>
      <c r="F16" s="227" t="s">
        <v>155</v>
      </c>
      <c r="G16" s="228" t="s">
        <v>239</v>
      </c>
      <c r="H16" s="227" t="s">
        <v>79</v>
      </c>
      <c r="I16" s="227" t="s">
        <v>157</v>
      </c>
      <c r="J16" s="229">
        <v>1.0</v>
      </c>
      <c r="K16" s="230">
        <v>6.0</v>
      </c>
      <c r="L16" s="231">
        <f>IF(AND(J16&gt;K16,J17&gt;K17),2,IF(J16&gt;K16,1,IF(J17&gt;K17,1,0)))</f>
        <v>0</v>
      </c>
      <c r="M16" s="231">
        <f>IF(AND(K16&gt;J16,K17&gt;J17),2,IF(K16&gt;J16,1,IF(K17&gt;J17,1,0)))</f>
        <v>2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75">
        <v>0.0</v>
      </c>
      <c r="K17" s="235">
        <v>6.0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248</v>
      </c>
      <c r="E19" s="227" t="s">
        <v>168</v>
      </c>
      <c r="F19" s="227" t="s">
        <v>174</v>
      </c>
      <c r="G19" s="228" t="s">
        <v>239</v>
      </c>
      <c r="H19" s="227" t="s">
        <v>176</v>
      </c>
      <c r="I19" s="227" t="s">
        <v>50</v>
      </c>
      <c r="J19" s="229">
        <v>2.0</v>
      </c>
      <c r="K19" s="230">
        <v>6.0</v>
      </c>
      <c r="L19" s="231">
        <f>IF(AND(J19&gt;K19,J20&gt;K20),2,IF(J19&gt;K19,1,IF(J20&gt;K20,1,0)))</f>
        <v>0</v>
      </c>
      <c r="M19" s="231">
        <f>IF(AND(K19&gt;J19,K20&gt;J20),2,IF(K19&gt;J19,1,IF(K20&gt;J20,1,0)))</f>
        <v>2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0.0</v>
      </c>
      <c r="K20" s="235">
        <v>6.0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 t="s">
        <v>242</v>
      </c>
      <c r="D22" s="238" t="s">
        <v>256</v>
      </c>
      <c r="E22" s="227" t="s">
        <v>185</v>
      </c>
      <c r="F22" s="227" t="s">
        <v>197</v>
      </c>
      <c r="G22" s="228" t="s">
        <v>239</v>
      </c>
      <c r="H22" s="227" t="s">
        <v>187</v>
      </c>
      <c r="I22" s="227" t="s">
        <v>373</v>
      </c>
      <c r="J22" s="229">
        <v>0.0</v>
      </c>
      <c r="K22" s="230">
        <v>6.0</v>
      </c>
      <c r="L22" s="231">
        <f>IF(AND(J22&gt;K22,J23&gt;K23),2,IF(J22&gt;K22,1,IF(J23&gt;K23,1,0)))</f>
        <v>0</v>
      </c>
      <c r="M22" s="231">
        <f>IF(AND(K22&gt;J22,K23&gt;J23),2,IF(K22&gt;J22,1,IF(K23&gt;J23,1,0)))</f>
        <v>2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2.0</v>
      </c>
      <c r="K23" s="235">
        <v>6.0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374</v>
      </c>
      <c r="D25" s="111"/>
      <c r="E25" s="111"/>
      <c r="F25" s="111"/>
      <c r="G25" s="111"/>
      <c r="H25" s="111"/>
      <c r="I25" s="112"/>
      <c r="J25" s="241">
        <f t="shared" ref="J25:M25" si="1">SUM(J13:J23)</f>
        <v>5</v>
      </c>
      <c r="K25" s="242">
        <f t="shared" si="1"/>
        <v>48</v>
      </c>
      <c r="L25" s="241">
        <f t="shared" si="1"/>
        <v>0</v>
      </c>
      <c r="M25" s="243">
        <f t="shared" si="1"/>
        <v>8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64" t="s">
        <v>250</v>
      </c>
      <c r="D28" s="226" t="s">
        <v>254</v>
      </c>
      <c r="E28" s="227" t="s">
        <v>267</v>
      </c>
      <c r="F28" s="227" t="s">
        <v>96</v>
      </c>
      <c r="G28" s="228" t="s">
        <v>239</v>
      </c>
      <c r="H28" s="227" t="s">
        <v>91</v>
      </c>
      <c r="I28" s="227" t="s">
        <v>98</v>
      </c>
      <c r="J28" s="229">
        <v>6.0</v>
      </c>
      <c r="K28" s="230">
        <v>2.0</v>
      </c>
      <c r="L28" s="231">
        <f>IF(AND(J28&gt;K28,J29&gt;K29),2,IF(J28&gt;K28,1,IF(J29&gt;K29,1,0)))</f>
        <v>2</v>
      </c>
      <c r="M28" s="231">
        <f>IF(AND(K28&gt;J28,K29&gt;J29),2,IF(K28&gt;J28,1,IF(K29&gt;J29,1,0)))</f>
        <v>0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6.0</v>
      </c>
      <c r="K29" s="235">
        <v>2.0</v>
      </c>
      <c r="L29" s="233"/>
      <c r="M29" s="233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4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64" t="s">
        <v>253</v>
      </c>
      <c r="D31" s="226" t="s">
        <v>243</v>
      </c>
      <c r="E31" s="227" t="s">
        <v>265</v>
      </c>
      <c r="F31" s="227" t="s">
        <v>70</v>
      </c>
      <c r="G31" s="228" t="s">
        <v>239</v>
      </c>
      <c r="H31" s="227" t="s">
        <v>58</v>
      </c>
      <c r="I31" s="227" t="s">
        <v>72</v>
      </c>
      <c r="J31" s="229">
        <v>2.0</v>
      </c>
      <c r="K31" s="230">
        <v>6.0</v>
      </c>
      <c r="L31" s="231">
        <f>IF(AND(J31&gt;K31,J32&gt;K32),2,IF(J31&gt;K31,1,IF(J32&gt;K32,1,0)))</f>
        <v>0</v>
      </c>
      <c r="M31" s="231">
        <f>IF(AND(K31&gt;J31,K32&gt;J32),2,IF(K31&gt;J31,1,IF(K32&gt;J32,1,0)))</f>
        <v>2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3.0</v>
      </c>
      <c r="K32" s="235">
        <v>6.0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64" t="s">
        <v>255</v>
      </c>
      <c r="D34" s="226" t="s">
        <v>244</v>
      </c>
      <c r="E34" s="227" t="s">
        <v>103</v>
      </c>
      <c r="F34" s="227" t="s">
        <v>110</v>
      </c>
      <c r="G34" s="228" t="s">
        <v>239</v>
      </c>
      <c r="H34" s="227" t="s">
        <v>105</v>
      </c>
      <c r="I34" s="227" t="s">
        <v>118</v>
      </c>
      <c r="J34" s="229">
        <v>2.0</v>
      </c>
      <c r="K34" s="230">
        <v>6.0</v>
      </c>
      <c r="L34" s="231">
        <f>IF(AND(J34&gt;K34,J35&gt;K35),2,IF(J34&gt;K34,1,IF(J35&gt;K35,1,0)))</f>
        <v>0</v>
      </c>
      <c r="M34" s="231">
        <f>IF(AND(K34&gt;J34,K35&gt;J35),2,IF(K34&gt;J34,1,IF(K35&gt;J35,1,0)))</f>
        <v>2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4.0</v>
      </c>
      <c r="K35" s="235">
        <v>6.0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64" t="s">
        <v>250</v>
      </c>
      <c r="D37" s="238" t="s">
        <v>257</v>
      </c>
      <c r="E37" s="227" t="s">
        <v>123</v>
      </c>
      <c r="F37" s="227" t="s">
        <v>130</v>
      </c>
      <c r="G37" s="239" t="s">
        <v>239</v>
      </c>
      <c r="H37" s="227" t="s">
        <v>132</v>
      </c>
      <c r="I37" s="227" t="s">
        <v>139</v>
      </c>
      <c r="J37" s="229">
        <v>6.0</v>
      </c>
      <c r="K37" s="230">
        <v>7.0</v>
      </c>
      <c r="L37" s="231">
        <f>IF(AND(J37&gt;K37,J38&gt;K38),2,IF(J37&gt;K37,1,IF(J38&gt;K38,1,0)))</f>
        <v>1</v>
      </c>
      <c r="M37" s="231">
        <f>IF(AND(K37&gt;J37,K38&gt;J38),2,IF(K37&gt;J37,1,IF(K38&gt;J38,1,0)))</f>
        <v>1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6.0</v>
      </c>
      <c r="K38" s="235">
        <v>4.0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375</v>
      </c>
      <c r="D40" s="111"/>
      <c r="E40" s="111"/>
      <c r="F40" s="111"/>
      <c r="G40" s="111"/>
      <c r="H40" s="111"/>
      <c r="I40" s="112"/>
      <c r="J40" s="241">
        <f t="shared" ref="J40:M40" si="2">SUM(J28:J38)</f>
        <v>35</v>
      </c>
      <c r="K40" s="242">
        <f t="shared" si="2"/>
        <v>39</v>
      </c>
      <c r="L40" s="241">
        <f t="shared" si="2"/>
        <v>3</v>
      </c>
      <c r="M40" s="243">
        <f t="shared" si="2"/>
        <v>5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376</v>
      </c>
      <c r="D42" s="111"/>
      <c r="E42" s="111"/>
      <c r="F42" s="111"/>
      <c r="G42" s="111"/>
      <c r="H42" s="111"/>
      <c r="I42" s="112"/>
      <c r="J42" s="248">
        <f t="shared" ref="J42:M42" si="3">J40+J25</f>
        <v>40</v>
      </c>
      <c r="K42" s="249">
        <f t="shared" si="3"/>
        <v>87</v>
      </c>
      <c r="L42" s="250">
        <f t="shared" si="3"/>
        <v>3</v>
      </c>
      <c r="M42" s="251">
        <f t="shared" si="3"/>
        <v>13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291</v>
      </c>
      <c r="F46" s="112"/>
      <c r="G46" s="219"/>
      <c r="H46" s="220" t="s">
        <v>278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248</v>
      </c>
      <c r="E48" s="227" t="s">
        <v>377</v>
      </c>
      <c r="F48" s="227" t="s">
        <v>179</v>
      </c>
      <c r="G48" s="228" t="s">
        <v>239</v>
      </c>
      <c r="H48" s="227" t="s">
        <v>169</v>
      </c>
      <c r="I48" s="227" t="s">
        <v>181</v>
      </c>
      <c r="J48" s="229">
        <v>6.0</v>
      </c>
      <c r="K48" s="230">
        <v>7.0</v>
      </c>
      <c r="L48" s="231">
        <f>IF(AND(J48&gt;K48,J49&gt;K49),2,IF(J48&gt;K48,1,IF(J49&gt;K49,1,0)))</f>
        <v>0</v>
      </c>
      <c r="M48" s="231">
        <f>IF(AND(K48&gt;J48,K49&gt;J49),2,IF(K48&gt;J48,1,IF(K49&gt;J49,1,0)))</f>
        <v>2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4.0</v>
      </c>
      <c r="K49" s="235">
        <v>6.0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246</v>
      </c>
      <c r="E51" s="227" t="s">
        <v>161</v>
      </c>
      <c r="F51" s="227" t="s">
        <v>143</v>
      </c>
      <c r="G51" s="228" t="s">
        <v>239</v>
      </c>
      <c r="H51" s="227" t="s">
        <v>145</v>
      </c>
      <c r="I51" s="227" t="s">
        <v>156</v>
      </c>
      <c r="J51" s="229">
        <v>7.0</v>
      </c>
      <c r="K51" s="230">
        <v>6.0</v>
      </c>
      <c r="L51" s="231">
        <f>IF(AND(J51&gt;K51,J52&gt;K52),2,IF(J51&gt;K51,1,IF(J52&gt;K52,1,0)))</f>
        <v>2</v>
      </c>
      <c r="M51" s="231">
        <f>IF(AND(K51&gt;J51,K52&gt;J52),2,IF(K51&gt;J51,1,IF(K52&gt;J52,1,0)))</f>
        <v>0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6.0</v>
      </c>
      <c r="K52" s="235">
        <v>4.0</v>
      </c>
      <c r="L52" s="233"/>
      <c r="M52" s="233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254</v>
      </c>
      <c r="E54" s="227" t="s">
        <v>83</v>
      </c>
      <c r="F54" s="227" t="s">
        <v>76</v>
      </c>
      <c r="G54" s="228" t="s">
        <v>239</v>
      </c>
      <c r="H54" s="227" t="s">
        <v>78</v>
      </c>
      <c r="I54" s="227" t="s">
        <v>90</v>
      </c>
      <c r="J54" s="229">
        <v>6.0</v>
      </c>
      <c r="K54" s="230">
        <v>3.0</v>
      </c>
      <c r="L54" s="231">
        <f>IF(AND(J54&gt;K54,J55&gt;K55),2,IF(J54&gt;K54,1,IF(J55&gt;K55,1,0)))</f>
        <v>2</v>
      </c>
      <c r="M54" s="231">
        <f>IF(AND(K54&gt;J54,K55&gt;J55),2,IF(K54&gt;J54,1,IF(K55&gt;J55,1,0)))</f>
        <v>0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7.0</v>
      </c>
      <c r="K55" s="235">
        <v>6.0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264</v>
      </c>
      <c r="D57" s="238" t="s">
        <v>256</v>
      </c>
      <c r="E57" s="227" t="s">
        <v>184</v>
      </c>
      <c r="F57" s="227" t="s">
        <v>190</v>
      </c>
      <c r="G57" s="239" t="s">
        <v>239</v>
      </c>
      <c r="H57" s="227" t="s">
        <v>186</v>
      </c>
      <c r="I57" s="227" t="s">
        <v>198</v>
      </c>
      <c r="J57" s="229">
        <v>6.0</v>
      </c>
      <c r="K57" s="230">
        <v>3.0</v>
      </c>
      <c r="L57" s="231">
        <f>IF(AND(J57&gt;K57,J58&gt;K58),2,IF(J57&gt;K57,1,IF(J58&gt;K58,1,0)))</f>
        <v>2</v>
      </c>
      <c r="M57" s="231">
        <f>IF(AND(K57&gt;J57,K58&gt;J58),2,IF(K57&gt;J57,1,IF(K58&gt;J58,1,0)))</f>
        <v>0</v>
      </c>
      <c r="N57" s="257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6.0</v>
      </c>
      <c r="K58" s="235">
        <v>1.0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374</v>
      </c>
      <c r="D60" s="111"/>
      <c r="E60" s="111"/>
      <c r="F60" s="111"/>
      <c r="G60" s="111"/>
      <c r="H60" s="111"/>
      <c r="I60" s="112"/>
      <c r="J60" s="241">
        <f t="shared" ref="J60:M60" si="4">SUM(J48:J58)</f>
        <v>48</v>
      </c>
      <c r="K60" s="242">
        <f t="shared" si="4"/>
        <v>36</v>
      </c>
      <c r="L60" s="241">
        <f t="shared" si="4"/>
        <v>6</v>
      </c>
      <c r="M60" s="243">
        <f t="shared" si="4"/>
        <v>2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250</v>
      </c>
      <c r="D63" s="226" t="s">
        <v>243</v>
      </c>
      <c r="E63" s="276" t="s">
        <v>62</v>
      </c>
      <c r="F63" s="277" t="s">
        <v>69</v>
      </c>
      <c r="G63" s="228" t="s">
        <v>239</v>
      </c>
      <c r="H63" s="227" t="s">
        <v>57</v>
      </c>
      <c r="I63" s="227" t="s">
        <v>64</v>
      </c>
      <c r="J63" s="229">
        <v>6.0</v>
      </c>
      <c r="K63" s="230">
        <v>3.0</v>
      </c>
      <c r="L63" s="231">
        <f>IF(AND(J63&gt;K63,J64&gt;K64),2,IF(J63&gt;K63,1,IF(J64&gt;K64,1,0)))</f>
        <v>1</v>
      </c>
      <c r="M63" s="231">
        <f>IF(AND(K63&gt;J63,K64&gt;J64),2,IF(K63&gt;J63,1,IF(K64&gt;J64,1,0)))</f>
        <v>1</v>
      </c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4.0</v>
      </c>
      <c r="K64" s="235">
        <v>6.0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253</v>
      </c>
      <c r="D66" s="226" t="s">
        <v>314</v>
      </c>
      <c r="E66" s="227" t="s">
        <v>89</v>
      </c>
      <c r="F66" s="227" t="s">
        <v>247</v>
      </c>
      <c r="G66" s="228" t="s">
        <v>239</v>
      </c>
      <c r="H66" s="227" t="s">
        <v>85</v>
      </c>
      <c r="I66" s="227" t="s">
        <v>163</v>
      </c>
      <c r="J66" s="229">
        <v>4.0</v>
      </c>
      <c r="K66" s="230">
        <v>6.0</v>
      </c>
      <c r="L66" s="231">
        <f>IF(AND(J66&gt;K66,J67&gt;K67),2,IF(J66&gt;K66,1,IF(J67&gt;K67,1,0)))</f>
        <v>1</v>
      </c>
      <c r="M66" s="231">
        <f>IF(AND(K66&gt;J66,K67&gt;J67),2,IF(K66&gt;J66,1,IF(K67&gt;J67,1,0)))</f>
        <v>1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1.0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25" t="s">
        <v>255</v>
      </c>
      <c r="D69" s="226" t="s">
        <v>257</v>
      </c>
      <c r="E69" s="227" t="s">
        <v>122</v>
      </c>
      <c r="F69" s="227" t="s">
        <v>136</v>
      </c>
      <c r="G69" s="228" t="s">
        <v>239</v>
      </c>
      <c r="H69" s="227" t="s">
        <v>124</v>
      </c>
      <c r="I69" s="227" t="s">
        <v>138</v>
      </c>
      <c r="J69" s="229">
        <v>3.0</v>
      </c>
      <c r="K69" s="230">
        <v>6.0</v>
      </c>
      <c r="L69" s="231">
        <f>IF(AND(J69&gt;K69,J70&gt;K70),2,IF(J69&gt;K69,1,IF(J70&gt;K70,1,0)))</f>
        <v>0</v>
      </c>
      <c r="M69" s="231">
        <f>IF(AND(K69&gt;J69,K70&gt;J70),2,IF(K69&gt;J69,1,IF(K70&gt;J70,1,0)))</f>
        <v>2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2.0</v>
      </c>
      <c r="K70" s="235">
        <v>6.0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25" t="s">
        <v>253</v>
      </c>
      <c r="D72" s="238" t="s">
        <v>244</v>
      </c>
      <c r="E72" s="227" t="s">
        <v>109</v>
      </c>
      <c r="F72" s="227" t="s">
        <v>102</v>
      </c>
      <c r="G72" s="239" t="s">
        <v>239</v>
      </c>
      <c r="H72" s="227" t="s">
        <v>111</v>
      </c>
      <c r="I72" s="227" t="s">
        <v>49</v>
      </c>
      <c r="J72" s="229">
        <v>7.0</v>
      </c>
      <c r="K72" s="230">
        <v>5.0</v>
      </c>
      <c r="L72" s="231">
        <f>IF(AND(J72&gt;K72,J73&gt;K73),2,IF(J72&gt;K72,1,IF(J73&gt;K73,1,0)))</f>
        <v>2</v>
      </c>
      <c r="M72" s="231">
        <f>IF(AND(K72&gt;J72,K73&gt;J73),2,IF(K72&gt;J72,1,IF(K73&gt;J73,1,0)))</f>
        <v>0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6.0</v>
      </c>
      <c r="K73" s="235">
        <v>3.0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375</v>
      </c>
      <c r="D75" s="111"/>
      <c r="E75" s="111"/>
      <c r="F75" s="111"/>
      <c r="G75" s="111"/>
      <c r="H75" s="111"/>
      <c r="I75" s="112"/>
      <c r="J75" s="241">
        <f t="shared" ref="J75:M75" si="5">SUM(J63:J73)</f>
        <v>38</v>
      </c>
      <c r="K75" s="242">
        <f t="shared" si="5"/>
        <v>36</v>
      </c>
      <c r="L75" s="241">
        <f t="shared" si="5"/>
        <v>4</v>
      </c>
      <c r="M75" s="243">
        <f t="shared" si="5"/>
        <v>4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376</v>
      </c>
      <c r="D77" s="111"/>
      <c r="E77" s="111"/>
      <c r="F77" s="111"/>
      <c r="G77" s="111"/>
      <c r="H77" s="111"/>
      <c r="I77" s="112"/>
      <c r="J77" s="248">
        <f t="shared" ref="J77:M77" si="6">J75+J60</f>
        <v>86</v>
      </c>
      <c r="K77" s="249">
        <f t="shared" si="6"/>
        <v>72</v>
      </c>
      <c r="L77" s="250">
        <f t="shared" si="6"/>
        <v>10</v>
      </c>
      <c r="M77" s="251">
        <f t="shared" si="6"/>
        <v>6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287</v>
      </c>
      <c r="F81" s="112"/>
      <c r="G81" s="219" t="s">
        <v>239</v>
      </c>
      <c r="H81" s="220" t="s">
        <v>277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248</v>
      </c>
      <c r="E83" s="227" t="s">
        <v>165</v>
      </c>
      <c r="F83" s="227" t="s">
        <v>177</v>
      </c>
      <c r="G83" s="228" t="s">
        <v>239</v>
      </c>
      <c r="H83" s="227" t="s">
        <v>166</v>
      </c>
      <c r="I83" s="227" t="s">
        <v>178</v>
      </c>
      <c r="J83" s="229">
        <v>6.0</v>
      </c>
      <c r="K83" s="230">
        <v>3.0</v>
      </c>
      <c r="L83" s="231">
        <f>IF(AND(J83&gt;K83,J84&gt;K84),2,IF(J83&gt;K83,1,IF(J84&gt;K84,1,0)))</f>
        <v>2</v>
      </c>
      <c r="M83" s="231">
        <f>IF(AND(K83&gt;J83,K84&gt;J84),2,IF(K83&gt;J83,1,IF(K84&gt;J84,1,0)))</f>
        <v>0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6.0</v>
      </c>
      <c r="K84" s="235">
        <v>1.0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378</v>
      </c>
      <c r="E86" s="227" t="s">
        <v>107</v>
      </c>
      <c r="F86" s="227" t="s">
        <v>379</v>
      </c>
      <c r="G86" s="228" t="s">
        <v>239</v>
      </c>
      <c r="H86" s="227" t="s">
        <v>380</v>
      </c>
      <c r="I86" s="227" t="s">
        <v>304</v>
      </c>
      <c r="J86" s="229">
        <v>3.0</v>
      </c>
      <c r="K86" s="230">
        <v>6.0</v>
      </c>
      <c r="L86" s="231">
        <f>IF(AND(J86&gt;K86,J87&gt;K87),2,IF(J86&gt;K86,1,IF(J87&gt;K87,1,0)))</f>
        <v>1</v>
      </c>
      <c r="M86" s="231">
        <f>IF(AND(K86&gt;J86,K87&gt;J87),2,IF(K86&gt;J86,1,IF(K87&gt;J87,1,0)))</f>
        <v>1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6.0</v>
      </c>
      <c r="K87" s="235">
        <v>4.0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243</v>
      </c>
      <c r="E89" s="227" t="s">
        <v>289</v>
      </c>
      <c r="F89" s="227" t="s">
        <v>60</v>
      </c>
      <c r="G89" s="228" t="s">
        <v>239</v>
      </c>
      <c r="H89" s="227" t="s">
        <v>61</v>
      </c>
      <c r="I89" s="227" t="s">
        <v>68</v>
      </c>
      <c r="J89" s="229">
        <v>6.0</v>
      </c>
      <c r="K89" s="230">
        <v>2.0</v>
      </c>
      <c r="L89" s="231">
        <f>IF(AND(J89&gt;K89,J90&gt;K90),2,IF(J89&gt;K89,1,IF(J90&gt;K90,1,0)))</f>
        <v>2</v>
      </c>
      <c r="M89" s="231">
        <f>IF(AND(K89&gt;J89,K90&gt;J90),2,IF(K89&gt;J89,1,IF(K90&gt;J90,1,0)))</f>
        <v>0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6.0</v>
      </c>
      <c r="K90" s="235">
        <v>1.0</v>
      </c>
      <c r="L90" s="233"/>
      <c r="M90" s="233"/>
      <c r="N90" s="257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4.25" customHeight="1">
      <c r="A92" s="209"/>
      <c r="B92" s="209"/>
      <c r="C92" s="225" t="s">
        <v>245</v>
      </c>
      <c r="D92" s="238" t="s">
        <v>246</v>
      </c>
      <c r="E92" s="227" t="s">
        <v>141</v>
      </c>
      <c r="F92" s="273" t="s">
        <v>159</v>
      </c>
      <c r="G92" s="239" t="s">
        <v>239</v>
      </c>
      <c r="H92" s="227" t="s">
        <v>142</v>
      </c>
      <c r="I92" s="227" t="s">
        <v>321</v>
      </c>
      <c r="J92" s="229">
        <v>1.0</v>
      </c>
      <c r="K92" s="230">
        <v>6.0</v>
      </c>
      <c r="L92" s="231">
        <f>IF(AND(J92&gt;K92,J93&gt;K93),2,IF(J92&gt;K92,1,IF(J93&gt;K93,1,0)))</f>
        <v>0</v>
      </c>
      <c r="M92" s="231">
        <f>IF(AND(K92&gt;J92,K93&gt;J93),2,IF(K92&gt;J92,1,IF(K93&gt;J93,1,0)))</f>
        <v>2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4.0</v>
      </c>
      <c r="K93" s="235">
        <v>6.0</v>
      </c>
      <c r="L93" s="233"/>
      <c r="M93" s="233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374</v>
      </c>
      <c r="D95" s="111"/>
      <c r="E95" s="111"/>
      <c r="F95" s="111"/>
      <c r="G95" s="111"/>
      <c r="H95" s="111"/>
      <c r="I95" s="112"/>
      <c r="J95" s="241">
        <f t="shared" ref="J95:M95" si="7">SUM(J83:J93)</f>
        <v>38</v>
      </c>
      <c r="K95" s="242">
        <f t="shared" si="7"/>
        <v>29</v>
      </c>
      <c r="L95" s="241">
        <f t="shared" si="7"/>
        <v>5</v>
      </c>
      <c r="M95" s="243">
        <f t="shared" si="7"/>
        <v>3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250</v>
      </c>
      <c r="D98" s="226" t="s">
        <v>254</v>
      </c>
      <c r="E98" s="227" t="s">
        <v>81</v>
      </c>
      <c r="F98" s="227" t="s">
        <v>45</v>
      </c>
      <c r="G98" s="228" t="s">
        <v>239</v>
      </c>
      <c r="H98" s="227" t="s">
        <v>75</v>
      </c>
      <c r="I98" s="227" t="s">
        <v>82</v>
      </c>
      <c r="J98" s="229">
        <v>3.0</v>
      </c>
      <c r="K98" s="230">
        <v>6.0</v>
      </c>
      <c r="L98" s="231">
        <f>IF(AND(J98&gt;K98,J99&gt;K99),2,IF(J98&gt;K98,1,IF(J99&gt;K99,1,0)))</f>
        <v>1</v>
      </c>
      <c r="M98" s="231">
        <f>IF(AND(K98&gt;J98,K99&gt;J99),2,IF(K98&gt;J98,1,IF(K99&gt;J99,1,0)))</f>
        <v>1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6.0</v>
      </c>
      <c r="K99" s="235">
        <v>4.0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253</v>
      </c>
      <c r="D101" s="226" t="s">
        <v>314</v>
      </c>
      <c r="E101" s="227" t="s">
        <v>93</v>
      </c>
      <c r="F101" s="227" t="s">
        <v>152</v>
      </c>
      <c r="G101" s="228" t="s">
        <v>239</v>
      </c>
      <c r="H101" s="227" t="s">
        <v>271</v>
      </c>
      <c r="I101" s="227" t="s">
        <v>160</v>
      </c>
      <c r="J101" s="229">
        <v>6.0</v>
      </c>
      <c r="K101" s="230">
        <v>2.0</v>
      </c>
      <c r="L101" s="231">
        <f>IF(AND(J101&gt;K101,J102&gt;K102),2,IF(J101&gt;K101,1,IF(J102&gt;K102,1,0)))</f>
        <v>2</v>
      </c>
      <c r="M101" s="231">
        <f>IF(AND(K101&gt;J101,K102&gt;J102),2,IF(K101&gt;J101,1,IF(K102&gt;J102,1,0)))</f>
        <v>0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6.0</v>
      </c>
      <c r="K102" s="235">
        <v>4.0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255</v>
      </c>
      <c r="D104" s="226" t="s">
        <v>257</v>
      </c>
      <c r="E104" s="227" t="s">
        <v>127</v>
      </c>
      <c r="F104" s="227" t="s">
        <v>134</v>
      </c>
      <c r="G104" s="228" t="s">
        <v>239</v>
      </c>
      <c r="H104" s="227" t="s">
        <v>121</v>
      </c>
      <c r="I104" s="273" t="s">
        <v>128</v>
      </c>
      <c r="J104" s="229">
        <v>6.0</v>
      </c>
      <c r="K104" s="230">
        <v>3.0</v>
      </c>
      <c r="L104" s="231">
        <f>IF(AND(J104&gt;K104,J105&gt;K105),2,IF(J104&gt;K104,1,IF(J105&gt;K105,1,0)))</f>
        <v>2</v>
      </c>
      <c r="M104" s="231">
        <f>IF(AND(K104&gt;J104,K105&gt;J105),2,IF(K104&gt;J104,1,IF(K105&gt;J105,1,0)))</f>
        <v>0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20.2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7.0</v>
      </c>
      <c r="K105" s="235">
        <v>5.0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 t="s">
        <v>255</v>
      </c>
      <c r="D107" s="238" t="s">
        <v>256</v>
      </c>
      <c r="E107" s="227" t="s">
        <v>188</v>
      </c>
      <c r="F107" s="227" t="s">
        <v>182</v>
      </c>
      <c r="G107" s="239" t="s">
        <v>239</v>
      </c>
      <c r="H107" s="227" t="s">
        <v>381</v>
      </c>
      <c r="I107" s="227" t="s">
        <v>382</v>
      </c>
      <c r="J107" s="229">
        <v>6.0</v>
      </c>
      <c r="K107" s="230">
        <v>1.0</v>
      </c>
      <c r="L107" s="231">
        <f>IF(AND(J107&gt;K107,J108&gt;K108),2,IF(J107&gt;K107,1,IF(J108&gt;K108,1,0)))</f>
        <v>2</v>
      </c>
      <c r="M107" s="231">
        <f>IF(AND(K107&gt;J107,K108&gt;J108),2,IF(K107&gt;J107,1,IF(K108&gt;J108,1,0)))</f>
        <v>0</v>
      </c>
      <c r="N107" s="257" t="s">
        <v>383</v>
      </c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6.0</v>
      </c>
      <c r="K108" s="235">
        <v>2.0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375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46</v>
      </c>
      <c r="K110" s="242">
        <f t="shared" si="8"/>
        <v>27</v>
      </c>
      <c r="L110" s="241">
        <f t="shared" si="8"/>
        <v>7</v>
      </c>
      <c r="M110" s="243">
        <f t="shared" si="8"/>
        <v>1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376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84</v>
      </c>
      <c r="K112" s="249">
        <f t="shared" si="9"/>
        <v>56</v>
      </c>
      <c r="L112" s="250">
        <f t="shared" si="9"/>
        <v>12</v>
      </c>
      <c r="M112" s="251">
        <f t="shared" si="9"/>
        <v>4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2.71"/>
    <col customWidth="1" min="2" max="2" width="2.71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3" width="5.71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384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12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4.5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15</v>
      </c>
      <c r="F11" s="112"/>
      <c r="G11" s="219" t="s">
        <v>239</v>
      </c>
      <c r="H11" s="220" t="s">
        <v>261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2.75" customHeight="1">
      <c r="A12" s="209"/>
      <c r="B12" s="209"/>
      <c r="C12" s="223"/>
      <c r="M12" s="224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3.5" customHeight="1">
      <c r="A13" s="209"/>
      <c r="B13" s="209"/>
      <c r="C13" s="225" t="s">
        <v>242</v>
      </c>
      <c r="D13" s="226" t="s">
        <v>257</v>
      </c>
      <c r="E13" s="227" t="s">
        <v>134</v>
      </c>
      <c r="F13" s="227" t="s">
        <v>120</v>
      </c>
      <c r="G13" s="228" t="s">
        <v>239</v>
      </c>
      <c r="H13" s="227" t="s">
        <v>123</v>
      </c>
      <c r="I13" s="227" t="s">
        <v>130</v>
      </c>
      <c r="J13" s="229">
        <v>6.0</v>
      </c>
      <c r="K13" s="230">
        <v>7.0</v>
      </c>
      <c r="L13" s="231">
        <f>IF(AND(J13&gt;K13,J14&gt;K14),2,IF(J13&gt;K13,1,IF(J14&gt;K14,1,0)))</f>
        <v>1</v>
      </c>
      <c r="M13" s="231">
        <f>IF(AND(K13&gt;J13,K14&gt;J14),2,IF(K13&gt;J13,1,IF(K14&gt;J14,1,0)))</f>
        <v>1</v>
      </c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12.75" customHeight="1">
      <c r="A14" s="209"/>
      <c r="B14" s="209"/>
      <c r="C14" s="232"/>
      <c r="D14" s="233"/>
      <c r="E14" s="233"/>
      <c r="F14" s="233"/>
      <c r="G14" s="233"/>
      <c r="H14" s="233"/>
      <c r="I14" s="233"/>
      <c r="J14" s="234">
        <v>7.0</v>
      </c>
      <c r="K14" s="235">
        <v>5.0</v>
      </c>
      <c r="L14" s="233"/>
      <c r="M14" s="233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4.5" customHeight="1">
      <c r="A15" s="209"/>
      <c r="B15" s="209"/>
      <c r="C15" s="236"/>
      <c r="D15" s="111"/>
      <c r="E15" s="111"/>
      <c r="F15" s="111"/>
      <c r="G15" s="111"/>
      <c r="H15" s="111"/>
      <c r="I15" s="111"/>
      <c r="J15" s="111"/>
      <c r="K15" s="111"/>
      <c r="L15" s="111"/>
      <c r="M15" s="222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25" t="s">
        <v>264</v>
      </c>
      <c r="D16" s="226" t="s">
        <v>243</v>
      </c>
      <c r="E16" s="227" t="s">
        <v>289</v>
      </c>
      <c r="F16" s="227" t="s">
        <v>67</v>
      </c>
      <c r="G16" s="228" t="s">
        <v>239</v>
      </c>
      <c r="H16" s="227" t="s">
        <v>56</v>
      </c>
      <c r="I16" s="227" t="s">
        <v>70</v>
      </c>
      <c r="J16" s="229">
        <v>6.0</v>
      </c>
      <c r="K16" s="230">
        <v>0.0</v>
      </c>
      <c r="L16" s="231">
        <f>IF(AND(J16&gt;K16,J17&gt;K17),2,IF(J16&gt;K16,1,IF(J17&gt;K17,1,0)))</f>
        <v>2</v>
      </c>
      <c r="M16" s="231">
        <f>IF(AND(K16&gt;J16,K17&gt;J17),2,IF(K16&gt;J16,1,IF(K17&gt;J17,1,0)))</f>
        <v>0</v>
      </c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12.75" customHeight="1">
      <c r="A17" s="209"/>
      <c r="B17" s="209"/>
      <c r="C17" s="232"/>
      <c r="D17" s="233"/>
      <c r="E17" s="233"/>
      <c r="F17" s="233"/>
      <c r="G17" s="233"/>
      <c r="H17" s="233"/>
      <c r="I17" s="233"/>
      <c r="J17" s="234">
        <v>6.0</v>
      </c>
      <c r="K17" s="235">
        <v>1.0</v>
      </c>
      <c r="L17" s="233"/>
      <c r="M17" s="233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4.5" customHeight="1">
      <c r="A18" s="209"/>
      <c r="B18" s="209"/>
      <c r="C18" s="237"/>
      <c r="D18" s="111"/>
      <c r="E18" s="111"/>
      <c r="F18" s="111"/>
      <c r="G18" s="111"/>
      <c r="H18" s="111"/>
      <c r="I18" s="111"/>
      <c r="J18" s="111"/>
      <c r="K18" s="111"/>
      <c r="L18" s="111"/>
      <c r="M18" s="222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25" t="s">
        <v>245</v>
      </c>
      <c r="D19" s="226" t="s">
        <v>254</v>
      </c>
      <c r="E19" s="227" t="s">
        <v>74</v>
      </c>
      <c r="F19" s="227" t="s">
        <v>45</v>
      </c>
      <c r="G19" s="228" t="s">
        <v>239</v>
      </c>
      <c r="H19" s="227" t="s">
        <v>267</v>
      </c>
      <c r="I19" s="227" t="s">
        <v>96</v>
      </c>
      <c r="J19" s="229">
        <v>6.0</v>
      </c>
      <c r="K19" s="230">
        <v>4.0</v>
      </c>
      <c r="L19" s="231">
        <f>IF(AND(J19&gt;K19,J20&gt;K20),2,IF(J19&gt;K19,1,IF(J20&gt;K20,1,0)))</f>
        <v>2</v>
      </c>
      <c r="M19" s="231">
        <f>IF(AND(K19&gt;J19,K20&gt;J20),2,IF(K19&gt;J19,1,IF(K20&gt;J20,1,0)))</f>
        <v>0</v>
      </c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12.75" customHeight="1">
      <c r="A20" s="209"/>
      <c r="B20" s="209"/>
      <c r="C20" s="232"/>
      <c r="D20" s="233"/>
      <c r="E20" s="233"/>
      <c r="F20" s="233"/>
      <c r="G20" s="233"/>
      <c r="H20" s="233"/>
      <c r="I20" s="233"/>
      <c r="J20" s="234">
        <v>6.0</v>
      </c>
      <c r="K20" s="235">
        <v>2.0</v>
      </c>
      <c r="L20" s="233"/>
      <c r="M20" s="233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4.5" customHeight="1">
      <c r="A21" s="209"/>
      <c r="B21" s="209"/>
      <c r="C21" s="237"/>
      <c r="D21" s="111"/>
      <c r="E21" s="111"/>
      <c r="F21" s="111"/>
      <c r="G21" s="111"/>
      <c r="H21" s="111"/>
      <c r="I21" s="111"/>
      <c r="J21" s="111"/>
      <c r="K21" s="111"/>
      <c r="L21" s="111"/>
      <c r="M21" s="222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25"/>
      <c r="D22" s="238" t="s">
        <v>269</v>
      </c>
      <c r="E22" s="227" t="s">
        <v>81</v>
      </c>
      <c r="F22" s="227" t="s">
        <v>152</v>
      </c>
      <c r="G22" s="239" t="s">
        <v>239</v>
      </c>
      <c r="H22" s="227" t="s">
        <v>84</v>
      </c>
      <c r="I22" s="227" t="s">
        <v>385</v>
      </c>
      <c r="J22" s="229">
        <v>3.0</v>
      </c>
      <c r="K22" s="230">
        <v>6.0</v>
      </c>
      <c r="L22" s="231">
        <f>IF(AND(J22&gt;K22,J23&gt;K23),2,IF(J22&gt;K22,1,IF(J23&gt;K23,1,0)))</f>
        <v>1</v>
      </c>
      <c r="M22" s="231">
        <f>IF(AND(K22&gt;J22,K23&gt;J23),2,IF(K22&gt;J22,1,IF(K23&gt;J23,1,0)))</f>
        <v>1</v>
      </c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12.75" customHeight="1">
      <c r="A23" s="209"/>
      <c r="B23" s="209"/>
      <c r="C23" s="232"/>
      <c r="D23" s="233"/>
      <c r="E23" s="233"/>
      <c r="F23" s="233"/>
      <c r="G23" s="233"/>
      <c r="H23" s="233"/>
      <c r="I23" s="233"/>
      <c r="J23" s="234">
        <v>6.0</v>
      </c>
      <c r="K23" s="235">
        <v>2.0</v>
      </c>
      <c r="L23" s="233"/>
      <c r="M23" s="233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4.5" customHeight="1">
      <c r="A24" s="209"/>
      <c r="B24" s="209"/>
      <c r="C24" s="237"/>
      <c r="D24" s="111"/>
      <c r="E24" s="111"/>
      <c r="F24" s="111"/>
      <c r="G24" s="111"/>
      <c r="H24" s="111"/>
      <c r="I24" s="111"/>
      <c r="J24" s="111"/>
      <c r="K24" s="111"/>
      <c r="L24" s="111"/>
      <c r="M24" s="222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12.75" customHeight="1">
      <c r="A25" s="209"/>
      <c r="B25" s="209"/>
      <c r="C25" s="240" t="s">
        <v>386</v>
      </c>
      <c r="D25" s="111"/>
      <c r="E25" s="111"/>
      <c r="F25" s="111"/>
      <c r="G25" s="111"/>
      <c r="H25" s="111"/>
      <c r="I25" s="112"/>
      <c r="J25" s="241">
        <f t="shared" ref="J25:M25" si="1">SUM(J13:J23)</f>
        <v>46</v>
      </c>
      <c r="K25" s="242">
        <f t="shared" si="1"/>
        <v>27</v>
      </c>
      <c r="L25" s="241">
        <f t="shared" si="1"/>
        <v>6</v>
      </c>
      <c r="M25" s="243">
        <f t="shared" si="1"/>
        <v>2</v>
      </c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209"/>
      <c r="B26" s="209"/>
      <c r="C26" s="244"/>
      <c r="D26" s="111"/>
      <c r="E26" s="111"/>
      <c r="F26" s="111"/>
      <c r="G26" s="111"/>
      <c r="H26" s="111"/>
      <c r="I26" s="111"/>
      <c r="J26" s="111"/>
      <c r="K26" s="111"/>
      <c r="L26" s="111"/>
      <c r="M26" s="222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45"/>
      <c r="D27" s="111"/>
      <c r="E27" s="111"/>
      <c r="F27" s="111"/>
      <c r="G27" s="111"/>
      <c r="H27" s="111"/>
      <c r="I27" s="111"/>
      <c r="J27" s="111"/>
      <c r="K27" s="111"/>
      <c r="L27" s="111"/>
      <c r="M27" s="222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25" t="s">
        <v>301</v>
      </c>
      <c r="D28" s="226" t="s">
        <v>256</v>
      </c>
      <c r="E28" s="227" t="s">
        <v>188</v>
      </c>
      <c r="F28" s="279" t="s">
        <v>387</v>
      </c>
      <c r="G28" s="228" t="s">
        <v>239</v>
      </c>
      <c r="H28" s="227" t="s">
        <v>185</v>
      </c>
      <c r="I28" s="227" t="s">
        <v>191</v>
      </c>
      <c r="J28" s="229">
        <v>6.0</v>
      </c>
      <c r="K28" s="230">
        <v>4.0</v>
      </c>
      <c r="L28" s="231">
        <f>IF(AND(J28&gt;K28,J29&gt;K29),2,IF(J28&gt;K28,1,IF(J29&gt;K29,1,0)))</f>
        <v>1</v>
      </c>
      <c r="M28" s="231">
        <f>IF(AND(K28&gt;J28,K29&gt;J29),2,IF(K28&gt;J28,1,IF(K29&gt;J29,1,0)))</f>
        <v>1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12.75" customHeight="1">
      <c r="A29" s="209"/>
      <c r="B29" s="209"/>
      <c r="C29" s="232"/>
      <c r="D29" s="233"/>
      <c r="E29" s="233"/>
      <c r="F29" s="233"/>
      <c r="G29" s="233"/>
      <c r="H29" s="233"/>
      <c r="I29" s="233"/>
      <c r="J29" s="234">
        <v>2.0</v>
      </c>
      <c r="K29" s="235">
        <v>6.0</v>
      </c>
      <c r="L29" s="233"/>
      <c r="M29" s="233"/>
      <c r="N29" s="257" t="s">
        <v>388</v>
      </c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1.5" customHeight="1">
      <c r="A30" s="209"/>
      <c r="B30" s="209"/>
      <c r="C30" s="236"/>
      <c r="D30" s="111"/>
      <c r="E30" s="111"/>
      <c r="F30" s="111"/>
      <c r="G30" s="111"/>
      <c r="H30" s="111"/>
      <c r="I30" s="111"/>
      <c r="J30" s="111"/>
      <c r="K30" s="111"/>
      <c r="L30" s="111"/>
      <c r="M30" s="222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46"/>
      <c r="B31" s="209"/>
      <c r="C31" s="225" t="s">
        <v>242</v>
      </c>
      <c r="D31" s="226" t="s">
        <v>248</v>
      </c>
      <c r="E31" s="227" t="s">
        <v>165</v>
      </c>
      <c r="F31" s="227" t="s">
        <v>177</v>
      </c>
      <c r="G31" s="228" t="s">
        <v>239</v>
      </c>
      <c r="H31" s="227" t="s">
        <v>174</v>
      </c>
      <c r="I31" s="227" t="s">
        <v>180</v>
      </c>
      <c r="J31" s="229">
        <v>6.0</v>
      </c>
      <c r="K31" s="230">
        <v>4.0</v>
      </c>
      <c r="L31" s="231">
        <f>IF(AND(J31&gt;K31,J32&gt;K32),2,IF(J31&gt;K31,1,IF(J32&gt;K32,1,0)))</f>
        <v>2</v>
      </c>
      <c r="M31" s="231">
        <f>IF(AND(K31&gt;J31,K32&gt;J32),2,IF(K31&gt;J31,1,IF(K32&gt;J32,1,0)))</f>
        <v>0</v>
      </c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12.75" customHeight="1">
      <c r="A32" s="246"/>
      <c r="B32" s="209"/>
      <c r="C32" s="232"/>
      <c r="D32" s="233"/>
      <c r="E32" s="233"/>
      <c r="F32" s="233"/>
      <c r="G32" s="233"/>
      <c r="H32" s="233"/>
      <c r="I32" s="233"/>
      <c r="J32" s="234">
        <v>6.0</v>
      </c>
      <c r="K32" s="235">
        <v>4.0</v>
      </c>
      <c r="L32" s="233"/>
      <c r="M32" s="233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4.5" customHeight="1">
      <c r="A33" s="209"/>
      <c r="B33" s="209"/>
      <c r="C33" s="237"/>
      <c r="D33" s="111"/>
      <c r="E33" s="111"/>
      <c r="F33" s="111"/>
      <c r="G33" s="111"/>
      <c r="H33" s="111"/>
      <c r="I33" s="111"/>
      <c r="J33" s="111"/>
      <c r="K33" s="111"/>
      <c r="L33" s="111"/>
      <c r="M33" s="222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09"/>
      <c r="B34" s="209"/>
      <c r="C34" s="225" t="s">
        <v>264</v>
      </c>
      <c r="D34" s="226" t="s">
        <v>246</v>
      </c>
      <c r="E34" s="227" t="s">
        <v>141</v>
      </c>
      <c r="F34" s="227" t="s">
        <v>147</v>
      </c>
      <c r="G34" s="228" t="s">
        <v>239</v>
      </c>
      <c r="H34" s="227" t="s">
        <v>155</v>
      </c>
      <c r="I34" s="227" t="s">
        <v>162</v>
      </c>
      <c r="J34" s="229">
        <v>6.0</v>
      </c>
      <c r="K34" s="230">
        <v>4.0</v>
      </c>
      <c r="L34" s="231">
        <f>IF(AND(J34&gt;K34,J35&gt;K35),2,IF(J34&gt;K34,1,IF(J35&gt;K35,1,0)))</f>
        <v>2</v>
      </c>
      <c r="M34" s="231">
        <f>IF(AND(K34&gt;J34,K35&gt;J35),2,IF(K34&gt;J34,1,IF(K35&gt;J35,1,0)))</f>
        <v>0</v>
      </c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12.75" customHeight="1">
      <c r="A35" s="209"/>
      <c r="B35" s="209"/>
      <c r="C35" s="232"/>
      <c r="D35" s="233"/>
      <c r="E35" s="233"/>
      <c r="F35" s="233"/>
      <c r="G35" s="233"/>
      <c r="H35" s="233"/>
      <c r="I35" s="233"/>
      <c r="J35" s="234">
        <v>6.0</v>
      </c>
      <c r="K35" s="235">
        <v>0.0</v>
      </c>
      <c r="L35" s="233"/>
      <c r="M35" s="233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09"/>
      <c r="B36" s="209"/>
      <c r="C36" s="237"/>
      <c r="D36" s="111"/>
      <c r="E36" s="111"/>
      <c r="F36" s="111"/>
      <c r="G36" s="111"/>
      <c r="H36" s="111"/>
      <c r="I36" s="111"/>
      <c r="J36" s="111"/>
      <c r="K36" s="111"/>
      <c r="L36" s="111"/>
      <c r="M36" s="222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25" t="s">
        <v>245</v>
      </c>
      <c r="D37" s="238" t="s">
        <v>244</v>
      </c>
      <c r="E37" s="227" t="s">
        <v>107</v>
      </c>
      <c r="F37" s="227" t="s">
        <v>379</v>
      </c>
      <c r="G37" s="239" t="s">
        <v>239</v>
      </c>
      <c r="H37" s="227" t="s">
        <v>103</v>
      </c>
      <c r="I37" s="227" t="s">
        <v>110</v>
      </c>
      <c r="J37" s="229">
        <v>6.0</v>
      </c>
      <c r="K37" s="230">
        <v>4.0</v>
      </c>
      <c r="L37" s="231">
        <f>IF(AND(J37&gt;K37,J38&gt;K38),2,IF(J37&gt;K37,1,IF(J38&gt;K38,1,0)))</f>
        <v>1</v>
      </c>
      <c r="M37" s="231">
        <f>IF(AND(K37&gt;J37,K38&gt;J38),2,IF(K37&gt;J37,1,IF(K38&gt;J38,1,0)))</f>
        <v>1</v>
      </c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32"/>
      <c r="D38" s="233"/>
      <c r="E38" s="233"/>
      <c r="F38" s="233"/>
      <c r="G38" s="233"/>
      <c r="H38" s="233"/>
      <c r="I38" s="233"/>
      <c r="J38" s="234">
        <v>4.0</v>
      </c>
      <c r="K38" s="235">
        <v>6.0</v>
      </c>
      <c r="L38" s="233"/>
      <c r="M38" s="233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4.5" customHeight="1">
      <c r="A39" s="209"/>
      <c r="B39" s="209"/>
      <c r="C39" s="237"/>
      <c r="D39" s="111"/>
      <c r="E39" s="111"/>
      <c r="F39" s="111"/>
      <c r="G39" s="111"/>
      <c r="H39" s="111"/>
      <c r="I39" s="111"/>
      <c r="J39" s="111"/>
      <c r="K39" s="111"/>
      <c r="L39" s="111"/>
      <c r="M39" s="222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40" t="s">
        <v>389</v>
      </c>
      <c r="D40" s="111"/>
      <c r="E40" s="111"/>
      <c r="F40" s="111"/>
      <c r="G40" s="111"/>
      <c r="H40" s="111"/>
      <c r="I40" s="112"/>
      <c r="J40" s="241">
        <f t="shared" ref="J40:M40" si="2">SUM(J28:J38)</f>
        <v>42</v>
      </c>
      <c r="K40" s="242">
        <f t="shared" si="2"/>
        <v>32</v>
      </c>
      <c r="L40" s="241">
        <f t="shared" si="2"/>
        <v>6</v>
      </c>
      <c r="M40" s="243">
        <f t="shared" si="2"/>
        <v>2</v>
      </c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4.5" customHeight="1">
      <c r="A41" s="209"/>
      <c r="B41" s="209"/>
      <c r="C41" s="244"/>
      <c r="D41" s="111"/>
      <c r="E41" s="111"/>
      <c r="F41" s="111"/>
      <c r="G41" s="111"/>
      <c r="H41" s="111"/>
      <c r="I41" s="111"/>
      <c r="J41" s="111"/>
      <c r="K41" s="111"/>
      <c r="L41" s="111"/>
      <c r="M41" s="222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47" t="s">
        <v>390</v>
      </c>
      <c r="D42" s="111"/>
      <c r="E42" s="111"/>
      <c r="F42" s="111"/>
      <c r="G42" s="111"/>
      <c r="H42" s="111"/>
      <c r="I42" s="112"/>
      <c r="J42" s="248">
        <f t="shared" ref="J42:M42" si="3">J40+J25</f>
        <v>88</v>
      </c>
      <c r="K42" s="249">
        <f t="shared" si="3"/>
        <v>59</v>
      </c>
      <c r="L42" s="250">
        <f t="shared" si="3"/>
        <v>12</v>
      </c>
      <c r="M42" s="251">
        <f t="shared" si="3"/>
        <v>4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6.75" customHeight="1">
      <c r="A43" s="209"/>
      <c r="B43" s="209"/>
      <c r="C43" s="252"/>
      <c r="D43" s="111"/>
      <c r="E43" s="111"/>
      <c r="F43" s="111"/>
      <c r="G43" s="111"/>
      <c r="H43" s="111"/>
      <c r="I43" s="111"/>
      <c r="J43" s="111"/>
      <c r="K43" s="111"/>
      <c r="L43" s="111"/>
      <c r="M43" s="222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7.5" customHeight="1">
      <c r="A44" s="209"/>
      <c r="B44" s="209"/>
      <c r="C44" s="217" t="s">
        <v>260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4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15"/>
      <c r="D45" s="185"/>
      <c r="E45" s="185"/>
      <c r="F45" s="185"/>
      <c r="G45" s="185"/>
      <c r="H45" s="185"/>
      <c r="I45" s="185"/>
      <c r="J45" s="185"/>
      <c r="K45" s="185"/>
      <c r="L45" s="185"/>
      <c r="M45" s="216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26.25" customHeight="1">
      <c r="A46" s="209"/>
      <c r="B46" s="209"/>
      <c r="C46" s="218" t="s">
        <v>237</v>
      </c>
      <c r="D46" s="219" t="s">
        <v>238</v>
      </c>
      <c r="E46" s="220" t="s">
        <v>18</v>
      </c>
      <c r="F46" s="112"/>
      <c r="G46" s="219"/>
      <c r="H46" s="220" t="s">
        <v>19</v>
      </c>
      <c r="I46" s="112"/>
      <c r="J46" s="221" t="s">
        <v>240</v>
      </c>
      <c r="K46" s="112"/>
      <c r="L46" s="221" t="s">
        <v>241</v>
      </c>
      <c r="M46" s="222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63"/>
      <c r="D47" s="111"/>
      <c r="E47" s="111"/>
      <c r="F47" s="111"/>
      <c r="G47" s="111"/>
      <c r="H47" s="111"/>
      <c r="I47" s="111"/>
      <c r="J47" s="111"/>
      <c r="K47" s="111"/>
      <c r="L47" s="111"/>
      <c r="M47" s="222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25" t="s">
        <v>242</v>
      </c>
      <c r="D48" s="226" t="s">
        <v>254</v>
      </c>
      <c r="E48" s="227" t="s">
        <v>75</v>
      </c>
      <c r="F48" s="227" t="s">
        <v>82</v>
      </c>
      <c r="G48" s="228" t="s">
        <v>239</v>
      </c>
      <c r="H48" s="227" t="s">
        <v>95</v>
      </c>
      <c r="I48" s="227" t="s">
        <v>83</v>
      </c>
      <c r="J48" s="229">
        <v>3.0</v>
      </c>
      <c r="K48" s="230">
        <v>6.0</v>
      </c>
      <c r="L48" s="231">
        <f>IF(AND(J48&gt;K48,J49&gt;K49),2,IF(J48&gt;K48,1,IF(J49&gt;K49,1,0)))</f>
        <v>1</v>
      </c>
      <c r="M48" s="231">
        <f>IF(AND(K48&gt;J48,K49&gt;J49),2,IF(K48&gt;J48,1,IF(K49&gt;J49,1,0)))</f>
        <v>1</v>
      </c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32"/>
      <c r="D49" s="233"/>
      <c r="E49" s="233"/>
      <c r="F49" s="233"/>
      <c r="G49" s="233"/>
      <c r="H49" s="233"/>
      <c r="I49" s="233"/>
      <c r="J49" s="234">
        <v>6.0</v>
      </c>
      <c r="K49" s="235">
        <v>2.0</v>
      </c>
      <c r="L49" s="233"/>
      <c r="M49" s="233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4.5" customHeight="1">
      <c r="A50" s="209"/>
      <c r="B50" s="209"/>
      <c r="C50" s="236"/>
      <c r="D50" s="111"/>
      <c r="E50" s="111"/>
      <c r="F50" s="111"/>
      <c r="G50" s="111"/>
      <c r="H50" s="111"/>
      <c r="I50" s="111"/>
      <c r="J50" s="111"/>
      <c r="K50" s="111"/>
      <c r="L50" s="111"/>
      <c r="M50" s="222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25" t="s">
        <v>264</v>
      </c>
      <c r="D51" s="226" t="s">
        <v>257</v>
      </c>
      <c r="E51" s="227" t="s">
        <v>121</v>
      </c>
      <c r="F51" s="227" t="s">
        <v>135</v>
      </c>
      <c r="G51" s="228" t="s">
        <v>239</v>
      </c>
      <c r="H51" s="227" t="s">
        <v>122</v>
      </c>
      <c r="I51" s="227" t="s">
        <v>294</v>
      </c>
      <c r="J51" s="229">
        <v>6.0</v>
      </c>
      <c r="K51" s="230">
        <v>2.0</v>
      </c>
      <c r="L51" s="231">
        <f>IF(AND(J51&gt;K51,J52&gt;K52),2,IF(J51&gt;K51,1,IF(J52&gt;K52,1,0)))</f>
        <v>2</v>
      </c>
      <c r="M51" s="231">
        <f>IF(AND(K51&gt;J51,K52&gt;J52),2,IF(K51&gt;J51,1,IF(K52&gt;J52,1,0)))</f>
        <v>0</v>
      </c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32"/>
      <c r="D52" s="233"/>
      <c r="E52" s="233"/>
      <c r="F52" s="233"/>
      <c r="G52" s="233"/>
      <c r="H52" s="233"/>
      <c r="I52" s="233"/>
      <c r="J52" s="234">
        <v>6.0</v>
      </c>
      <c r="K52" s="235">
        <v>0.0</v>
      </c>
      <c r="L52" s="233"/>
      <c r="M52" s="233"/>
      <c r="N52" s="257" t="s">
        <v>391</v>
      </c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4.5" customHeight="1">
      <c r="A53" s="209"/>
      <c r="B53" s="209"/>
      <c r="C53" s="237"/>
      <c r="D53" s="111"/>
      <c r="E53" s="111"/>
      <c r="F53" s="111"/>
      <c r="G53" s="111"/>
      <c r="H53" s="111"/>
      <c r="I53" s="111"/>
      <c r="J53" s="111"/>
      <c r="K53" s="111"/>
      <c r="L53" s="111"/>
      <c r="M53" s="222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25" t="s">
        <v>245</v>
      </c>
      <c r="D54" s="226" t="s">
        <v>314</v>
      </c>
      <c r="E54" s="227" t="s">
        <v>148</v>
      </c>
      <c r="F54" s="227" t="s">
        <v>118</v>
      </c>
      <c r="G54" s="228" t="s">
        <v>239</v>
      </c>
      <c r="H54" s="227" t="s">
        <v>89</v>
      </c>
      <c r="I54" s="227" t="s">
        <v>47</v>
      </c>
      <c r="J54" s="229">
        <v>5.0</v>
      </c>
      <c r="K54" s="230">
        <v>7.0</v>
      </c>
      <c r="L54" s="231">
        <f>IF(AND(J54&gt;K54,J55&gt;K55),2,IF(J54&gt;K54,1,IF(J55&gt;K55,1,0)))</f>
        <v>0</v>
      </c>
      <c r="M54" s="231">
        <f>IF(AND(K54&gt;J54,K55&gt;J55),2,IF(K54&gt;J54,1,IF(K55&gt;J55,1,0)))</f>
        <v>2</v>
      </c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32"/>
      <c r="D55" s="233"/>
      <c r="E55" s="233"/>
      <c r="F55" s="233"/>
      <c r="G55" s="233"/>
      <c r="H55" s="233"/>
      <c r="I55" s="233"/>
      <c r="J55" s="234">
        <v>3.0</v>
      </c>
      <c r="K55" s="235">
        <v>6.0</v>
      </c>
      <c r="L55" s="233"/>
      <c r="M55" s="233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4.5" customHeight="1">
      <c r="A56" s="209"/>
      <c r="B56" s="209"/>
      <c r="C56" s="237"/>
      <c r="D56" s="111"/>
      <c r="E56" s="111"/>
      <c r="F56" s="111"/>
      <c r="G56" s="111"/>
      <c r="H56" s="111"/>
      <c r="I56" s="111"/>
      <c r="J56" s="111"/>
      <c r="K56" s="111"/>
      <c r="L56" s="111"/>
      <c r="M56" s="222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25" t="s">
        <v>392</v>
      </c>
      <c r="D57" s="238" t="s">
        <v>246</v>
      </c>
      <c r="E57" s="227" t="s">
        <v>142</v>
      </c>
      <c r="F57" s="227" t="s">
        <v>153</v>
      </c>
      <c r="G57" s="239" t="s">
        <v>239</v>
      </c>
      <c r="H57" s="227" t="s">
        <v>161</v>
      </c>
      <c r="I57" s="227" t="s">
        <v>247</v>
      </c>
      <c r="J57" s="229">
        <v>6.0</v>
      </c>
      <c r="K57" s="230">
        <v>1.0</v>
      </c>
      <c r="L57" s="231">
        <f>IF(AND(J57&gt;K57,J58&gt;K58),2,IF(J57&gt;K57,1,IF(J58&gt;K58,1,0)))</f>
        <v>2</v>
      </c>
      <c r="M57" s="231">
        <f>IF(AND(K57&gt;J57,K58&gt;J58),2,IF(K57&gt;J57,1,IF(K58&gt;J58,1,0)))</f>
        <v>0</v>
      </c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32"/>
      <c r="D58" s="233"/>
      <c r="E58" s="233"/>
      <c r="F58" s="233"/>
      <c r="G58" s="233"/>
      <c r="H58" s="233"/>
      <c r="I58" s="233"/>
      <c r="J58" s="234">
        <v>6.0</v>
      </c>
      <c r="K58" s="235">
        <v>1.0</v>
      </c>
      <c r="L58" s="233"/>
      <c r="M58" s="233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4.5" customHeight="1">
      <c r="A59" s="209"/>
      <c r="B59" s="209"/>
      <c r="C59" s="265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0" t="s">
        <v>386</v>
      </c>
      <c r="D60" s="111"/>
      <c r="E60" s="111"/>
      <c r="F60" s="111"/>
      <c r="G60" s="111"/>
      <c r="H60" s="111"/>
      <c r="I60" s="112"/>
      <c r="J60" s="241">
        <f t="shared" ref="J60:M60" si="4">SUM(J48:J58)</f>
        <v>41</v>
      </c>
      <c r="K60" s="242">
        <f t="shared" si="4"/>
        <v>25</v>
      </c>
      <c r="L60" s="241">
        <f t="shared" si="4"/>
        <v>5</v>
      </c>
      <c r="M60" s="243">
        <f t="shared" si="4"/>
        <v>3</v>
      </c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4.5" customHeight="1">
      <c r="A61" s="209"/>
      <c r="B61" s="209"/>
      <c r="C61" s="244"/>
      <c r="D61" s="111"/>
      <c r="E61" s="111"/>
      <c r="F61" s="111"/>
      <c r="G61" s="111"/>
      <c r="H61" s="111"/>
      <c r="I61" s="111"/>
      <c r="J61" s="111"/>
      <c r="K61" s="111"/>
      <c r="L61" s="111"/>
      <c r="M61" s="222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45"/>
      <c r="D62" s="111"/>
      <c r="E62" s="111"/>
      <c r="F62" s="111"/>
      <c r="G62" s="111"/>
      <c r="H62" s="111"/>
      <c r="I62" s="111"/>
      <c r="J62" s="111"/>
      <c r="K62" s="111"/>
      <c r="L62" s="111"/>
      <c r="M62" s="222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25" t="s">
        <v>242</v>
      </c>
      <c r="D63" s="226" t="s">
        <v>256</v>
      </c>
      <c r="E63" s="227" t="s">
        <v>183</v>
      </c>
      <c r="F63" s="227" t="s">
        <v>393</v>
      </c>
      <c r="G63" s="228" t="s">
        <v>239</v>
      </c>
      <c r="H63" s="227" t="s">
        <v>184</v>
      </c>
      <c r="I63" s="227" t="s">
        <v>361</v>
      </c>
      <c r="J63" s="229">
        <v>6.0</v>
      </c>
      <c r="K63" s="230">
        <v>2.0</v>
      </c>
      <c r="L63" s="231">
        <f>IF(AND(J63&gt;K63,J64&gt;K64),2,IF(J63&gt;K63,1,IF(J64&gt;K64,1,0)))</f>
        <v>2</v>
      </c>
      <c r="M63" s="231">
        <f>IF(AND(K63&gt;J63,K64&gt;J64),2,IF(K63&gt;J63,1,IF(K64&gt;J64,1,0)))</f>
        <v>0</v>
      </c>
      <c r="N63" s="280" t="s">
        <v>362</v>
      </c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32"/>
      <c r="D64" s="233"/>
      <c r="E64" s="233"/>
      <c r="F64" s="233"/>
      <c r="G64" s="233"/>
      <c r="H64" s="233"/>
      <c r="I64" s="233"/>
      <c r="J64" s="234">
        <v>6.0</v>
      </c>
      <c r="K64" s="235">
        <v>1.0</v>
      </c>
      <c r="L64" s="233"/>
      <c r="M64" s="233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4.5" customHeight="1">
      <c r="A65" s="209"/>
      <c r="B65" s="209"/>
      <c r="C65" s="236"/>
      <c r="D65" s="111"/>
      <c r="E65" s="111"/>
      <c r="F65" s="111"/>
      <c r="G65" s="111"/>
      <c r="H65" s="111"/>
      <c r="I65" s="111"/>
      <c r="J65" s="111"/>
      <c r="K65" s="111"/>
      <c r="L65" s="111"/>
      <c r="M65" s="222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25" t="s">
        <v>264</v>
      </c>
      <c r="D66" s="226" t="s">
        <v>243</v>
      </c>
      <c r="E66" s="227" t="s">
        <v>54</v>
      </c>
      <c r="F66" s="227" t="s">
        <v>61</v>
      </c>
      <c r="G66" s="228" t="s">
        <v>239</v>
      </c>
      <c r="H66" s="227" t="s">
        <v>55</v>
      </c>
      <c r="I66" s="227" t="s">
        <v>69</v>
      </c>
      <c r="J66" s="229">
        <v>7.0</v>
      </c>
      <c r="K66" s="230">
        <v>5.0</v>
      </c>
      <c r="L66" s="231">
        <f>IF(AND(J66&gt;K66,J67&gt;K67),2,IF(J66&gt;K66,1,IF(J67&gt;K67,1,0)))</f>
        <v>2</v>
      </c>
      <c r="M66" s="231">
        <f>IF(AND(K66&gt;J66,K67&gt;J67),2,IF(K66&gt;J66,1,IF(K67&gt;J67,1,0)))</f>
        <v>0</v>
      </c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32"/>
      <c r="D67" s="233"/>
      <c r="E67" s="233"/>
      <c r="F67" s="233"/>
      <c r="G67" s="233"/>
      <c r="H67" s="233"/>
      <c r="I67" s="233"/>
      <c r="J67" s="234">
        <v>6.0</v>
      </c>
      <c r="K67" s="235">
        <v>4.0</v>
      </c>
      <c r="L67" s="233"/>
      <c r="M67" s="233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4.5" customHeight="1">
      <c r="A68" s="209"/>
      <c r="B68" s="209"/>
      <c r="C68" s="237"/>
      <c r="D68" s="111"/>
      <c r="E68" s="111"/>
      <c r="F68" s="111"/>
      <c r="G68" s="111"/>
      <c r="H68" s="111"/>
      <c r="I68" s="111"/>
      <c r="J68" s="111"/>
      <c r="K68" s="111"/>
      <c r="L68" s="111"/>
      <c r="M68" s="222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64" t="s">
        <v>394</v>
      </c>
      <c r="D69" s="226" t="s">
        <v>248</v>
      </c>
      <c r="E69" s="227" t="s">
        <v>279</v>
      </c>
      <c r="F69" s="227" t="s">
        <v>178</v>
      </c>
      <c r="G69" s="228" t="s">
        <v>239</v>
      </c>
      <c r="H69" s="227" t="s">
        <v>167</v>
      </c>
      <c r="I69" s="227" t="s">
        <v>173</v>
      </c>
      <c r="J69" s="229">
        <v>2.0</v>
      </c>
      <c r="K69" s="230">
        <v>6.0</v>
      </c>
      <c r="L69" s="231">
        <f>IF(AND(J69&gt;K69,J70&gt;K70),2,IF(J69&gt;K69,1,IF(J70&gt;K70,1,0)))</f>
        <v>0</v>
      </c>
      <c r="M69" s="231">
        <f>IF(AND(K69&gt;J69,K70&gt;J70),2,IF(K69&gt;J69,1,IF(K70&gt;J70,1,0)))</f>
        <v>2</v>
      </c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32"/>
      <c r="D70" s="233"/>
      <c r="E70" s="233"/>
      <c r="F70" s="233"/>
      <c r="G70" s="233"/>
      <c r="H70" s="233"/>
      <c r="I70" s="233"/>
      <c r="J70" s="234">
        <v>3.0</v>
      </c>
      <c r="K70" s="235">
        <v>6.0</v>
      </c>
      <c r="L70" s="233"/>
      <c r="M70" s="233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4.5" customHeight="1">
      <c r="A71" s="209"/>
      <c r="B71" s="209"/>
      <c r="C71" s="237"/>
      <c r="D71" s="111"/>
      <c r="E71" s="111"/>
      <c r="F71" s="111"/>
      <c r="G71" s="111"/>
      <c r="H71" s="111"/>
      <c r="I71" s="111"/>
      <c r="J71" s="111"/>
      <c r="K71" s="111"/>
      <c r="L71" s="111"/>
      <c r="M71" s="222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64" t="s">
        <v>395</v>
      </c>
      <c r="D72" s="238" t="s">
        <v>244</v>
      </c>
      <c r="E72" s="227" t="s">
        <v>108</v>
      </c>
      <c r="F72" s="227" t="s">
        <v>396</v>
      </c>
      <c r="G72" s="239" t="s">
        <v>239</v>
      </c>
      <c r="H72" s="227" t="s">
        <v>102</v>
      </c>
      <c r="I72" s="227" t="s">
        <v>109</v>
      </c>
      <c r="J72" s="229">
        <v>4.0</v>
      </c>
      <c r="K72" s="230">
        <v>6.0</v>
      </c>
      <c r="L72" s="231">
        <f>IF(AND(J72&gt;K72,J73&gt;K73),2,IF(J72&gt;K72,1,IF(J73&gt;K73,1,0)))</f>
        <v>0</v>
      </c>
      <c r="M72" s="231">
        <f>IF(AND(K72&gt;J72,K73&gt;J73),2,IF(K72&gt;J72,1,IF(K73&gt;J73,1,0)))</f>
        <v>2</v>
      </c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32"/>
      <c r="D73" s="233"/>
      <c r="E73" s="233"/>
      <c r="F73" s="233"/>
      <c r="G73" s="233"/>
      <c r="H73" s="233"/>
      <c r="I73" s="233"/>
      <c r="J73" s="234">
        <v>2.0</v>
      </c>
      <c r="K73" s="235">
        <v>6.0</v>
      </c>
      <c r="L73" s="233"/>
      <c r="M73" s="233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4.5" customHeight="1">
      <c r="A74" s="209"/>
      <c r="B74" s="209"/>
      <c r="C74" s="237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40" t="s">
        <v>389</v>
      </c>
      <c r="D75" s="111"/>
      <c r="E75" s="111"/>
      <c r="F75" s="111"/>
      <c r="G75" s="111"/>
      <c r="H75" s="111"/>
      <c r="I75" s="112"/>
      <c r="J75" s="241">
        <f t="shared" ref="J75:M75" si="5">SUM(J63:J73)</f>
        <v>36</v>
      </c>
      <c r="K75" s="242">
        <f t="shared" si="5"/>
        <v>36</v>
      </c>
      <c r="L75" s="241">
        <f t="shared" si="5"/>
        <v>4</v>
      </c>
      <c r="M75" s="243">
        <f t="shared" si="5"/>
        <v>4</v>
      </c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4.5" customHeight="1">
      <c r="A76" s="209"/>
      <c r="B76" s="209"/>
      <c r="C76" s="244"/>
      <c r="D76" s="111"/>
      <c r="E76" s="111"/>
      <c r="F76" s="111"/>
      <c r="G76" s="111"/>
      <c r="H76" s="111"/>
      <c r="I76" s="111"/>
      <c r="J76" s="111"/>
      <c r="K76" s="111"/>
      <c r="L76" s="111"/>
      <c r="M76" s="222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47" t="s">
        <v>390</v>
      </c>
      <c r="D77" s="111"/>
      <c r="E77" s="111"/>
      <c r="F77" s="111"/>
      <c r="G77" s="111"/>
      <c r="H77" s="111"/>
      <c r="I77" s="112"/>
      <c r="J77" s="248">
        <f t="shared" ref="J77:M77" si="6">J75+J60</f>
        <v>77</v>
      </c>
      <c r="K77" s="249">
        <f t="shared" si="6"/>
        <v>61</v>
      </c>
      <c r="L77" s="250">
        <f t="shared" si="6"/>
        <v>9</v>
      </c>
      <c r="M77" s="251">
        <f t="shared" si="6"/>
        <v>7</v>
      </c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6.75" customHeight="1">
      <c r="A78" s="209"/>
      <c r="B78" s="209"/>
      <c r="C78" s="252"/>
      <c r="D78" s="111"/>
      <c r="E78" s="111"/>
      <c r="F78" s="111"/>
      <c r="G78" s="111"/>
      <c r="H78" s="111"/>
      <c r="I78" s="111"/>
      <c r="J78" s="111"/>
      <c r="K78" s="111"/>
      <c r="L78" s="111"/>
      <c r="M78" s="222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17" t="s">
        <v>268</v>
      </c>
      <c r="D79" s="213"/>
      <c r="E79" s="213"/>
      <c r="F79" s="213"/>
      <c r="G79" s="213"/>
      <c r="H79" s="213"/>
      <c r="I79" s="213"/>
      <c r="J79" s="213"/>
      <c r="K79" s="213"/>
      <c r="L79" s="213"/>
      <c r="M79" s="214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15"/>
      <c r="D80" s="185"/>
      <c r="E80" s="185"/>
      <c r="F80" s="185"/>
      <c r="G80" s="185"/>
      <c r="H80" s="185"/>
      <c r="I80" s="185"/>
      <c r="J80" s="185"/>
      <c r="K80" s="185"/>
      <c r="L80" s="185"/>
      <c r="M80" s="216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25.5" customHeight="1">
      <c r="A81" s="209"/>
      <c r="B81" s="209"/>
      <c r="C81" s="254" t="s">
        <v>237</v>
      </c>
      <c r="D81" s="221" t="s">
        <v>238</v>
      </c>
      <c r="E81" s="220" t="s">
        <v>21</v>
      </c>
      <c r="F81" s="112"/>
      <c r="G81" s="219" t="s">
        <v>239</v>
      </c>
      <c r="H81" s="220" t="s">
        <v>22</v>
      </c>
      <c r="I81" s="112"/>
      <c r="J81" s="255"/>
      <c r="K81" s="112"/>
      <c r="L81" s="221"/>
      <c r="M81" s="222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23"/>
      <c r="M82" s="224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25" t="s">
        <v>242</v>
      </c>
      <c r="D83" s="226" t="s">
        <v>248</v>
      </c>
      <c r="E83" s="227" t="s">
        <v>169</v>
      </c>
      <c r="F83" s="227" t="s">
        <v>175</v>
      </c>
      <c r="G83" s="228" t="s">
        <v>239</v>
      </c>
      <c r="H83" s="227" t="s">
        <v>170</v>
      </c>
      <c r="I83" s="227" t="s">
        <v>176</v>
      </c>
      <c r="J83" s="229">
        <v>6.0</v>
      </c>
      <c r="K83" s="230">
        <v>4.0</v>
      </c>
      <c r="L83" s="231">
        <f>IF(AND(J83&gt;K83,J84&gt;K84),2,IF(J83&gt;K83,1,IF(J84&gt;K84,1,0)))</f>
        <v>1</v>
      </c>
      <c r="M83" s="231">
        <f>IF(AND(K83&gt;J83,K84&gt;J84),2,IF(K83&gt;J83,1,IF(K84&gt;J84,1,0)))</f>
        <v>1</v>
      </c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32"/>
      <c r="D84" s="233"/>
      <c r="E84" s="233"/>
      <c r="F84" s="233"/>
      <c r="G84" s="233"/>
      <c r="H84" s="233"/>
      <c r="I84" s="233"/>
      <c r="J84" s="234">
        <v>2.0</v>
      </c>
      <c r="K84" s="235">
        <v>6.0</v>
      </c>
      <c r="L84" s="233"/>
      <c r="M84" s="233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4.5" customHeight="1">
      <c r="A85" s="209"/>
      <c r="B85" s="209"/>
      <c r="C85" s="236"/>
      <c r="D85" s="111"/>
      <c r="E85" s="111"/>
      <c r="F85" s="111"/>
      <c r="G85" s="111"/>
      <c r="H85" s="111"/>
      <c r="I85" s="111"/>
      <c r="J85" s="111"/>
      <c r="K85" s="111"/>
      <c r="L85" s="111"/>
      <c r="M85" s="222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25" t="s">
        <v>264</v>
      </c>
      <c r="D86" s="226" t="s">
        <v>244</v>
      </c>
      <c r="E86" s="227" t="s">
        <v>104</v>
      </c>
      <c r="F86" s="227" t="s">
        <v>111</v>
      </c>
      <c r="G86" s="228" t="s">
        <v>239</v>
      </c>
      <c r="H86" s="227" t="s">
        <v>105</v>
      </c>
      <c r="I86" s="227" t="s">
        <v>112</v>
      </c>
      <c r="J86" s="229">
        <v>3.0</v>
      </c>
      <c r="K86" s="230">
        <v>6.0</v>
      </c>
      <c r="L86" s="231">
        <f>IF(AND(J86&gt;K86,J87&gt;K87),2,IF(J86&gt;K86,1,IF(J87&gt;K87,1,0)))</f>
        <v>0</v>
      </c>
      <c r="M86" s="231">
        <f>IF(AND(K86&gt;J86,K87&gt;J87),2,IF(K86&gt;J86,1,IF(K87&gt;J87,1,0)))</f>
        <v>2</v>
      </c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32"/>
      <c r="D87" s="233"/>
      <c r="E87" s="233"/>
      <c r="F87" s="233"/>
      <c r="G87" s="233"/>
      <c r="H87" s="233"/>
      <c r="I87" s="233"/>
      <c r="J87" s="234">
        <v>3.0</v>
      </c>
      <c r="K87" s="235">
        <v>6.0</v>
      </c>
      <c r="L87" s="233"/>
      <c r="M87" s="233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4.5" customHeight="1">
      <c r="A88" s="209"/>
      <c r="B88" s="209"/>
      <c r="C88" s="237"/>
      <c r="D88" s="111"/>
      <c r="E88" s="111"/>
      <c r="F88" s="111"/>
      <c r="G88" s="111"/>
      <c r="H88" s="111"/>
      <c r="I88" s="111"/>
      <c r="J88" s="111"/>
      <c r="K88" s="111"/>
      <c r="L88" s="111"/>
      <c r="M88" s="222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25" t="s">
        <v>245</v>
      </c>
      <c r="D89" s="226" t="s">
        <v>314</v>
      </c>
      <c r="E89" s="227" t="s">
        <v>85</v>
      </c>
      <c r="F89" s="227" t="s">
        <v>163</v>
      </c>
      <c r="G89" s="228" t="s">
        <v>239</v>
      </c>
      <c r="H89" s="227" t="s">
        <v>86</v>
      </c>
      <c r="I89" s="227" t="s">
        <v>157</v>
      </c>
      <c r="J89" s="229">
        <v>1.0</v>
      </c>
      <c r="K89" s="230">
        <v>6.0</v>
      </c>
      <c r="L89" s="231">
        <f>IF(AND(J89&gt;K89,J90&gt;K90),2,IF(J89&gt;K89,1,IF(J90&gt;K90,1,0)))</f>
        <v>0</v>
      </c>
      <c r="M89" s="231">
        <f>IF(AND(K89&gt;J89,K90&gt;J90),2,IF(K89&gt;J89,1,IF(K90&gt;J90,1,0)))</f>
        <v>2</v>
      </c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32"/>
      <c r="D90" s="233"/>
      <c r="E90" s="233"/>
      <c r="F90" s="233"/>
      <c r="G90" s="233"/>
      <c r="H90" s="233"/>
      <c r="I90" s="233"/>
      <c r="J90" s="234">
        <v>1.0</v>
      </c>
      <c r="K90" s="235">
        <v>6.0</v>
      </c>
      <c r="L90" s="233"/>
      <c r="M90" s="233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4.5" customHeight="1">
      <c r="A91" s="209"/>
      <c r="B91" s="209"/>
      <c r="C91" s="237"/>
      <c r="D91" s="111"/>
      <c r="E91" s="111"/>
      <c r="F91" s="111"/>
      <c r="G91" s="111"/>
      <c r="H91" s="111"/>
      <c r="I91" s="111"/>
      <c r="J91" s="111"/>
      <c r="K91" s="111"/>
      <c r="L91" s="111"/>
      <c r="M91" s="222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25" t="s">
        <v>245</v>
      </c>
      <c r="D92" s="238" t="s">
        <v>256</v>
      </c>
      <c r="E92" s="227" t="s">
        <v>186</v>
      </c>
      <c r="F92" s="227" t="s">
        <v>263</v>
      </c>
      <c r="G92" s="239" t="s">
        <v>239</v>
      </c>
      <c r="H92" s="227" t="s">
        <v>187</v>
      </c>
      <c r="I92" s="227" t="s">
        <v>199</v>
      </c>
      <c r="J92" s="229">
        <v>6.0</v>
      </c>
      <c r="K92" s="230">
        <v>0.0</v>
      </c>
      <c r="L92" s="231">
        <f>IF(AND(J92&gt;K92,J93&gt;K93),2,IF(J92&gt;K92,1,IF(J93&gt;K93,1,0)))</f>
        <v>2</v>
      </c>
      <c r="M92" s="231">
        <f>IF(AND(K92&gt;J92,K93&gt;J93),2,IF(K92&gt;J92,1,IF(K93&gt;J93,1,0)))</f>
        <v>0</v>
      </c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32"/>
      <c r="D93" s="233"/>
      <c r="E93" s="233"/>
      <c r="F93" s="233"/>
      <c r="G93" s="233"/>
      <c r="H93" s="233"/>
      <c r="I93" s="233"/>
      <c r="J93" s="234">
        <v>6.0</v>
      </c>
      <c r="K93" s="235">
        <v>0.0</v>
      </c>
      <c r="L93" s="233"/>
      <c r="M93" s="233"/>
      <c r="N93" s="257" t="s">
        <v>332</v>
      </c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4.5" customHeight="1">
      <c r="A94" s="209"/>
      <c r="B94" s="209"/>
      <c r="C94" s="265"/>
      <c r="D94" s="266"/>
      <c r="E94" s="266"/>
      <c r="F94" s="266"/>
      <c r="G94" s="266"/>
      <c r="H94" s="266"/>
      <c r="I94" s="266"/>
      <c r="J94" s="266"/>
      <c r="K94" s="266"/>
      <c r="L94" s="266"/>
      <c r="M94" s="267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40" t="s">
        <v>386</v>
      </c>
      <c r="D95" s="111"/>
      <c r="E95" s="111"/>
      <c r="F95" s="111"/>
      <c r="G95" s="111"/>
      <c r="H95" s="111"/>
      <c r="I95" s="112"/>
      <c r="J95" s="241">
        <f t="shared" ref="J95:M95" si="7">SUM(J83:J93)</f>
        <v>28</v>
      </c>
      <c r="K95" s="242">
        <f t="shared" si="7"/>
        <v>34</v>
      </c>
      <c r="L95" s="241">
        <f t="shared" si="7"/>
        <v>3</v>
      </c>
      <c r="M95" s="243">
        <f t="shared" si="7"/>
        <v>5</v>
      </c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4.5" customHeight="1">
      <c r="A96" s="209"/>
      <c r="B96" s="209"/>
      <c r="C96" s="244"/>
      <c r="D96" s="111"/>
      <c r="E96" s="111"/>
      <c r="F96" s="111"/>
      <c r="G96" s="111"/>
      <c r="H96" s="111"/>
      <c r="I96" s="111"/>
      <c r="J96" s="111"/>
      <c r="K96" s="111"/>
      <c r="L96" s="111"/>
      <c r="M96" s="222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45"/>
      <c r="D97" s="111"/>
      <c r="E97" s="111"/>
      <c r="F97" s="111"/>
      <c r="G97" s="111"/>
      <c r="H97" s="111"/>
      <c r="I97" s="111"/>
      <c r="J97" s="111"/>
      <c r="K97" s="111"/>
      <c r="L97" s="111"/>
      <c r="M97" s="222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25" t="s">
        <v>242</v>
      </c>
      <c r="D98" s="226" t="s">
        <v>257</v>
      </c>
      <c r="E98" s="227" t="s">
        <v>124</v>
      </c>
      <c r="F98" s="227" t="s">
        <v>131</v>
      </c>
      <c r="G98" s="228" t="s">
        <v>239</v>
      </c>
      <c r="H98" s="227" t="s">
        <v>125</v>
      </c>
      <c r="I98" s="227" t="s">
        <v>139</v>
      </c>
      <c r="J98" s="229">
        <v>5.0</v>
      </c>
      <c r="K98" s="230">
        <v>7.0</v>
      </c>
      <c r="L98" s="231">
        <f>IF(AND(J98&gt;K98,J99&gt;K99),2,IF(J98&gt;K98,1,IF(J99&gt;K99,1,0)))</f>
        <v>0</v>
      </c>
      <c r="M98" s="231">
        <f>IF(AND(K98&gt;J98,K99&gt;J99),2,IF(K98&gt;J98,1,IF(K99&gt;J99,1,0)))</f>
        <v>2</v>
      </c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32"/>
      <c r="D99" s="233"/>
      <c r="E99" s="233"/>
      <c r="F99" s="233"/>
      <c r="G99" s="233"/>
      <c r="H99" s="233"/>
      <c r="I99" s="233"/>
      <c r="J99" s="234">
        <v>2.0</v>
      </c>
      <c r="K99" s="235">
        <v>6.0</v>
      </c>
      <c r="L99" s="233"/>
      <c r="M99" s="233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4.5" customHeight="1">
      <c r="A100" s="209"/>
      <c r="B100" s="209"/>
      <c r="C100" s="236"/>
      <c r="D100" s="111"/>
      <c r="E100" s="111"/>
      <c r="F100" s="111"/>
      <c r="G100" s="111"/>
      <c r="H100" s="111"/>
      <c r="I100" s="111"/>
      <c r="J100" s="111"/>
      <c r="K100" s="111"/>
      <c r="L100" s="111"/>
      <c r="M100" s="222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25" t="s">
        <v>264</v>
      </c>
      <c r="D101" s="226" t="s">
        <v>254</v>
      </c>
      <c r="E101" s="227" t="s">
        <v>397</v>
      </c>
      <c r="F101" s="227" t="s">
        <v>97</v>
      </c>
      <c r="G101" s="228" t="s">
        <v>239</v>
      </c>
      <c r="H101" s="227" t="s">
        <v>98</v>
      </c>
      <c r="I101" s="227" t="s">
        <v>398</v>
      </c>
      <c r="J101" s="229">
        <v>3.0</v>
      </c>
      <c r="K101" s="230">
        <v>6.0</v>
      </c>
      <c r="L101" s="231">
        <f>IF(AND(J101&gt;K101,J102&gt;K102),2,IF(J101&gt;K101,1,IF(J102&gt;K102,1,0)))</f>
        <v>1</v>
      </c>
      <c r="M101" s="231">
        <f>IF(AND(K101&gt;J101,K102&gt;J102),2,IF(K101&gt;J101,1,IF(K102&gt;J102,1,0)))</f>
        <v>1</v>
      </c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32"/>
      <c r="D102" s="233"/>
      <c r="E102" s="233"/>
      <c r="F102" s="233"/>
      <c r="G102" s="233"/>
      <c r="H102" s="233"/>
      <c r="I102" s="233"/>
      <c r="J102" s="234">
        <v>6.0</v>
      </c>
      <c r="K102" s="235">
        <v>4.0</v>
      </c>
      <c r="L102" s="233"/>
      <c r="M102" s="233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4.5" customHeight="1">
      <c r="A103" s="209"/>
      <c r="B103" s="209"/>
      <c r="C103" s="237"/>
      <c r="D103" s="111"/>
      <c r="E103" s="111"/>
      <c r="F103" s="111"/>
      <c r="G103" s="111"/>
      <c r="H103" s="111"/>
      <c r="I103" s="111"/>
      <c r="J103" s="111"/>
      <c r="K103" s="111"/>
      <c r="L103" s="111"/>
      <c r="M103" s="222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25" t="s">
        <v>245</v>
      </c>
      <c r="D104" s="226" t="s">
        <v>243</v>
      </c>
      <c r="E104" s="227" t="s">
        <v>57</v>
      </c>
      <c r="F104" s="227" t="s">
        <v>71</v>
      </c>
      <c r="G104" s="228" t="s">
        <v>239</v>
      </c>
      <c r="H104" s="227" t="s">
        <v>65</v>
      </c>
      <c r="I104" s="227" t="s">
        <v>72</v>
      </c>
      <c r="J104" s="229">
        <v>6.0</v>
      </c>
      <c r="K104" s="230">
        <v>4.0</v>
      </c>
      <c r="L104" s="231">
        <f>IF(AND(J104&gt;K104,J105&gt;K105),2,IF(J104&gt;K104,1,IF(J105&gt;K105,1,0)))</f>
        <v>2</v>
      </c>
      <c r="M104" s="231">
        <f>IF(AND(K104&gt;J104,K105&gt;J105),2,IF(K104&gt;J104,1,IF(K105&gt;J105,1,0)))</f>
        <v>0</v>
      </c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32"/>
      <c r="D105" s="233"/>
      <c r="E105" s="233"/>
      <c r="F105" s="233"/>
      <c r="G105" s="233"/>
      <c r="H105" s="233"/>
      <c r="I105" s="233"/>
      <c r="J105" s="234">
        <v>6.0</v>
      </c>
      <c r="K105" s="235">
        <v>2.0</v>
      </c>
      <c r="L105" s="233"/>
      <c r="M105" s="233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4.5" customHeight="1">
      <c r="A106" s="209"/>
      <c r="B106" s="209"/>
      <c r="C106" s="237"/>
      <c r="D106" s="111"/>
      <c r="E106" s="111"/>
      <c r="F106" s="111"/>
      <c r="G106" s="111"/>
      <c r="H106" s="111"/>
      <c r="I106" s="111"/>
      <c r="J106" s="111"/>
      <c r="K106" s="111"/>
      <c r="L106" s="111"/>
      <c r="M106" s="222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25" t="s">
        <v>245</v>
      </c>
      <c r="D107" s="238" t="s">
        <v>246</v>
      </c>
      <c r="E107" s="227" t="s">
        <v>145</v>
      </c>
      <c r="F107" s="227" t="s">
        <v>156</v>
      </c>
      <c r="G107" s="239" t="s">
        <v>239</v>
      </c>
      <c r="H107" s="227" t="s">
        <v>151</v>
      </c>
      <c r="I107" s="227" t="s">
        <v>399</v>
      </c>
      <c r="J107" s="229">
        <v>0.0</v>
      </c>
      <c r="K107" s="230">
        <v>6.0</v>
      </c>
      <c r="L107" s="231">
        <f>IF(AND(J107&gt;K107,J108&gt;K108),2,IF(J107&gt;K107,1,IF(J108&gt;K108,1,0)))</f>
        <v>0</v>
      </c>
      <c r="M107" s="231">
        <f>IF(AND(K107&gt;J107,K108&gt;J108),2,IF(K107&gt;J107,1,IF(K108&gt;J108,1,0)))</f>
        <v>2</v>
      </c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32"/>
      <c r="D108" s="233"/>
      <c r="E108" s="233"/>
      <c r="F108" s="233"/>
      <c r="G108" s="233"/>
      <c r="H108" s="233"/>
      <c r="I108" s="233"/>
      <c r="J108" s="234">
        <v>0.0</v>
      </c>
      <c r="K108" s="235">
        <v>6.0</v>
      </c>
      <c r="L108" s="233"/>
      <c r="M108" s="233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4.5" customHeight="1">
      <c r="A109" s="209"/>
      <c r="B109" s="209"/>
      <c r="C109" s="237"/>
      <c r="D109" s="111"/>
      <c r="E109" s="111"/>
      <c r="F109" s="111"/>
      <c r="G109" s="111"/>
      <c r="H109" s="111"/>
      <c r="I109" s="111"/>
      <c r="J109" s="111"/>
      <c r="K109" s="111"/>
      <c r="L109" s="111"/>
      <c r="M109" s="222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40" t="s">
        <v>389</v>
      </c>
      <c r="D110" s="111"/>
      <c r="E110" s="111"/>
      <c r="F110" s="111"/>
      <c r="G110" s="111"/>
      <c r="H110" s="111"/>
      <c r="I110" s="112"/>
      <c r="J110" s="241">
        <f t="shared" ref="J110:M110" si="8">SUM(J98:J108)</f>
        <v>28</v>
      </c>
      <c r="K110" s="242">
        <f t="shared" si="8"/>
        <v>41</v>
      </c>
      <c r="L110" s="241">
        <f t="shared" si="8"/>
        <v>3</v>
      </c>
      <c r="M110" s="243">
        <f t="shared" si="8"/>
        <v>5</v>
      </c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4.5" customHeight="1">
      <c r="A111" s="209"/>
      <c r="B111" s="209"/>
      <c r="C111" s="244"/>
      <c r="D111" s="111"/>
      <c r="E111" s="111"/>
      <c r="F111" s="111"/>
      <c r="G111" s="111"/>
      <c r="H111" s="111"/>
      <c r="I111" s="111"/>
      <c r="J111" s="111"/>
      <c r="K111" s="111"/>
      <c r="L111" s="111"/>
      <c r="M111" s="222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47" t="s">
        <v>390</v>
      </c>
      <c r="D112" s="111"/>
      <c r="E112" s="111"/>
      <c r="F112" s="111"/>
      <c r="G112" s="111"/>
      <c r="H112" s="111"/>
      <c r="I112" s="112"/>
      <c r="J112" s="248">
        <f t="shared" ref="J112:M112" si="9">J110+J95</f>
        <v>56</v>
      </c>
      <c r="K112" s="249">
        <f t="shared" si="9"/>
        <v>75</v>
      </c>
      <c r="L112" s="250">
        <f t="shared" si="9"/>
        <v>6</v>
      </c>
      <c r="M112" s="251">
        <f t="shared" si="9"/>
        <v>10</v>
      </c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6.75" customHeight="1">
      <c r="A113" s="209"/>
      <c r="B113" s="209"/>
      <c r="C113" s="260"/>
      <c r="D113" s="261"/>
      <c r="E113" s="261"/>
      <c r="F113" s="261"/>
      <c r="G113" s="261"/>
      <c r="H113" s="261"/>
      <c r="I113" s="261"/>
      <c r="J113" s="261"/>
      <c r="K113" s="261"/>
      <c r="L113" s="261"/>
      <c r="M113" s="262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 t="s">
        <v>262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5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2.71"/>
    <col customWidth="1" min="2" max="2" width="0.86"/>
    <col customWidth="1" min="3" max="3" width="7.57"/>
    <col customWidth="1" min="4" max="4" width="7.43"/>
    <col customWidth="1" min="5" max="5" width="17.86"/>
    <col customWidth="1" min="6" max="6" width="16.29"/>
    <col customWidth="1" min="7" max="7" width="4.86"/>
    <col customWidth="1" min="8" max="8" width="18.71"/>
    <col customWidth="1" min="9" max="9" width="18.14"/>
    <col customWidth="1" min="10" max="11" width="5.71"/>
    <col customWidth="1" min="12" max="12" width="7.43"/>
    <col customWidth="1" min="13" max="13" width="7.86"/>
    <col customWidth="1" min="14" max="15" width="9.14"/>
    <col customWidth="1" min="16" max="26" width="8.0"/>
  </cols>
  <sheetData>
    <row r="1" ht="12.75" customHeight="1">
      <c r="A1" s="209"/>
      <c r="B1" s="209"/>
      <c r="C1" s="210" t="s">
        <v>275</v>
      </c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A2" s="209"/>
      <c r="B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A3" s="209"/>
      <c r="B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09"/>
      <c r="B6" s="209"/>
      <c r="C6" s="211" t="s">
        <v>400</v>
      </c>
      <c r="D6" s="8"/>
      <c r="E6" s="8"/>
      <c r="F6" s="8"/>
      <c r="G6" s="8"/>
      <c r="H6" s="8"/>
      <c r="I6" s="8"/>
      <c r="J6" s="8"/>
      <c r="K6" s="8"/>
      <c r="L6" s="8"/>
      <c r="M6" s="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09"/>
      <c r="B7" s="209"/>
      <c r="C7" s="281"/>
      <c r="D7" s="213"/>
      <c r="E7" s="213"/>
      <c r="F7" s="213"/>
      <c r="G7" s="213"/>
      <c r="H7" s="213"/>
      <c r="I7" s="213"/>
      <c r="J7" s="213"/>
      <c r="K7" s="213"/>
      <c r="L7" s="213"/>
      <c r="M7" s="214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3.0" customHeight="1">
      <c r="A8" s="209"/>
      <c r="B8" s="209"/>
      <c r="C8" s="215"/>
      <c r="D8" s="185"/>
      <c r="E8" s="185"/>
      <c r="F8" s="185"/>
      <c r="G8" s="185"/>
      <c r="H8" s="185"/>
      <c r="I8" s="185"/>
      <c r="J8" s="185"/>
      <c r="K8" s="185"/>
      <c r="L8" s="185"/>
      <c r="M8" s="216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09"/>
      <c r="B9" s="209"/>
      <c r="C9" s="217" t="s">
        <v>236</v>
      </c>
      <c r="D9" s="213"/>
      <c r="E9" s="213"/>
      <c r="F9" s="213"/>
      <c r="G9" s="213"/>
      <c r="H9" s="213"/>
      <c r="I9" s="213"/>
      <c r="J9" s="213"/>
      <c r="K9" s="213"/>
      <c r="L9" s="213"/>
      <c r="M9" s="214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09"/>
      <c r="B10" s="209"/>
      <c r="C10" s="215"/>
      <c r="D10" s="185"/>
      <c r="E10" s="185"/>
      <c r="F10" s="185"/>
      <c r="G10" s="185"/>
      <c r="H10" s="185"/>
      <c r="I10" s="185"/>
      <c r="J10" s="185"/>
      <c r="K10" s="185"/>
      <c r="L10" s="185"/>
      <c r="M10" s="216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209"/>
      <c r="B11" s="209"/>
      <c r="C11" s="218" t="s">
        <v>237</v>
      </c>
      <c r="D11" s="219" t="s">
        <v>238</v>
      </c>
      <c r="E11" s="220" t="s">
        <v>22</v>
      </c>
      <c r="F11" s="112"/>
      <c r="G11" s="219" t="s">
        <v>239</v>
      </c>
      <c r="H11" s="220" t="s">
        <v>401</v>
      </c>
      <c r="I11" s="112"/>
      <c r="J11" s="221" t="s">
        <v>240</v>
      </c>
      <c r="K11" s="112"/>
      <c r="L11" s="221" t="s">
        <v>241</v>
      </c>
      <c r="M11" s="222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13.5" customHeight="1">
      <c r="A12" s="209"/>
      <c r="B12" s="209"/>
      <c r="C12" s="264" t="s">
        <v>327</v>
      </c>
      <c r="D12" s="226" t="s">
        <v>244</v>
      </c>
      <c r="E12" s="227" t="s">
        <v>105</v>
      </c>
      <c r="F12" s="227" t="s">
        <v>112</v>
      </c>
      <c r="G12" s="228" t="s">
        <v>239</v>
      </c>
      <c r="H12" s="227" t="s">
        <v>402</v>
      </c>
      <c r="I12" s="227" t="s">
        <v>102</v>
      </c>
      <c r="J12" s="229">
        <v>6.0</v>
      </c>
      <c r="K12" s="230">
        <v>2.0</v>
      </c>
      <c r="L12" s="231">
        <f>IF(AND(J12&gt;K12,J13&gt;K13),2,IF(J12&gt;K12,1,IF(J13&gt;K13,1,0)))</f>
        <v>2</v>
      </c>
      <c r="M12" s="231">
        <f>IF(AND(K12&gt;J12,K13&gt;J13),2,IF(K12&gt;J12,1,IF(K13&gt;J13,1,0)))</f>
        <v>0</v>
      </c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12.75" customHeight="1">
      <c r="A13" s="209"/>
      <c r="B13" s="209"/>
      <c r="C13" s="232"/>
      <c r="D13" s="233"/>
      <c r="E13" s="233"/>
      <c r="F13" s="233"/>
      <c r="G13" s="233"/>
      <c r="H13" s="233"/>
      <c r="I13" s="233"/>
      <c r="J13" s="234">
        <v>6.0</v>
      </c>
      <c r="K13" s="235">
        <v>4.0</v>
      </c>
      <c r="L13" s="233"/>
      <c r="M13" s="233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4.5" customHeight="1">
      <c r="A14" s="209"/>
      <c r="B14" s="209"/>
      <c r="C14" s="236"/>
      <c r="D14" s="111"/>
      <c r="E14" s="111"/>
      <c r="F14" s="111"/>
      <c r="G14" s="111"/>
      <c r="H14" s="111"/>
      <c r="I14" s="111"/>
      <c r="J14" s="111"/>
      <c r="K14" s="111"/>
      <c r="L14" s="111"/>
      <c r="M14" s="222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12.75" customHeight="1">
      <c r="A15" s="209"/>
      <c r="B15" s="209"/>
      <c r="C15" s="264" t="s">
        <v>281</v>
      </c>
      <c r="D15" s="226" t="s">
        <v>246</v>
      </c>
      <c r="E15" s="227" t="s">
        <v>146</v>
      </c>
      <c r="F15" s="227" t="s">
        <v>151</v>
      </c>
      <c r="G15" s="228" t="s">
        <v>239</v>
      </c>
      <c r="H15" s="227" t="s">
        <v>403</v>
      </c>
      <c r="I15" s="227" t="s">
        <v>404</v>
      </c>
      <c r="J15" s="229">
        <v>7.0</v>
      </c>
      <c r="K15" s="230">
        <v>6.0</v>
      </c>
      <c r="L15" s="231">
        <f>IF(AND(J15&gt;K15,J16&gt;K16),2,IF(J15&gt;K15,1,IF(J16&gt;K16,1,0)))</f>
        <v>2</v>
      </c>
      <c r="M15" s="231">
        <f>IF(AND(K15&gt;J15,K16&gt;J16),2,IF(K15&gt;J15,1,IF(K16&gt;J16,1,0)))</f>
        <v>0</v>
      </c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12.75" customHeight="1">
      <c r="A16" s="209"/>
      <c r="B16" s="209"/>
      <c r="C16" s="232"/>
      <c r="D16" s="233"/>
      <c r="E16" s="233"/>
      <c r="F16" s="233"/>
      <c r="G16" s="233"/>
      <c r="H16" s="233"/>
      <c r="I16" s="233"/>
      <c r="J16" s="234">
        <v>6.0</v>
      </c>
      <c r="K16" s="235">
        <v>2.0</v>
      </c>
      <c r="L16" s="233"/>
      <c r="M16" s="233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4.5" customHeight="1">
      <c r="A17" s="209"/>
      <c r="B17" s="209"/>
      <c r="C17" s="237"/>
      <c r="D17" s="111"/>
      <c r="E17" s="111"/>
      <c r="F17" s="111"/>
      <c r="G17" s="111"/>
      <c r="H17" s="111"/>
      <c r="I17" s="111"/>
      <c r="J17" s="111"/>
      <c r="K17" s="111"/>
      <c r="L17" s="111"/>
      <c r="M17" s="222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12.75" customHeight="1">
      <c r="A18" s="209"/>
      <c r="B18" s="209"/>
      <c r="C18" s="264" t="s">
        <v>283</v>
      </c>
      <c r="D18" s="226" t="s">
        <v>248</v>
      </c>
      <c r="E18" s="227" t="s">
        <v>170</v>
      </c>
      <c r="F18" s="227" t="s">
        <v>176</v>
      </c>
      <c r="G18" s="228" t="s">
        <v>239</v>
      </c>
      <c r="H18" s="227" t="s">
        <v>167</v>
      </c>
      <c r="I18" s="227" t="s">
        <v>173</v>
      </c>
      <c r="J18" s="229">
        <v>6.0</v>
      </c>
      <c r="K18" s="230">
        <v>0.0</v>
      </c>
      <c r="L18" s="231">
        <f>IF(AND(J18&gt;K18,J19&gt;K19),2,IF(J18&gt;K18,1,IF(J19&gt;K19,1,0)))</f>
        <v>2</v>
      </c>
      <c r="M18" s="231">
        <f>IF(AND(K18&gt;J18,K19&gt;J19),2,IF(K18&gt;J18,1,IF(K19&gt;J19,1,0)))</f>
        <v>0</v>
      </c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12.75" customHeight="1">
      <c r="A19" s="209"/>
      <c r="B19" s="209"/>
      <c r="C19" s="232"/>
      <c r="D19" s="233"/>
      <c r="E19" s="233"/>
      <c r="F19" s="233"/>
      <c r="G19" s="233"/>
      <c r="H19" s="233"/>
      <c r="I19" s="233"/>
      <c r="J19" s="234">
        <v>7.0</v>
      </c>
      <c r="K19" s="235">
        <v>5.0</v>
      </c>
      <c r="L19" s="233"/>
      <c r="M19" s="233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4.5" customHeight="1">
      <c r="A20" s="209"/>
      <c r="B20" s="209"/>
      <c r="C20" s="237"/>
      <c r="D20" s="111"/>
      <c r="E20" s="111"/>
      <c r="F20" s="111"/>
      <c r="G20" s="111"/>
      <c r="H20" s="111"/>
      <c r="I20" s="111"/>
      <c r="J20" s="111"/>
      <c r="K20" s="111"/>
      <c r="L20" s="111"/>
      <c r="M20" s="222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12.75" customHeight="1">
      <c r="A21" s="209"/>
      <c r="B21" s="209"/>
      <c r="C21" s="264" t="s">
        <v>327</v>
      </c>
      <c r="D21" s="238" t="s">
        <v>256</v>
      </c>
      <c r="E21" s="227" t="s">
        <v>187</v>
      </c>
      <c r="F21" s="227" t="s">
        <v>199</v>
      </c>
      <c r="G21" s="239" t="s">
        <v>239</v>
      </c>
      <c r="H21" s="227" t="s">
        <v>184</v>
      </c>
      <c r="I21" s="227" t="s">
        <v>190</v>
      </c>
      <c r="J21" s="229">
        <v>7.0</v>
      </c>
      <c r="K21" s="230">
        <v>5.0</v>
      </c>
      <c r="L21" s="231">
        <f>IF(AND(J21&gt;K21,J22&gt;K22),2,IF(J21&gt;K21,1,IF(J22&gt;K22,1,0)))</f>
        <v>1</v>
      </c>
      <c r="M21" s="231">
        <f>IF(AND(K21&gt;J21,K22&gt;J22),2,IF(K21&gt;J21,1,IF(K22&gt;J22,1,0)))</f>
        <v>1</v>
      </c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12.75" customHeight="1">
      <c r="A22" s="209"/>
      <c r="B22" s="209"/>
      <c r="C22" s="232"/>
      <c r="D22" s="233"/>
      <c r="E22" s="233"/>
      <c r="F22" s="233"/>
      <c r="G22" s="233"/>
      <c r="H22" s="233"/>
      <c r="I22" s="233"/>
      <c r="J22" s="234">
        <v>5.0</v>
      </c>
      <c r="K22" s="235">
        <v>7.0</v>
      </c>
      <c r="L22" s="233"/>
      <c r="M22" s="233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4.5" customHeight="1">
      <c r="A23" s="209"/>
      <c r="B23" s="209"/>
      <c r="C23" s="237"/>
      <c r="D23" s="111"/>
      <c r="E23" s="111"/>
      <c r="F23" s="111"/>
      <c r="G23" s="111"/>
      <c r="H23" s="111"/>
      <c r="I23" s="111"/>
      <c r="J23" s="111"/>
      <c r="K23" s="111"/>
      <c r="L23" s="111"/>
      <c r="M23" s="222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15.75" customHeight="1">
      <c r="A24" s="209"/>
      <c r="B24" s="209"/>
      <c r="C24" s="282"/>
      <c r="D24" s="283"/>
      <c r="E24" s="283"/>
      <c r="F24" s="283"/>
      <c r="G24" s="283"/>
      <c r="H24" s="283"/>
      <c r="I24" s="283"/>
      <c r="J24" s="241">
        <f t="shared" ref="J24:M24" si="1">SUM(J12:J22)</f>
        <v>50</v>
      </c>
      <c r="K24" s="241">
        <f t="shared" si="1"/>
        <v>31</v>
      </c>
      <c r="L24" s="241">
        <f t="shared" si="1"/>
        <v>7</v>
      </c>
      <c r="M24" s="241">
        <f t="shared" si="1"/>
        <v>1</v>
      </c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7.5" customHeight="1">
      <c r="A25" s="209"/>
      <c r="B25" s="209"/>
      <c r="C25" s="284"/>
      <c r="D25" s="285"/>
      <c r="E25" s="285"/>
      <c r="F25" s="285"/>
      <c r="G25" s="285"/>
      <c r="H25" s="285"/>
      <c r="I25" s="285"/>
      <c r="J25" s="286"/>
      <c r="K25" s="287"/>
      <c r="L25" s="285"/>
      <c r="M25" s="288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15.75" customHeight="1">
      <c r="A26" s="209"/>
      <c r="B26" s="209"/>
      <c r="C26" s="282"/>
      <c r="D26" s="283"/>
      <c r="E26" s="283"/>
      <c r="F26" s="283"/>
      <c r="G26" s="283"/>
      <c r="H26" s="283"/>
      <c r="I26" s="283"/>
      <c r="J26" s="289"/>
      <c r="K26" s="290"/>
      <c r="L26" s="283"/>
      <c r="M26" s="291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12.75" customHeight="1">
      <c r="A27" s="209"/>
      <c r="B27" s="209"/>
      <c r="C27" s="264" t="s">
        <v>242</v>
      </c>
      <c r="D27" s="226" t="s">
        <v>257</v>
      </c>
      <c r="E27" s="276" t="s">
        <v>125</v>
      </c>
      <c r="F27" s="276" t="s">
        <v>132</v>
      </c>
      <c r="G27" s="228" t="s">
        <v>239</v>
      </c>
      <c r="H27" s="276" t="s">
        <v>122</v>
      </c>
      <c r="I27" s="276" t="s">
        <v>129</v>
      </c>
      <c r="J27" s="292">
        <v>6.0</v>
      </c>
      <c r="K27" s="230">
        <v>0.0</v>
      </c>
      <c r="L27" s="231">
        <f>IF(AND(J27&gt;K27,J28&gt;K28),2,IF(J27&gt;K27,1,IF(J28&gt;K28,1,0)))</f>
        <v>1</v>
      </c>
      <c r="M27" s="231">
        <f>IF(AND(K27&gt;J27,K28&gt;J28),2,IF(K27&gt;J27,1,IF(K28&gt;J28,1,0)))</f>
        <v>0</v>
      </c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12.75" customHeight="1">
      <c r="A28" s="209"/>
      <c r="B28" s="209"/>
      <c r="C28" s="232"/>
      <c r="D28" s="233"/>
      <c r="E28" s="233"/>
      <c r="F28" s="233"/>
      <c r="G28" s="233"/>
      <c r="H28" s="233"/>
      <c r="I28" s="233"/>
      <c r="J28" s="293"/>
      <c r="K28" s="235"/>
      <c r="L28" s="233"/>
      <c r="M28" s="233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4.5" customHeight="1">
      <c r="A29" s="209"/>
      <c r="B29" s="209"/>
      <c r="C29" s="258"/>
      <c r="D29" s="111"/>
      <c r="E29" s="111"/>
      <c r="F29" s="111"/>
      <c r="G29" s="111"/>
      <c r="H29" s="111"/>
      <c r="I29" s="111"/>
      <c r="J29" s="111"/>
      <c r="K29" s="111"/>
      <c r="L29" s="111"/>
      <c r="M29" s="222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12.75" customHeight="1">
      <c r="A30" s="209"/>
      <c r="B30" s="209"/>
      <c r="C30" s="225" t="s">
        <v>264</v>
      </c>
      <c r="D30" s="226" t="s">
        <v>254</v>
      </c>
      <c r="E30" s="276" t="s">
        <v>79</v>
      </c>
      <c r="F30" s="276" t="s">
        <v>98</v>
      </c>
      <c r="G30" s="228" t="s">
        <v>239</v>
      </c>
      <c r="H30" s="276" t="s">
        <v>76</v>
      </c>
      <c r="I30" s="276" t="s">
        <v>405</v>
      </c>
      <c r="J30" s="292">
        <v>6.0</v>
      </c>
      <c r="K30" s="230">
        <v>2.0</v>
      </c>
      <c r="L30" s="231">
        <f>IF(AND(J30&gt;K30,J31&gt;K31),2,IF(J30&gt;K30,1,IF(J31&gt;K31,1,0)))</f>
        <v>1</v>
      </c>
      <c r="M30" s="231">
        <f>IF(AND(K30&gt;J30,K31&gt;J31),2,IF(K30&gt;J30,1,IF(K31&gt;J31,1,0)))</f>
        <v>0</v>
      </c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12.75" customHeight="1">
      <c r="A31" s="209"/>
      <c r="B31" s="209"/>
      <c r="C31" s="232"/>
      <c r="D31" s="233"/>
      <c r="E31" s="233"/>
      <c r="F31" s="233"/>
      <c r="G31" s="233"/>
      <c r="H31" s="233"/>
      <c r="I31" s="233"/>
      <c r="J31" s="293"/>
      <c r="K31" s="235"/>
      <c r="L31" s="233"/>
      <c r="M31" s="233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5.25" customHeight="1">
      <c r="A32" s="209"/>
      <c r="B32" s="209"/>
      <c r="C32" s="237"/>
      <c r="D32" s="111"/>
      <c r="E32" s="111"/>
      <c r="F32" s="111"/>
      <c r="G32" s="111"/>
      <c r="H32" s="111"/>
      <c r="I32" s="111"/>
      <c r="J32" s="111"/>
      <c r="K32" s="111"/>
      <c r="L32" s="111"/>
      <c r="M32" s="222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12.75" customHeight="1">
      <c r="A33" s="246"/>
      <c r="B33" s="209"/>
      <c r="C33" s="264" t="s">
        <v>325</v>
      </c>
      <c r="D33" s="226" t="s">
        <v>243</v>
      </c>
      <c r="E33" s="276" t="s">
        <v>58</v>
      </c>
      <c r="F33" s="276" t="s">
        <v>65</v>
      </c>
      <c r="G33" s="228" t="s">
        <v>239</v>
      </c>
      <c r="H33" s="276" t="s">
        <v>55</v>
      </c>
      <c r="I33" s="276" t="s">
        <v>62</v>
      </c>
      <c r="J33" s="292">
        <v>0.0</v>
      </c>
      <c r="K33" s="230">
        <v>0.0</v>
      </c>
      <c r="L33" s="231">
        <f>IF(AND(J33&gt;K33,J34&gt;K34),2,IF(J33&gt;K33,1,IF(J34&gt;K34,1,0)))</f>
        <v>0</v>
      </c>
      <c r="M33" s="231">
        <f>IF(AND(K33&gt;J33,K34&gt;J34),2,IF(K33&gt;J33,1,IF(K34&gt;J34,1,0)))</f>
        <v>0</v>
      </c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2.75" customHeight="1">
      <c r="A34" s="246"/>
      <c r="B34" s="209"/>
      <c r="C34" s="232"/>
      <c r="D34" s="233"/>
      <c r="E34" s="233"/>
      <c r="F34" s="233"/>
      <c r="G34" s="233"/>
      <c r="H34" s="233"/>
      <c r="I34" s="233"/>
      <c r="J34" s="293">
        <v>0.0</v>
      </c>
      <c r="K34" s="235">
        <v>0.0</v>
      </c>
      <c r="L34" s="233"/>
      <c r="M34" s="233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4.5" customHeight="1">
      <c r="A35" s="209"/>
      <c r="B35" s="209"/>
      <c r="C35" s="237"/>
      <c r="D35" s="111"/>
      <c r="E35" s="111"/>
      <c r="F35" s="111"/>
      <c r="G35" s="111"/>
      <c r="H35" s="111"/>
      <c r="I35" s="111"/>
      <c r="J35" s="111"/>
      <c r="K35" s="111"/>
      <c r="L35" s="111"/>
      <c r="M35" s="222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12.75" customHeight="1">
      <c r="A36" s="209"/>
      <c r="B36" s="209"/>
      <c r="C36" s="264" t="s">
        <v>325</v>
      </c>
      <c r="D36" s="226" t="s">
        <v>406</v>
      </c>
      <c r="E36" s="276" t="s">
        <v>86</v>
      </c>
      <c r="F36" s="276" t="s">
        <v>157</v>
      </c>
      <c r="G36" s="228" t="s">
        <v>239</v>
      </c>
      <c r="H36" s="276" t="s">
        <v>89</v>
      </c>
      <c r="I36" s="276" t="s">
        <v>47</v>
      </c>
      <c r="J36" s="292"/>
      <c r="K36" s="230"/>
      <c r="L36" s="231">
        <f>IF(AND(J36&gt;K36,J37&gt;K37),2,IF(J36&gt;K36,1,IF(J37&gt;K37,1,0)))</f>
        <v>0</v>
      </c>
      <c r="M36" s="231">
        <f>IF(AND(K36&gt;J36,K37&gt;J37),2,IF(K36&gt;J36,1,IF(K37&gt;J37,1,0)))</f>
        <v>0</v>
      </c>
      <c r="N36" s="257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32"/>
      <c r="D37" s="233"/>
      <c r="E37" s="233"/>
      <c r="F37" s="233"/>
      <c r="G37" s="233"/>
      <c r="H37" s="233"/>
      <c r="I37" s="233"/>
      <c r="J37" s="293"/>
      <c r="K37" s="235"/>
      <c r="L37" s="233"/>
      <c r="M37" s="233"/>
      <c r="N37" s="257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4.5" customHeight="1">
      <c r="A38" s="209"/>
      <c r="B38" s="209"/>
      <c r="C38" s="237"/>
      <c r="D38" s="111"/>
      <c r="E38" s="111"/>
      <c r="F38" s="111"/>
      <c r="G38" s="111"/>
      <c r="H38" s="111"/>
      <c r="I38" s="111"/>
      <c r="J38" s="111"/>
      <c r="K38" s="111"/>
      <c r="L38" s="111"/>
      <c r="M38" s="222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27.75" customHeight="1">
      <c r="A39" s="209"/>
      <c r="B39" s="209"/>
      <c r="C39" s="240"/>
      <c r="D39" s="111"/>
      <c r="E39" s="111"/>
      <c r="F39" s="111"/>
      <c r="G39" s="111"/>
      <c r="H39" s="111"/>
      <c r="I39" s="112"/>
      <c r="J39" s="241">
        <f t="shared" ref="J39:M39" si="2">SUM(J24:J37)</f>
        <v>62</v>
      </c>
      <c r="K39" s="241">
        <f t="shared" si="2"/>
        <v>33</v>
      </c>
      <c r="L39" s="241">
        <f t="shared" si="2"/>
        <v>9</v>
      </c>
      <c r="M39" s="241">
        <f t="shared" si="2"/>
        <v>1</v>
      </c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4.5" customHeight="1">
      <c r="A40" s="209"/>
      <c r="B40" s="209"/>
      <c r="C40" s="294"/>
      <c r="D40" s="123"/>
      <c r="E40" s="123"/>
      <c r="F40" s="123"/>
      <c r="G40" s="123"/>
      <c r="H40" s="123"/>
      <c r="I40" s="123"/>
      <c r="J40" s="123"/>
      <c r="K40" s="123"/>
      <c r="L40" s="123"/>
      <c r="M40" s="295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53.25" customHeight="1">
      <c r="A41" s="209"/>
      <c r="B41" s="209"/>
      <c r="C41" s="296"/>
      <c r="J41" s="297"/>
      <c r="K41" s="297"/>
      <c r="L41" s="297"/>
      <c r="M41" s="297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6.75" customHeight="1">
      <c r="A42" s="209"/>
      <c r="B42" s="209"/>
      <c r="C42" s="298"/>
      <c r="D42" s="266"/>
      <c r="E42" s="266"/>
      <c r="F42" s="266"/>
      <c r="G42" s="266"/>
      <c r="H42" s="266"/>
      <c r="I42" s="266"/>
      <c r="J42" s="266"/>
      <c r="K42" s="266"/>
      <c r="L42" s="266"/>
      <c r="M42" s="267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7.5" customHeight="1">
      <c r="A43" s="209"/>
      <c r="B43" s="209"/>
      <c r="C43" s="217" t="s">
        <v>260</v>
      </c>
      <c r="D43" s="213"/>
      <c r="E43" s="213"/>
      <c r="F43" s="213"/>
      <c r="G43" s="213"/>
      <c r="H43" s="213"/>
      <c r="I43" s="213"/>
      <c r="J43" s="213"/>
      <c r="K43" s="213"/>
      <c r="L43" s="213"/>
      <c r="M43" s="214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12.75" customHeight="1">
      <c r="A44" s="209"/>
      <c r="B44" s="209"/>
      <c r="C44" s="215"/>
      <c r="D44" s="185"/>
      <c r="E44" s="185"/>
      <c r="F44" s="185"/>
      <c r="G44" s="185"/>
      <c r="H44" s="185"/>
      <c r="I44" s="185"/>
      <c r="J44" s="185"/>
      <c r="K44" s="185"/>
      <c r="L44" s="185"/>
      <c r="M44" s="216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26.25" customHeight="1">
      <c r="A45" s="209"/>
      <c r="B45" s="209"/>
      <c r="C45" s="218" t="s">
        <v>237</v>
      </c>
      <c r="D45" s="219" t="s">
        <v>238</v>
      </c>
      <c r="E45" s="220" t="s">
        <v>15</v>
      </c>
      <c r="F45" s="112"/>
      <c r="G45" s="219"/>
      <c r="H45" s="220" t="s">
        <v>18</v>
      </c>
      <c r="I45" s="112"/>
      <c r="J45" s="221" t="s">
        <v>240</v>
      </c>
      <c r="K45" s="112"/>
      <c r="L45" s="221" t="s">
        <v>241</v>
      </c>
      <c r="M45" s="222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12.75" customHeight="1">
      <c r="A46" s="209"/>
      <c r="B46" s="209"/>
      <c r="C46" s="264" t="s">
        <v>281</v>
      </c>
      <c r="D46" s="226" t="s">
        <v>257</v>
      </c>
      <c r="E46" s="276" t="s">
        <v>120</v>
      </c>
      <c r="F46" s="276" t="s">
        <v>134</v>
      </c>
      <c r="G46" s="228" t="s">
        <v>239</v>
      </c>
      <c r="H46" s="276" t="s">
        <v>121</v>
      </c>
      <c r="I46" s="276" t="s">
        <v>135</v>
      </c>
      <c r="J46" s="229">
        <v>3.0</v>
      </c>
      <c r="K46" s="230">
        <v>6.0</v>
      </c>
      <c r="L46" s="231">
        <f>IF(AND(J46&gt;K46,J47&gt;K47),2,IF(J46&gt;K46,1,IF(J47&gt;K47,1,0)))</f>
        <v>0</v>
      </c>
      <c r="M46" s="231">
        <f>IF(AND(K46&gt;J46,K47&gt;J47),2,IF(K46&gt;J46,1,IF(K47&gt;J47,1,0)))</f>
        <v>2</v>
      </c>
      <c r="N46" s="257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32"/>
      <c r="D47" s="233"/>
      <c r="E47" s="233"/>
      <c r="F47" s="233"/>
      <c r="G47" s="233"/>
      <c r="H47" s="233"/>
      <c r="I47" s="233"/>
      <c r="J47" s="234">
        <v>4.0</v>
      </c>
      <c r="K47" s="235">
        <v>6.0</v>
      </c>
      <c r="L47" s="233"/>
      <c r="M47" s="233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4.5" customHeight="1">
      <c r="A48" s="209"/>
      <c r="B48" s="209"/>
      <c r="C48" s="258"/>
      <c r="D48" s="111"/>
      <c r="E48" s="111"/>
      <c r="F48" s="111"/>
      <c r="G48" s="111"/>
      <c r="H48" s="111"/>
      <c r="I48" s="111"/>
      <c r="J48" s="111"/>
      <c r="K48" s="111"/>
      <c r="L48" s="111"/>
      <c r="M48" s="222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64" t="s">
        <v>283</v>
      </c>
      <c r="D49" s="226" t="s">
        <v>243</v>
      </c>
      <c r="E49" s="276" t="s">
        <v>289</v>
      </c>
      <c r="F49" s="276" t="s">
        <v>67</v>
      </c>
      <c r="G49" s="228" t="s">
        <v>239</v>
      </c>
      <c r="H49" s="276" t="s">
        <v>54</v>
      </c>
      <c r="I49" s="276" t="s">
        <v>61</v>
      </c>
      <c r="J49" s="229">
        <v>6.0</v>
      </c>
      <c r="K49" s="230">
        <v>2.0</v>
      </c>
      <c r="L49" s="231">
        <f>IF(AND(J49&gt;K49,J50&gt;K50),2,IF(J49&gt;K49,1,IF(J50&gt;K50,1,0)))</f>
        <v>2</v>
      </c>
      <c r="M49" s="231">
        <f>IF(AND(K49&gt;J49,K50&gt;J50),2,IF(K49&gt;J49,1,IF(K50&gt;J50,1,0)))</f>
        <v>0</v>
      </c>
      <c r="N49" s="257" t="s">
        <v>407</v>
      </c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12.75" customHeight="1">
      <c r="A50" s="209"/>
      <c r="B50" s="209"/>
      <c r="C50" s="232"/>
      <c r="D50" s="233"/>
      <c r="E50" s="233"/>
      <c r="F50" s="233"/>
      <c r="G50" s="233"/>
      <c r="H50" s="233"/>
      <c r="I50" s="233"/>
      <c r="J50" s="234">
        <v>6.0</v>
      </c>
      <c r="K50" s="235">
        <v>3.0</v>
      </c>
      <c r="L50" s="233"/>
      <c r="M50" s="233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4.5" customHeight="1">
      <c r="A51" s="209"/>
      <c r="B51" s="209"/>
      <c r="C51" s="237"/>
      <c r="D51" s="111"/>
      <c r="E51" s="111"/>
      <c r="F51" s="111"/>
      <c r="G51" s="111"/>
      <c r="H51" s="111"/>
      <c r="I51" s="111"/>
      <c r="J51" s="111"/>
      <c r="K51" s="111"/>
      <c r="L51" s="111"/>
      <c r="M51" s="222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25" t="s">
        <v>325</v>
      </c>
      <c r="D52" s="226" t="s">
        <v>248</v>
      </c>
      <c r="E52" s="276" t="s">
        <v>165</v>
      </c>
      <c r="F52" s="276" t="s">
        <v>177</v>
      </c>
      <c r="G52" s="299" t="s">
        <v>239</v>
      </c>
      <c r="H52" s="276" t="s">
        <v>166</v>
      </c>
      <c r="I52" s="276" t="s">
        <v>172</v>
      </c>
      <c r="J52" s="292"/>
      <c r="K52" s="230"/>
      <c r="L52" s="231">
        <f>IF(AND(J52&gt;K52,J53&gt;K53),2,IF(J52&gt;K52,1,IF(J53&gt;K53,1,0)))</f>
        <v>0</v>
      </c>
      <c r="M52" s="231">
        <f>IF(AND(K52&gt;J52,K53&gt;J53),2,IF(K52&gt;J52,1,IF(K53&gt;J53,1,0)))</f>
        <v>0</v>
      </c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12.75" customHeight="1">
      <c r="A53" s="209"/>
      <c r="B53" s="209"/>
      <c r="C53" s="232"/>
      <c r="D53" s="233"/>
      <c r="E53" s="233"/>
      <c r="F53" s="233"/>
      <c r="G53" s="182"/>
      <c r="H53" s="233"/>
      <c r="I53" s="233"/>
      <c r="J53" s="293"/>
      <c r="K53" s="235"/>
      <c r="L53" s="233"/>
      <c r="M53" s="233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4.5" customHeight="1">
      <c r="A54" s="209"/>
      <c r="B54" s="209"/>
      <c r="C54" s="237"/>
      <c r="D54" s="111"/>
      <c r="E54" s="111"/>
      <c r="F54" s="111"/>
      <c r="G54" s="111"/>
      <c r="H54" s="111"/>
      <c r="I54" s="111"/>
      <c r="J54" s="111"/>
      <c r="K54" s="111"/>
      <c r="L54" s="111"/>
      <c r="M54" s="222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64" t="s">
        <v>408</v>
      </c>
      <c r="D55" s="238" t="s">
        <v>256</v>
      </c>
      <c r="E55" s="276" t="s">
        <v>141</v>
      </c>
      <c r="F55" s="276" t="s">
        <v>147</v>
      </c>
      <c r="G55" s="228" t="s">
        <v>239</v>
      </c>
      <c r="H55" s="276" t="s">
        <v>142</v>
      </c>
      <c r="I55" s="276" t="s">
        <v>273</v>
      </c>
      <c r="J55" s="300">
        <v>2.0</v>
      </c>
      <c r="K55" s="301">
        <v>6.0</v>
      </c>
      <c r="L55" s="231">
        <f>IF(AND(J55&gt;K55,J56&gt;K56),2,IF(J55&gt;K55,1,IF(J56&gt;K56,1,0)))</f>
        <v>0</v>
      </c>
      <c r="M55" s="231">
        <f>IF(AND(K55&gt;J55,K56&gt;J56),2,IF(K55&gt;J55,1,IF(K56&gt;J56,1,0)))</f>
        <v>2</v>
      </c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12.75" customHeight="1">
      <c r="A56" s="209"/>
      <c r="B56" s="209"/>
      <c r="C56" s="232"/>
      <c r="D56" s="233"/>
      <c r="E56" s="233"/>
      <c r="F56" s="233"/>
      <c r="G56" s="233"/>
      <c r="H56" s="233"/>
      <c r="I56" s="233"/>
      <c r="J56" s="302">
        <v>3.0</v>
      </c>
      <c r="K56" s="303">
        <v>6.0</v>
      </c>
      <c r="L56" s="233"/>
      <c r="M56" s="233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4.5" customHeight="1">
      <c r="A57" s="209"/>
      <c r="B57" s="209"/>
      <c r="C57" s="265"/>
      <c r="D57" s="266"/>
      <c r="E57" s="266"/>
      <c r="F57" s="266"/>
      <c r="G57" s="266"/>
      <c r="H57" s="266"/>
      <c r="I57" s="266"/>
      <c r="J57" s="266"/>
      <c r="K57" s="266"/>
      <c r="L57" s="266"/>
      <c r="M57" s="267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40"/>
      <c r="D58" s="111"/>
      <c r="E58" s="111"/>
      <c r="F58" s="111"/>
      <c r="G58" s="111"/>
      <c r="H58" s="111"/>
      <c r="I58" s="112"/>
      <c r="J58" s="241">
        <f t="shared" ref="J58:M58" si="3">SUM(J46:J56)</f>
        <v>24</v>
      </c>
      <c r="K58" s="241">
        <f t="shared" si="3"/>
        <v>29</v>
      </c>
      <c r="L58" s="241">
        <f t="shared" si="3"/>
        <v>2</v>
      </c>
      <c r="M58" s="241">
        <f t="shared" si="3"/>
        <v>4</v>
      </c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7.5" customHeight="1">
      <c r="A59" s="209"/>
      <c r="B59" s="209"/>
      <c r="C59" s="252"/>
      <c r="D59" s="111"/>
      <c r="E59" s="111"/>
      <c r="F59" s="111"/>
      <c r="G59" s="111"/>
      <c r="H59" s="111"/>
      <c r="I59" s="111"/>
      <c r="J59" s="111"/>
      <c r="K59" s="111"/>
      <c r="L59" s="111"/>
      <c r="M59" s="222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45"/>
      <c r="D60" s="111"/>
      <c r="E60" s="111"/>
      <c r="F60" s="111"/>
      <c r="G60" s="111"/>
      <c r="H60" s="111"/>
      <c r="I60" s="111"/>
      <c r="J60" s="111"/>
      <c r="K60" s="111"/>
      <c r="L60" s="111"/>
      <c r="M60" s="222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12.75" customHeight="1">
      <c r="A61" s="209"/>
      <c r="B61" s="209"/>
      <c r="C61" s="225" t="s">
        <v>323</v>
      </c>
      <c r="D61" s="226" t="s">
        <v>254</v>
      </c>
      <c r="E61" s="276" t="s">
        <v>45</v>
      </c>
      <c r="F61" s="276" t="s">
        <v>74</v>
      </c>
      <c r="G61" s="239" t="s">
        <v>239</v>
      </c>
      <c r="H61" s="276" t="s">
        <v>75</v>
      </c>
      <c r="I61" s="276" t="s">
        <v>82</v>
      </c>
      <c r="J61" s="229">
        <v>6.0</v>
      </c>
      <c r="K61" s="230">
        <v>2.0</v>
      </c>
      <c r="L61" s="231">
        <f>IF(AND(J61&gt;K61,J62&gt;K62),2,IF(J61&gt;K61,1,IF(J62&gt;K62,1,0)))</f>
        <v>1</v>
      </c>
      <c r="M61" s="231">
        <f>IF(AND(K61&gt;J61,K62&gt;J62),2,IF(K61&gt;J61,1,IF(K62&gt;J62,1,0)))</f>
        <v>1</v>
      </c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32"/>
      <c r="D62" s="233"/>
      <c r="E62" s="233"/>
      <c r="F62" s="233"/>
      <c r="G62" s="233"/>
      <c r="H62" s="233"/>
      <c r="I62" s="233"/>
      <c r="J62" s="234">
        <v>0.0</v>
      </c>
      <c r="K62" s="235">
        <v>6.0</v>
      </c>
      <c r="L62" s="233"/>
      <c r="M62" s="233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4.5" customHeight="1">
      <c r="A63" s="209"/>
      <c r="B63" s="209"/>
      <c r="C63" s="237"/>
      <c r="D63" s="111"/>
      <c r="E63" s="111"/>
      <c r="F63" s="111"/>
      <c r="G63" s="111"/>
      <c r="H63" s="111"/>
      <c r="I63" s="111"/>
      <c r="J63" s="111"/>
      <c r="K63" s="111"/>
      <c r="L63" s="111"/>
      <c r="M63" s="222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25" t="s">
        <v>323</v>
      </c>
      <c r="D64" s="226" t="s">
        <v>251</v>
      </c>
      <c r="E64" s="276" t="s">
        <v>81</v>
      </c>
      <c r="F64" s="276" t="s">
        <v>152</v>
      </c>
      <c r="G64" s="228" t="s">
        <v>239</v>
      </c>
      <c r="H64" s="276" t="s">
        <v>88</v>
      </c>
      <c r="I64" s="276" t="s">
        <v>148</v>
      </c>
      <c r="J64" s="229">
        <v>6.0</v>
      </c>
      <c r="K64" s="230">
        <v>7.0</v>
      </c>
      <c r="L64" s="231">
        <f>IF(AND(J64&gt;K64,J65&gt;K65),2,IF(J64&gt;K64,1,IF(J65&gt;K65,1,0)))</f>
        <v>1</v>
      </c>
      <c r="M64" s="231">
        <f>IF(AND(K64&gt;J64,K65&gt;J65),2,IF(K64&gt;J64,1,IF(K65&gt;J65,1,0)))</f>
        <v>1</v>
      </c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12.75" customHeight="1">
      <c r="A65" s="209"/>
      <c r="B65" s="209"/>
      <c r="C65" s="232"/>
      <c r="D65" s="233"/>
      <c r="E65" s="233"/>
      <c r="F65" s="233"/>
      <c r="G65" s="233"/>
      <c r="H65" s="233"/>
      <c r="I65" s="233"/>
      <c r="J65" s="234">
        <v>7.0</v>
      </c>
      <c r="K65" s="235">
        <v>5.0</v>
      </c>
      <c r="L65" s="233"/>
      <c r="M65" s="233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4.5" customHeight="1">
      <c r="A66" s="209"/>
      <c r="B66" s="209"/>
      <c r="C66" s="237"/>
      <c r="D66" s="111"/>
      <c r="E66" s="111"/>
      <c r="F66" s="111"/>
      <c r="G66" s="111"/>
      <c r="H66" s="111"/>
      <c r="I66" s="111"/>
      <c r="J66" s="111"/>
      <c r="K66" s="111"/>
      <c r="L66" s="111"/>
      <c r="M66" s="222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25" t="s">
        <v>324</v>
      </c>
      <c r="D67" s="226" t="s">
        <v>256</v>
      </c>
      <c r="E67" s="276" t="s">
        <v>182</v>
      </c>
      <c r="F67" s="276" t="s">
        <v>188</v>
      </c>
      <c r="G67" s="228" t="s">
        <v>239</v>
      </c>
      <c r="H67" s="276" t="s">
        <v>183</v>
      </c>
      <c r="I67" s="276" t="s">
        <v>195</v>
      </c>
      <c r="J67" s="229">
        <v>6.0</v>
      </c>
      <c r="K67" s="230">
        <v>3.0</v>
      </c>
      <c r="L67" s="231">
        <f>IF(AND(J67&gt;K67,J68&gt;K68),2,IF(J67&gt;K67,1,IF(J68&gt;K68,1,0)))</f>
        <v>2</v>
      </c>
      <c r="M67" s="231">
        <f>IF(AND(K67&gt;J67,K68&gt;J68),2,IF(K67&gt;J67,1,IF(K68&gt;J68,1,0)))</f>
        <v>0</v>
      </c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12.75" customHeight="1">
      <c r="A68" s="209"/>
      <c r="B68" s="209"/>
      <c r="C68" s="232"/>
      <c r="D68" s="233"/>
      <c r="E68" s="233"/>
      <c r="F68" s="233"/>
      <c r="G68" s="233"/>
      <c r="H68" s="233"/>
      <c r="I68" s="233"/>
      <c r="J68" s="234">
        <v>7.0</v>
      </c>
      <c r="K68" s="235">
        <v>5.0</v>
      </c>
      <c r="L68" s="233"/>
      <c r="M68" s="233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4.5" customHeight="1">
      <c r="A69" s="209"/>
      <c r="B69" s="209"/>
      <c r="C69" s="237"/>
      <c r="D69" s="111"/>
      <c r="E69" s="111"/>
      <c r="F69" s="111"/>
      <c r="G69" s="111"/>
      <c r="H69" s="111"/>
      <c r="I69" s="111"/>
      <c r="J69" s="111"/>
      <c r="K69" s="111"/>
      <c r="L69" s="111"/>
      <c r="M69" s="222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25" t="s">
        <v>324</v>
      </c>
      <c r="D70" s="226" t="s">
        <v>244</v>
      </c>
      <c r="E70" s="276" t="s">
        <v>114</v>
      </c>
      <c r="F70" s="276" t="s">
        <v>107</v>
      </c>
      <c r="G70" s="228" t="s">
        <v>239</v>
      </c>
      <c r="H70" s="276" t="s">
        <v>101</v>
      </c>
      <c r="I70" s="276" t="s">
        <v>108</v>
      </c>
      <c r="J70" s="292">
        <v>4.0</v>
      </c>
      <c r="K70" s="230">
        <v>6.0</v>
      </c>
      <c r="L70" s="231">
        <f>IF(AND(J70&gt;K70,J71&gt;K71),2,IF(J70&gt;K70,1,IF(J71&gt;K71,1,0)))</f>
        <v>0</v>
      </c>
      <c r="M70" s="231">
        <f>IF(AND(K70&gt;J70,K71&gt;J71),2,IF(K70&gt;J70,1,IF(K71&gt;J71,1,0)))</f>
        <v>2</v>
      </c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12.75" customHeight="1">
      <c r="A71" s="209"/>
      <c r="B71" s="209"/>
      <c r="C71" s="232"/>
      <c r="D71" s="233"/>
      <c r="E71" s="233"/>
      <c r="F71" s="233"/>
      <c r="G71" s="233"/>
      <c r="H71" s="233"/>
      <c r="I71" s="233"/>
      <c r="J71" s="293">
        <v>6.0</v>
      </c>
      <c r="K71" s="235">
        <v>7.0</v>
      </c>
      <c r="L71" s="233"/>
      <c r="M71" s="233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4.5" customHeight="1">
      <c r="A72" s="209"/>
      <c r="B72" s="209"/>
      <c r="C72" s="237"/>
      <c r="D72" s="111"/>
      <c r="E72" s="111"/>
      <c r="F72" s="111"/>
      <c r="G72" s="111"/>
      <c r="H72" s="111"/>
      <c r="I72" s="111"/>
      <c r="J72" s="111"/>
      <c r="K72" s="111"/>
      <c r="L72" s="111"/>
      <c r="M72" s="222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24.0" customHeight="1">
      <c r="A73" s="209"/>
      <c r="B73" s="209"/>
      <c r="C73" s="240"/>
      <c r="D73" s="111"/>
      <c r="E73" s="111"/>
      <c r="F73" s="111"/>
      <c r="G73" s="111"/>
      <c r="H73" s="111"/>
      <c r="I73" s="112"/>
      <c r="J73" s="241">
        <f t="shared" ref="J73:M73" si="4">SUM(J58:J71)</f>
        <v>66</v>
      </c>
      <c r="K73" s="241">
        <f t="shared" si="4"/>
        <v>70</v>
      </c>
      <c r="L73" s="241">
        <f t="shared" si="4"/>
        <v>6</v>
      </c>
      <c r="M73" s="241">
        <f t="shared" si="4"/>
        <v>8</v>
      </c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6.75" customHeight="1">
      <c r="A74" s="209"/>
      <c r="B74" s="209"/>
      <c r="C74" s="252"/>
      <c r="D74" s="111"/>
      <c r="E74" s="111"/>
      <c r="F74" s="111"/>
      <c r="G74" s="111"/>
      <c r="H74" s="111"/>
      <c r="I74" s="111"/>
      <c r="J74" s="111"/>
      <c r="K74" s="111"/>
      <c r="L74" s="111"/>
      <c r="M74" s="222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12.75" customHeight="1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12.75" customHeight="1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12.75" customHeight="1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12.75" customHeight="1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12.75" customHeight="1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12.75" customHeight="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12.75" customHeight="1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12.75" customHeight="1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12.75" customHeight="1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12.75" customHeight="1">
      <c r="A103" s="209"/>
      <c r="B103" s="209"/>
      <c r="C103" s="209"/>
      <c r="D103" s="209"/>
      <c r="E103" s="209"/>
      <c r="F103" s="209" t="s">
        <v>262</v>
      </c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12.75" customHeight="1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12.75" customHeight="1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12.75" customHeight="1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12.75" customHeight="1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  <row r="1001" ht="12.75" customHeight="1">
      <c r="A1001" s="209"/>
      <c r="B1001" s="209"/>
      <c r="C1001" s="209"/>
      <c r="D1001" s="209"/>
      <c r="E1001" s="209"/>
      <c r="F1001" s="209"/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09"/>
      <c r="Z1001" s="209"/>
    </row>
    <row r="1002" ht="12.75" customHeight="1">
      <c r="A1002" s="209"/>
      <c r="B1002" s="209"/>
      <c r="C1002" s="209"/>
      <c r="D1002" s="209"/>
      <c r="E1002" s="209"/>
      <c r="F1002" s="209"/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09"/>
      <c r="Z1002" s="209"/>
    </row>
    <row r="1003" ht="12.75" customHeight="1">
      <c r="A1003" s="209"/>
      <c r="B1003" s="209"/>
      <c r="C1003" s="209"/>
      <c r="D1003" s="209"/>
      <c r="E1003" s="209"/>
      <c r="F1003" s="209"/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  <c r="S1003" s="209"/>
      <c r="T1003" s="209"/>
      <c r="U1003" s="209"/>
      <c r="V1003" s="209"/>
      <c r="W1003" s="209"/>
      <c r="X1003" s="209"/>
      <c r="Y1003" s="209"/>
      <c r="Z1003" s="209"/>
    </row>
    <row r="1004" ht="12.75" customHeight="1">
      <c r="A1004" s="209"/>
      <c r="B1004" s="209"/>
      <c r="C1004" s="209"/>
      <c r="D1004" s="209"/>
      <c r="E1004" s="209"/>
      <c r="F1004" s="209"/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  <c r="S1004" s="209"/>
      <c r="T1004" s="209"/>
      <c r="U1004" s="209"/>
      <c r="V1004" s="209"/>
      <c r="W1004" s="209"/>
      <c r="X1004" s="209"/>
      <c r="Y1004" s="209"/>
      <c r="Z1004" s="209"/>
    </row>
    <row r="1005" ht="12.75" customHeight="1">
      <c r="A1005" s="209"/>
      <c r="B1005" s="209"/>
      <c r="C1005" s="209"/>
      <c r="D1005" s="209"/>
      <c r="E1005" s="209"/>
      <c r="F1005" s="209"/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  <c r="S1005" s="209"/>
      <c r="T1005" s="209"/>
      <c r="U1005" s="209"/>
      <c r="V1005" s="209"/>
      <c r="W1005" s="209"/>
      <c r="X1005" s="209"/>
      <c r="Y1005" s="209"/>
      <c r="Z1005" s="209"/>
    </row>
    <row r="1006" ht="12.75" customHeight="1">
      <c r="A1006" s="209"/>
      <c r="B1006" s="209"/>
      <c r="C1006" s="209"/>
      <c r="D1006" s="209"/>
      <c r="E1006" s="209"/>
      <c r="F1006" s="209"/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  <c r="S1006" s="209"/>
      <c r="T1006" s="209"/>
      <c r="U1006" s="209"/>
      <c r="V1006" s="209"/>
      <c r="W1006" s="209"/>
      <c r="X1006" s="209"/>
      <c r="Y1006" s="209"/>
      <c r="Z1006" s="209"/>
    </row>
  </sheetData>
  <mergeCells count="182">
    <mergeCell ref="H45:I45"/>
    <mergeCell ref="J45:K45"/>
    <mergeCell ref="C38:M38"/>
    <mergeCell ref="C39:I39"/>
    <mergeCell ref="C40:M40"/>
    <mergeCell ref="C41:I41"/>
    <mergeCell ref="C42:M42"/>
    <mergeCell ref="C43:M44"/>
    <mergeCell ref="L45:M45"/>
    <mergeCell ref="H61:H62"/>
    <mergeCell ref="I61:I62"/>
    <mergeCell ref="L61:L62"/>
    <mergeCell ref="M61:M62"/>
    <mergeCell ref="C57:M57"/>
    <mergeCell ref="C58:I58"/>
    <mergeCell ref="C59:M59"/>
    <mergeCell ref="C60:M60"/>
    <mergeCell ref="C61:C62"/>
    <mergeCell ref="D61:D62"/>
    <mergeCell ref="E61:E62"/>
    <mergeCell ref="I64:I65"/>
    <mergeCell ref="L64:L65"/>
    <mergeCell ref="F61:F62"/>
    <mergeCell ref="G61:G62"/>
    <mergeCell ref="C63:M63"/>
    <mergeCell ref="C64:C65"/>
    <mergeCell ref="D64:D65"/>
    <mergeCell ref="E64:E65"/>
    <mergeCell ref="F64:F65"/>
    <mergeCell ref="M64:M65"/>
    <mergeCell ref="I67:I68"/>
    <mergeCell ref="L67:L68"/>
    <mergeCell ref="G64:G65"/>
    <mergeCell ref="H64:H65"/>
    <mergeCell ref="C66:M66"/>
    <mergeCell ref="C67:C68"/>
    <mergeCell ref="D67:D68"/>
    <mergeCell ref="E67:E68"/>
    <mergeCell ref="F67:F68"/>
    <mergeCell ref="M67:M68"/>
    <mergeCell ref="I70:I71"/>
    <mergeCell ref="L70:L71"/>
    <mergeCell ref="G67:G68"/>
    <mergeCell ref="H67:H68"/>
    <mergeCell ref="C69:M69"/>
    <mergeCell ref="C70:C71"/>
    <mergeCell ref="D70:D71"/>
    <mergeCell ref="E70:E71"/>
    <mergeCell ref="F70:F71"/>
    <mergeCell ref="M70:M71"/>
    <mergeCell ref="L21:L22"/>
    <mergeCell ref="M21:M22"/>
    <mergeCell ref="L27:L28"/>
    <mergeCell ref="M27:M28"/>
    <mergeCell ref="D21:D22"/>
    <mergeCell ref="E21:E22"/>
    <mergeCell ref="F21:F22"/>
    <mergeCell ref="G21:G22"/>
    <mergeCell ref="H21:H22"/>
    <mergeCell ref="I21:I22"/>
    <mergeCell ref="C23:M23"/>
    <mergeCell ref="I27:I28"/>
    <mergeCell ref="C29:M29"/>
    <mergeCell ref="C21:C22"/>
    <mergeCell ref="C27:C28"/>
    <mergeCell ref="D27:D28"/>
    <mergeCell ref="E27:E28"/>
    <mergeCell ref="F27:F28"/>
    <mergeCell ref="G27:G28"/>
    <mergeCell ref="H27:H28"/>
    <mergeCell ref="L30:L31"/>
    <mergeCell ref="M30:M31"/>
    <mergeCell ref="L33:L34"/>
    <mergeCell ref="M33:M34"/>
    <mergeCell ref="I33:I34"/>
    <mergeCell ref="C35:M35"/>
    <mergeCell ref="G70:G71"/>
    <mergeCell ref="H70:H71"/>
    <mergeCell ref="C72:M72"/>
    <mergeCell ref="C73:I73"/>
    <mergeCell ref="C74:M74"/>
    <mergeCell ref="C1:M3"/>
    <mergeCell ref="C6:M6"/>
    <mergeCell ref="C7:M8"/>
    <mergeCell ref="C9:M10"/>
    <mergeCell ref="H11:I11"/>
    <mergeCell ref="J11:K11"/>
    <mergeCell ref="L11:M11"/>
    <mergeCell ref="I12:I13"/>
    <mergeCell ref="L12:L13"/>
    <mergeCell ref="M12:M13"/>
    <mergeCell ref="C14:M14"/>
    <mergeCell ref="E11:F11"/>
    <mergeCell ref="C12:C13"/>
    <mergeCell ref="D12:D13"/>
    <mergeCell ref="E12:E13"/>
    <mergeCell ref="F12:F13"/>
    <mergeCell ref="G12:G13"/>
    <mergeCell ref="H12:H13"/>
    <mergeCell ref="L15:L16"/>
    <mergeCell ref="M15:M16"/>
    <mergeCell ref="L18:L19"/>
    <mergeCell ref="M18:M19"/>
    <mergeCell ref="D15:D16"/>
    <mergeCell ref="E15:E16"/>
    <mergeCell ref="F15:F16"/>
    <mergeCell ref="G15:G16"/>
    <mergeCell ref="H15:H16"/>
    <mergeCell ref="I15:I16"/>
    <mergeCell ref="C17:M17"/>
    <mergeCell ref="I18:I19"/>
    <mergeCell ref="C20:M20"/>
    <mergeCell ref="C15:C16"/>
    <mergeCell ref="C18:C19"/>
    <mergeCell ref="D18:D19"/>
    <mergeCell ref="E18:E19"/>
    <mergeCell ref="F18:F19"/>
    <mergeCell ref="G18:G19"/>
    <mergeCell ref="H18:H19"/>
    <mergeCell ref="D30:D31"/>
    <mergeCell ref="E30:E31"/>
    <mergeCell ref="F30:F31"/>
    <mergeCell ref="G30:G31"/>
    <mergeCell ref="H30:H31"/>
    <mergeCell ref="I30:I31"/>
    <mergeCell ref="C32:M32"/>
    <mergeCell ref="C30:C31"/>
    <mergeCell ref="C33:C34"/>
    <mergeCell ref="D33:D34"/>
    <mergeCell ref="E33:E34"/>
    <mergeCell ref="F33:F34"/>
    <mergeCell ref="G33:G34"/>
    <mergeCell ref="H33:H34"/>
    <mergeCell ref="L36:L37"/>
    <mergeCell ref="M36:M37"/>
    <mergeCell ref="C36:C37"/>
    <mergeCell ref="D36:D37"/>
    <mergeCell ref="E36:E37"/>
    <mergeCell ref="F36:F37"/>
    <mergeCell ref="G36:G37"/>
    <mergeCell ref="H36:H37"/>
    <mergeCell ref="I36:I37"/>
    <mergeCell ref="I46:I47"/>
    <mergeCell ref="L46:L47"/>
    <mergeCell ref="M46:M47"/>
    <mergeCell ref="C48:M48"/>
    <mergeCell ref="E45:F45"/>
    <mergeCell ref="C46:C47"/>
    <mergeCell ref="D46:D47"/>
    <mergeCell ref="E46:E47"/>
    <mergeCell ref="F46:F47"/>
    <mergeCell ref="G46:G47"/>
    <mergeCell ref="H46:H47"/>
    <mergeCell ref="L49:L50"/>
    <mergeCell ref="M49:M50"/>
    <mergeCell ref="D49:D50"/>
    <mergeCell ref="E49:E50"/>
    <mergeCell ref="F49:F50"/>
    <mergeCell ref="G49:G50"/>
    <mergeCell ref="H49:H50"/>
    <mergeCell ref="I49:I50"/>
    <mergeCell ref="C51:M51"/>
    <mergeCell ref="I52:I53"/>
    <mergeCell ref="L52:L53"/>
    <mergeCell ref="M52:M53"/>
    <mergeCell ref="C54:M54"/>
    <mergeCell ref="C49:C50"/>
    <mergeCell ref="C52:C53"/>
    <mergeCell ref="D52:D53"/>
    <mergeCell ref="E52:E53"/>
    <mergeCell ref="F52:F53"/>
    <mergeCell ref="G52:G53"/>
    <mergeCell ref="H52:H53"/>
    <mergeCell ref="L55:L56"/>
    <mergeCell ref="M55:M56"/>
    <mergeCell ref="C55:C56"/>
    <mergeCell ref="D55:D56"/>
    <mergeCell ref="E55:E56"/>
    <mergeCell ref="F55:F56"/>
    <mergeCell ref="G55:G56"/>
    <mergeCell ref="H55:H56"/>
    <mergeCell ref="I55:I5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2.29"/>
    <col customWidth="1" min="3" max="3" width="22.57"/>
    <col customWidth="1" min="4" max="4" width="22.71"/>
    <col customWidth="1" min="5" max="5" width="4.86"/>
    <col customWidth="1" min="6" max="7" width="22.71"/>
    <col customWidth="1" min="8" max="11" width="6.86"/>
    <col customWidth="1" min="12" max="13" width="9.14"/>
    <col customWidth="1" min="14" max="26" width="8.0"/>
  </cols>
  <sheetData>
    <row r="1" ht="12.75" customHeight="1">
      <c r="A1" s="304" t="s">
        <v>275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</row>
    <row r="2" ht="12.75" customHeight="1"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ht="12.75" customHeight="1"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</row>
    <row r="4" ht="12.75" customHeight="1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</row>
    <row r="5" ht="13.5" customHeigh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</row>
    <row r="6" ht="19.5" customHeight="1">
      <c r="A6" s="211" t="s">
        <v>409</v>
      </c>
      <c r="B6" s="8"/>
      <c r="C6" s="8"/>
      <c r="D6" s="8"/>
      <c r="E6" s="8"/>
      <c r="F6" s="8"/>
      <c r="G6" s="8"/>
      <c r="H6" s="8"/>
      <c r="I6" s="8"/>
      <c r="J6" s="8"/>
      <c r="K6" s="9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</row>
    <row r="7" ht="4.5" customHeight="1">
      <c r="A7" s="281"/>
      <c r="B7" s="213"/>
      <c r="C7" s="213"/>
      <c r="D7" s="213"/>
      <c r="E7" s="213"/>
      <c r="F7" s="213"/>
      <c r="G7" s="213"/>
      <c r="H7" s="213"/>
      <c r="I7" s="213"/>
      <c r="J7" s="213"/>
      <c r="K7" s="214"/>
      <c r="L7" s="209"/>
      <c r="M7" s="209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</row>
    <row r="8" ht="3.0" customHeight="1">
      <c r="A8" s="215"/>
      <c r="B8" s="185"/>
      <c r="C8" s="185"/>
      <c r="D8" s="185"/>
      <c r="E8" s="185"/>
      <c r="F8" s="185"/>
      <c r="G8" s="185"/>
      <c r="H8" s="185"/>
      <c r="I8" s="185"/>
      <c r="J8" s="185"/>
      <c r="K8" s="216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</row>
    <row r="9" ht="12.75" customHeight="1">
      <c r="A9" s="268" t="s">
        <v>410</v>
      </c>
      <c r="B9" s="213"/>
      <c r="C9" s="213"/>
      <c r="D9" s="213"/>
      <c r="E9" s="213"/>
      <c r="F9" s="213"/>
      <c r="G9" s="213"/>
      <c r="H9" s="213"/>
      <c r="I9" s="213"/>
      <c r="J9" s="213"/>
      <c r="K9" s="214"/>
      <c r="L9" s="209"/>
      <c r="M9" s="209"/>
      <c r="N9" s="209"/>
      <c r="O9" s="209"/>
      <c r="P9" s="209"/>
      <c r="Q9" s="209"/>
      <c r="R9" s="209"/>
      <c r="S9" s="209"/>
      <c r="T9" s="209"/>
      <c r="U9" s="209"/>
      <c r="V9" s="209"/>
      <c r="W9" s="209"/>
      <c r="X9" s="209"/>
      <c r="Y9" s="209"/>
      <c r="Z9" s="209"/>
    </row>
    <row r="10" ht="12.75" customHeight="1">
      <c r="A10" s="215"/>
      <c r="B10" s="185"/>
      <c r="C10" s="185"/>
      <c r="D10" s="185"/>
      <c r="E10" s="185"/>
      <c r="F10" s="185"/>
      <c r="G10" s="185"/>
      <c r="H10" s="185"/>
      <c r="I10" s="185"/>
      <c r="J10" s="185"/>
      <c r="K10" s="216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209"/>
      <c r="Y10" s="209"/>
      <c r="Z10" s="209"/>
    </row>
    <row r="11" ht="19.5" customHeight="1">
      <c r="A11" s="305" t="s">
        <v>237</v>
      </c>
      <c r="B11" s="306" t="s">
        <v>238</v>
      </c>
      <c r="C11" s="307" t="s">
        <v>411</v>
      </c>
      <c r="D11" s="112"/>
      <c r="E11" s="306"/>
      <c r="F11" s="307" t="s">
        <v>412</v>
      </c>
      <c r="G11" s="112"/>
      <c r="H11" s="308" t="s">
        <v>240</v>
      </c>
      <c r="I11" s="112"/>
      <c r="J11" s="308" t="s">
        <v>241</v>
      </c>
      <c r="K11" s="222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</row>
    <row r="12" ht="21.0" customHeight="1">
      <c r="A12" s="309" t="s">
        <v>242</v>
      </c>
      <c r="B12" s="310" t="s">
        <v>257</v>
      </c>
      <c r="C12" s="311" t="s">
        <v>125</v>
      </c>
      <c r="D12" s="311" t="s">
        <v>132</v>
      </c>
      <c r="E12" s="312" t="s">
        <v>239</v>
      </c>
      <c r="F12" s="311" t="s">
        <v>121</v>
      </c>
      <c r="G12" s="311" t="s">
        <v>135</v>
      </c>
      <c r="H12" s="313">
        <v>6.0</v>
      </c>
      <c r="I12" s="314">
        <v>4.0</v>
      </c>
      <c r="J12" s="315">
        <f>IF(AND(H12&gt;I12,H13&gt;I13),2,IF(H12&gt;I12,1,IF(H13&gt;I13,1,0)))</f>
        <v>1</v>
      </c>
      <c r="K12" s="315">
        <f>IF(AND(I12&gt;H12,I13&gt;H13),2,IF(I12&gt;H12,1,IF(I13&gt;H13,1,0)))</f>
        <v>1</v>
      </c>
      <c r="L12" s="209"/>
      <c r="M12" s="209"/>
      <c r="N12" s="209"/>
      <c r="O12" s="209"/>
      <c r="P12" s="209"/>
      <c r="Q12" s="209"/>
      <c r="R12" s="209"/>
      <c r="S12" s="209"/>
      <c r="T12" s="209"/>
      <c r="U12" s="209"/>
      <c r="V12" s="209"/>
      <c r="W12" s="209"/>
      <c r="X12" s="209"/>
      <c r="Y12" s="209"/>
      <c r="Z12" s="209"/>
    </row>
    <row r="13" ht="21.0" customHeight="1">
      <c r="A13" s="232"/>
      <c r="B13" s="233"/>
      <c r="C13" s="233"/>
      <c r="D13" s="233"/>
      <c r="E13" s="233"/>
      <c r="F13" s="233"/>
      <c r="G13" s="233"/>
      <c r="H13" s="316">
        <v>2.0</v>
      </c>
      <c r="I13" s="317">
        <v>6.0</v>
      </c>
      <c r="J13" s="233"/>
      <c r="K13" s="233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</row>
    <row r="14" ht="4.5" customHeight="1">
      <c r="A14" s="318"/>
      <c r="B14" s="111"/>
      <c r="C14" s="111"/>
      <c r="D14" s="111"/>
      <c r="E14" s="111"/>
      <c r="F14" s="111"/>
      <c r="G14" s="111"/>
      <c r="H14" s="111"/>
      <c r="I14" s="111"/>
      <c r="J14" s="111"/>
      <c r="K14" s="222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</row>
    <row r="15" ht="21.0" customHeight="1">
      <c r="A15" s="309" t="s">
        <v>242</v>
      </c>
      <c r="B15" s="310" t="s">
        <v>244</v>
      </c>
      <c r="C15" s="319" t="s">
        <v>105</v>
      </c>
      <c r="D15" s="319" t="s">
        <v>112</v>
      </c>
      <c r="E15" s="312" t="s">
        <v>239</v>
      </c>
      <c r="F15" s="319" t="s">
        <v>101</v>
      </c>
      <c r="G15" s="319" t="s">
        <v>108</v>
      </c>
      <c r="H15" s="313">
        <v>6.0</v>
      </c>
      <c r="I15" s="314">
        <v>2.0</v>
      </c>
      <c r="J15" s="315">
        <f>IF(AND(H15&gt;I15,H16&gt;I16),2,IF(H15&gt;I15,1,IF(H16&gt;I16,1,0)))</f>
        <v>2</v>
      </c>
      <c r="K15" s="315">
        <f>IF(AND(I15&gt;H15,I16&gt;H16),2,IF(I15&gt;H15,1,IF(I16&gt;H16,1,0)))</f>
        <v>0</v>
      </c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</row>
    <row r="16" ht="21.0" customHeight="1">
      <c r="A16" s="232"/>
      <c r="B16" s="233"/>
      <c r="C16" s="233"/>
      <c r="D16" s="233"/>
      <c r="E16" s="233"/>
      <c r="F16" s="233"/>
      <c r="G16" s="233"/>
      <c r="H16" s="316">
        <v>6.0</v>
      </c>
      <c r="I16" s="317">
        <v>1.0</v>
      </c>
      <c r="J16" s="233"/>
      <c r="K16" s="233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209"/>
    </row>
    <row r="17" ht="4.5" customHeight="1">
      <c r="A17" s="320"/>
      <c r="B17" s="111"/>
      <c r="C17" s="111"/>
      <c r="D17" s="111"/>
      <c r="E17" s="111"/>
      <c r="F17" s="111"/>
      <c r="G17" s="111"/>
      <c r="H17" s="111"/>
      <c r="I17" s="111"/>
      <c r="J17" s="111"/>
      <c r="K17" s="222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</row>
    <row r="18" ht="21.0" customHeight="1">
      <c r="A18" s="309" t="s">
        <v>242</v>
      </c>
      <c r="B18" s="310" t="s">
        <v>254</v>
      </c>
      <c r="C18" s="319" t="s">
        <v>79</v>
      </c>
      <c r="D18" s="319" t="s">
        <v>413</v>
      </c>
      <c r="E18" s="312" t="s">
        <v>239</v>
      </c>
      <c r="F18" s="319" t="s">
        <v>75</v>
      </c>
      <c r="G18" s="319" t="s">
        <v>82</v>
      </c>
      <c r="H18" s="313">
        <v>6.0</v>
      </c>
      <c r="I18" s="314">
        <v>7.0</v>
      </c>
      <c r="J18" s="315">
        <f>IF(AND(H18&gt;I18,H19&gt;I19),2,IF(H18&gt;I18,1,IF(H19&gt;I19,1,0)))</f>
        <v>1</v>
      </c>
      <c r="K18" s="315">
        <f>IF(AND(I18&gt;H18,I19&gt;H19),2,IF(I18&gt;H18,1,IF(I19&gt;H19,1,0)))</f>
        <v>1</v>
      </c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</row>
    <row r="19" ht="21.0" customHeight="1">
      <c r="A19" s="232"/>
      <c r="B19" s="233"/>
      <c r="C19" s="233"/>
      <c r="D19" s="233"/>
      <c r="E19" s="233"/>
      <c r="F19" s="233"/>
      <c r="G19" s="233"/>
      <c r="H19" s="316">
        <v>6.0</v>
      </c>
      <c r="I19" s="317">
        <v>1.0</v>
      </c>
      <c r="J19" s="233"/>
      <c r="K19" s="233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</row>
    <row r="20" ht="4.5" customHeight="1">
      <c r="A20" s="320"/>
      <c r="B20" s="111"/>
      <c r="C20" s="111"/>
      <c r="D20" s="111"/>
      <c r="E20" s="111"/>
      <c r="F20" s="111"/>
      <c r="G20" s="111"/>
      <c r="H20" s="111"/>
      <c r="I20" s="111"/>
      <c r="J20" s="111"/>
      <c r="K20" s="222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</row>
    <row r="21" ht="21.0" customHeight="1">
      <c r="A21" s="321" t="s">
        <v>365</v>
      </c>
      <c r="B21" s="322" t="s">
        <v>256</v>
      </c>
      <c r="C21" s="319" t="s">
        <v>187</v>
      </c>
      <c r="D21" s="319" t="s">
        <v>199</v>
      </c>
      <c r="E21" s="312" t="s">
        <v>239</v>
      </c>
      <c r="F21" s="319" t="s">
        <v>183</v>
      </c>
      <c r="G21" s="319" t="s">
        <v>195</v>
      </c>
      <c r="H21" s="313">
        <v>6.0</v>
      </c>
      <c r="I21" s="314">
        <v>4.0</v>
      </c>
      <c r="J21" s="315">
        <f>IF(AND(H21&gt;I21,H22&gt;I22),2,IF(H21&gt;I21,1,IF(H22&gt;I22,1,0)))</f>
        <v>2</v>
      </c>
      <c r="K21" s="315">
        <f>IF(AND(I21&gt;H21,I22&gt;H22),2,IF(I21&gt;H21,1,IF(I22&gt;H22,1,0)))</f>
        <v>0</v>
      </c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</row>
    <row r="22" ht="21.0" customHeight="1">
      <c r="A22" s="232"/>
      <c r="B22" s="233"/>
      <c r="C22" s="233"/>
      <c r="D22" s="233"/>
      <c r="E22" s="233"/>
      <c r="F22" s="233"/>
      <c r="G22" s="233"/>
      <c r="H22" s="316">
        <v>6.0</v>
      </c>
      <c r="I22" s="317">
        <v>3.0</v>
      </c>
      <c r="J22" s="233"/>
      <c r="K22" s="233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</row>
    <row r="23" ht="4.5" customHeight="1">
      <c r="A23" s="320"/>
      <c r="B23" s="111"/>
      <c r="C23" s="111"/>
      <c r="D23" s="111"/>
      <c r="E23" s="111"/>
      <c r="F23" s="111"/>
      <c r="G23" s="111"/>
      <c r="H23" s="111"/>
      <c r="I23" s="111"/>
      <c r="J23" s="111"/>
      <c r="K23" s="222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</row>
    <row r="24" ht="21.0" customHeight="1">
      <c r="A24" s="321" t="s">
        <v>264</v>
      </c>
      <c r="B24" s="310" t="s">
        <v>248</v>
      </c>
      <c r="C24" s="311" t="s">
        <v>176</v>
      </c>
      <c r="D24" s="311" t="s">
        <v>50</v>
      </c>
      <c r="E24" s="312" t="s">
        <v>239</v>
      </c>
      <c r="F24" s="311" t="s">
        <v>166</v>
      </c>
      <c r="G24" s="311" t="s">
        <v>279</v>
      </c>
      <c r="H24" s="323">
        <v>4.0</v>
      </c>
      <c r="I24" s="314">
        <v>6.0</v>
      </c>
      <c r="J24" s="315">
        <f>IF(AND(H24&gt;I24,H25&gt;I25),2,IF(H24&gt;I24,1,IF(H25&gt;I25,1,0)))</f>
        <v>1</v>
      </c>
      <c r="K24" s="315">
        <f>IF(AND(I24&gt;H24,I25&gt;H25),2,IF(I24&gt;H24,1,IF(I25&gt;H25,1,0)))</f>
        <v>1</v>
      </c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</row>
    <row r="25" ht="21.0" customHeight="1">
      <c r="A25" s="232"/>
      <c r="B25" s="233"/>
      <c r="C25" s="233"/>
      <c r="D25" s="233"/>
      <c r="E25" s="233"/>
      <c r="F25" s="233"/>
      <c r="G25" s="233"/>
      <c r="H25" s="324">
        <v>6.0</v>
      </c>
      <c r="I25" s="317">
        <v>3.0</v>
      </c>
      <c r="J25" s="233"/>
      <c r="K25" s="233"/>
      <c r="L25" s="257" t="s">
        <v>414</v>
      </c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Y25" s="209"/>
      <c r="Z25" s="209"/>
    </row>
    <row r="26" ht="4.5" customHeight="1">
      <c r="A26" s="320"/>
      <c r="B26" s="111"/>
      <c r="C26" s="111"/>
      <c r="D26" s="111"/>
      <c r="E26" s="111"/>
      <c r="F26" s="111"/>
      <c r="G26" s="111"/>
      <c r="H26" s="111"/>
      <c r="I26" s="111"/>
      <c r="J26" s="111"/>
      <c r="K26" s="222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</row>
    <row r="27" ht="21.0" customHeight="1">
      <c r="A27" s="321" t="s">
        <v>264</v>
      </c>
      <c r="B27" s="310" t="s">
        <v>243</v>
      </c>
      <c r="C27" s="311" t="s">
        <v>58</v>
      </c>
      <c r="D27" s="311" t="s">
        <v>65</v>
      </c>
      <c r="E27" s="312" t="s">
        <v>239</v>
      </c>
      <c r="F27" s="311" t="s">
        <v>54</v>
      </c>
      <c r="G27" s="311" t="s">
        <v>61</v>
      </c>
      <c r="H27" s="323">
        <v>7.0</v>
      </c>
      <c r="I27" s="314">
        <v>5.0</v>
      </c>
      <c r="J27" s="315">
        <f>IF(AND(H27&gt;I27,H28&gt;I28),2,IF(H27&gt;I27,1,IF(H28&gt;I28,1,0)))</f>
        <v>1</v>
      </c>
      <c r="K27" s="315">
        <f>IF(AND(I27&gt;H27,I28&gt;H28),2,IF(I27&gt;H27,1,IF(I28&gt;H28,1,0)))</f>
        <v>0</v>
      </c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</row>
    <row r="28" ht="21.0" customHeight="1">
      <c r="A28" s="232"/>
      <c r="B28" s="233"/>
      <c r="C28" s="233"/>
      <c r="D28" s="233"/>
      <c r="E28" s="233"/>
      <c r="F28" s="233"/>
      <c r="G28" s="233"/>
      <c r="H28" s="324" t="s">
        <v>415</v>
      </c>
      <c r="I28" s="317" t="s">
        <v>415</v>
      </c>
      <c r="J28" s="233"/>
      <c r="K28" s="233"/>
      <c r="L28" s="209"/>
      <c r="M28" s="209"/>
      <c r="N28" s="209"/>
      <c r="O28" s="209"/>
      <c r="P28" s="209"/>
      <c r="Q28" s="209"/>
      <c r="R28" s="209"/>
      <c r="S28" s="209"/>
      <c r="T28" s="209"/>
      <c r="U28" s="209"/>
      <c r="V28" s="209"/>
      <c r="W28" s="209"/>
      <c r="X28" s="209"/>
      <c r="Y28" s="209"/>
      <c r="Z28" s="209"/>
    </row>
    <row r="29" ht="4.5" customHeight="1">
      <c r="A29" s="320"/>
      <c r="B29" s="111"/>
      <c r="C29" s="111"/>
      <c r="D29" s="111"/>
      <c r="E29" s="111"/>
      <c r="F29" s="111"/>
      <c r="G29" s="111"/>
      <c r="H29" s="111"/>
      <c r="I29" s="111"/>
      <c r="J29" s="111"/>
      <c r="K29" s="222"/>
      <c r="L29" s="209"/>
      <c r="M29" s="209"/>
      <c r="N29" s="209"/>
      <c r="O29" s="209"/>
      <c r="P29" s="209"/>
      <c r="Q29" s="209"/>
      <c r="R29" s="209"/>
      <c r="S29" s="209"/>
      <c r="T29" s="209"/>
      <c r="U29" s="209"/>
      <c r="V29" s="209"/>
      <c r="W29" s="209"/>
      <c r="X29" s="209"/>
      <c r="Y29" s="209"/>
      <c r="Z29" s="209"/>
    </row>
    <row r="30" ht="21.0" customHeight="1">
      <c r="A30" s="321" t="s">
        <v>264</v>
      </c>
      <c r="B30" s="310" t="s">
        <v>314</v>
      </c>
      <c r="C30" s="311" t="s">
        <v>86</v>
      </c>
      <c r="D30" s="311" t="s">
        <v>157</v>
      </c>
      <c r="E30" s="312" t="s">
        <v>239</v>
      </c>
      <c r="F30" s="311" t="s">
        <v>88</v>
      </c>
      <c r="G30" s="311" t="s">
        <v>148</v>
      </c>
      <c r="H30" s="323">
        <v>2.0</v>
      </c>
      <c r="I30" s="314">
        <v>6.0</v>
      </c>
      <c r="J30" s="315">
        <f>IF(AND(H30&gt;I30,H31&gt;I31),2,IF(H30&gt;I30,1,IF(H31&gt;I31,1,0)))</f>
        <v>1</v>
      </c>
      <c r="K30" s="315">
        <f>IF(AND(I30&gt;H30,I31&gt;H31),2,IF(I30&gt;H30,1,IF(I31&gt;H31,1,0)))</f>
        <v>1</v>
      </c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</row>
    <row r="31" ht="20.25" customHeight="1">
      <c r="A31" s="232"/>
      <c r="B31" s="233"/>
      <c r="C31" s="233"/>
      <c r="D31" s="233"/>
      <c r="E31" s="233"/>
      <c r="F31" s="233"/>
      <c r="G31" s="233"/>
      <c r="H31" s="324">
        <v>6.0</v>
      </c>
      <c r="I31" s="317">
        <v>3.0</v>
      </c>
      <c r="J31" s="233"/>
      <c r="K31" s="233"/>
      <c r="L31" s="209"/>
      <c r="M31" s="209"/>
      <c r="N31" s="209"/>
      <c r="O31" s="209"/>
      <c r="P31" s="209"/>
      <c r="Q31" s="209"/>
      <c r="R31" s="209"/>
      <c r="S31" s="209"/>
      <c r="T31" s="209"/>
      <c r="U31" s="209"/>
      <c r="V31" s="209"/>
      <c r="W31" s="209"/>
      <c r="X31" s="209"/>
      <c r="Y31" s="209"/>
      <c r="Z31" s="209"/>
    </row>
    <row r="32" ht="20.25" customHeight="1">
      <c r="A32" s="321" t="s">
        <v>264</v>
      </c>
      <c r="B32" s="310" t="s">
        <v>246</v>
      </c>
      <c r="C32" s="311" t="s">
        <v>146</v>
      </c>
      <c r="D32" s="311" t="s">
        <v>151</v>
      </c>
      <c r="E32" s="312" t="s">
        <v>239</v>
      </c>
      <c r="F32" s="311" t="s">
        <v>153</v>
      </c>
      <c r="G32" s="311" t="s">
        <v>416</v>
      </c>
      <c r="H32" s="323">
        <v>7.0</v>
      </c>
      <c r="I32" s="314">
        <v>5.0</v>
      </c>
      <c r="J32" s="319">
        <v>1.0</v>
      </c>
      <c r="K32" s="319">
        <v>0.0</v>
      </c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</row>
    <row r="33" ht="20.25" customHeight="1">
      <c r="A33" s="232"/>
      <c r="B33" s="233"/>
      <c r="C33" s="233"/>
      <c r="D33" s="233"/>
      <c r="E33" s="233"/>
      <c r="F33" s="233"/>
      <c r="G33" s="233"/>
      <c r="H33" s="324" t="s">
        <v>415</v>
      </c>
      <c r="I33" s="317" t="s">
        <v>415</v>
      </c>
      <c r="J33" s="233"/>
      <c r="K33" s="233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</row>
    <row r="34" ht="1.5" customHeight="1">
      <c r="A34" s="325"/>
      <c r="B34" s="111"/>
      <c r="C34" s="111"/>
      <c r="D34" s="111"/>
      <c r="E34" s="111"/>
      <c r="F34" s="111"/>
      <c r="G34" s="111"/>
      <c r="H34" s="111"/>
      <c r="I34" s="111"/>
      <c r="J34" s="111"/>
      <c r="K34" s="222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09"/>
      <c r="W34" s="209"/>
      <c r="X34" s="209"/>
      <c r="Y34" s="209"/>
      <c r="Z34" s="209"/>
    </row>
    <row r="35" ht="32.25" customHeight="1">
      <c r="A35" s="326"/>
      <c r="B35" s="111"/>
      <c r="C35" s="111"/>
      <c r="D35" s="111"/>
      <c r="E35" s="111"/>
      <c r="F35" s="111"/>
      <c r="G35" s="112"/>
      <c r="H35" s="327">
        <f t="shared" ref="H35:K35" si="1">SUM(H9:H33)</f>
        <v>76</v>
      </c>
      <c r="I35" s="327">
        <f t="shared" si="1"/>
        <v>56</v>
      </c>
      <c r="J35" s="327">
        <f t="shared" si="1"/>
        <v>10</v>
      </c>
      <c r="K35" s="327">
        <f t="shared" si="1"/>
        <v>4</v>
      </c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209"/>
      <c r="X35" s="209"/>
      <c r="Y35" s="209"/>
      <c r="Z35" s="209"/>
    </row>
    <row r="36" ht="4.5" customHeight="1">
      <c r="A36" s="294"/>
      <c r="B36" s="123"/>
      <c r="C36" s="123"/>
      <c r="D36" s="123"/>
      <c r="E36" s="123"/>
      <c r="F36" s="123"/>
      <c r="G36" s="123"/>
      <c r="H36" s="123"/>
      <c r="I36" s="123"/>
      <c r="J36" s="123"/>
      <c r="K36" s="295"/>
      <c r="L36" s="209"/>
      <c r="M36" s="209"/>
      <c r="N36" s="209"/>
      <c r="O36" s="209"/>
      <c r="P36" s="209"/>
      <c r="Q36" s="209"/>
      <c r="R36" s="209"/>
      <c r="S36" s="209"/>
      <c r="T36" s="209"/>
      <c r="U36" s="209"/>
      <c r="V36" s="209"/>
      <c r="W36" s="209"/>
      <c r="X36" s="209"/>
      <c r="Y36" s="209"/>
      <c r="Z36" s="209"/>
    </row>
    <row r="37" ht="12.75" customHeight="1">
      <c r="A37" s="209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</row>
    <row r="38" ht="12.75" customHeight="1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</row>
    <row r="39" ht="12.75" customHeight="1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</row>
    <row r="40" ht="12.75" customHeight="1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</row>
    <row r="41" ht="12.75" customHeight="1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</row>
    <row r="42" ht="12.75" customHeight="1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</row>
    <row r="43" ht="12.75" customHeight="1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</row>
    <row r="44" ht="12.75" customHeight="1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</row>
    <row r="45" ht="12.75" customHeight="1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</row>
    <row r="46" ht="12.75" customHeight="1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</row>
    <row r="47" ht="12.75" customHeight="1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</row>
    <row r="48" ht="12.75" customHeight="1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</row>
    <row r="49" ht="12.75" customHeight="1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</row>
    <row r="50" ht="12.75" customHeight="1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</row>
    <row r="51" ht="12.75" customHeight="1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</row>
    <row r="52" ht="12.75" customHeight="1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</row>
    <row r="53" ht="12.75" customHeight="1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</row>
    <row r="54" ht="12.75" customHeight="1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</row>
    <row r="55" ht="12.75" customHeight="1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</row>
    <row r="56" ht="12.75" customHeight="1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</row>
    <row r="57" ht="12.75" customHeight="1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</row>
    <row r="58" ht="12.75" customHeight="1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</row>
    <row r="59" ht="12.75" customHeight="1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</row>
    <row r="60" ht="12.75" customHeight="1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</row>
    <row r="61" ht="12.75" customHeight="1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</row>
    <row r="62" ht="12.75" customHeight="1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</row>
    <row r="63" ht="12.75" customHeight="1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  <c r="W63" s="209"/>
      <c r="X63" s="209"/>
      <c r="Y63" s="209"/>
      <c r="Z63" s="209"/>
    </row>
    <row r="64" ht="12.75" customHeight="1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</row>
    <row r="65" ht="12.75" customHeight="1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  <c r="W65" s="209"/>
      <c r="X65" s="209"/>
      <c r="Y65" s="209"/>
      <c r="Z65" s="209"/>
    </row>
    <row r="66" ht="12.75" customHeight="1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  <c r="W66" s="209"/>
      <c r="X66" s="209"/>
      <c r="Y66" s="209"/>
      <c r="Z66" s="209"/>
    </row>
    <row r="67" ht="12.75" customHeight="1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  <c r="V67" s="209"/>
      <c r="W67" s="209"/>
      <c r="X67" s="209"/>
      <c r="Y67" s="209"/>
      <c r="Z67" s="209"/>
    </row>
    <row r="68" ht="12.75" customHeight="1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  <c r="V68" s="209"/>
      <c r="W68" s="209"/>
      <c r="X68" s="209"/>
      <c r="Y68" s="209"/>
      <c r="Z68" s="209"/>
    </row>
    <row r="69" ht="12.75" customHeight="1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  <c r="V69" s="209"/>
      <c r="W69" s="209"/>
      <c r="X69" s="209"/>
      <c r="Y69" s="209"/>
      <c r="Z69" s="209"/>
    </row>
    <row r="70" ht="12.75" customHeight="1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  <c r="V70" s="209"/>
      <c r="W70" s="209"/>
      <c r="X70" s="209"/>
      <c r="Y70" s="209"/>
      <c r="Z70" s="209"/>
    </row>
    <row r="71" ht="12.75" customHeight="1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</row>
    <row r="72" ht="12.75" customHeight="1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  <c r="S72" s="209"/>
      <c r="T72" s="209"/>
      <c r="U72" s="209"/>
      <c r="V72" s="209"/>
      <c r="W72" s="209"/>
      <c r="X72" s="209"/>
      <c r="Y72" s="209"/>
      <c r="Z72" s="209"/>
    </row>
    <row r="73" ht="12.75" customHeight="1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  <row r="74" ht="12.75" customHeight="1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  <c r="S74" s="209"/>
      <c r="T74" s="209"/>
      <c r="U74" s="209"/>
      <c r="V74" s="209"/>
      <c r="W74" s="209"/>
      <c r="X74" s="209"/>
      <c r="Y74" s="209"/>
      <c r="Z74" s="209"/>
    </row>
    <row r="75" ht="12.75" customHeight="1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</row>
    <row r="76" ht="12.75" customHeight="1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  <c r="S76" s="209"/>
      <c r="T76" s="209"/>
      <c r="U76" s="209"/>
      <c r="V76" s="209"/>
      <c r="W76" s="209"/>
      <c r="X76" s="209"/>
      <c r="Y76" s="209"/>
      <c r="Z76" s="209"/>
    </row>
    <row r="77" ht="12.75" customHeight="1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  <c r="S77" s="209"/>
      <c r="T77" s="209"/>
      <c r="U77" s="209"/>
      <c r="V77" s="209"/>
      <c r="W77" s="209"/>
      <c r="X77" s="209"/>
      <c r="Y77" s="209"/>
      <c r="Z77" s="209"/>
    </row>
    <row r="78" ht="12.75" customHeight="1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  <c r="S78" s="209"/>
      <c r="T78" s="209"/>
      <c r="U78" s="209"/>
      <c r="V78" s="209"/>
      <c r="W78" s="209"/>
      <c r="X78" s="209"/>
      <c r="Y78" s="209"/>
      <c r="Z78" s="209"/>
    </row>
    <row r="79" ht="12.75" customHeight="1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209"/>
      <c r="X79" s="209"/>
      <c r="Y79" s="209"/>
      <c r="Z79" s="209"/>
    </row>
    <row r="80" ht="12.75" customHeight="1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  <c r="S80" s="209"/>
      <c r="T80" s="209"/>
      <c r="U80" s="209"/>
      <c r="V80" s="209"/>
      <c r="W80" s="209"/>
      <c r="X80" s="209"/>
      <c r="Y80" s="209"/>
      <c r="Z80" s="209"/>
    </row>
    <row r="81" ht="12.75" customHeight="1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  <c r="S81" s="209"/>
      <c r="T81" s="209"/>
      <c r="U81" s="209"/>
      <c r="V81" s="209"/>
      <c r="W81" s="209"/>
      <c r="X81" s="209"/>
      <c r="Y81" s="209"/>
      <c r="Z81" s="209"/>
    </row>
    <row r="82" ht="12.75" customHeight="1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  <c r="S82" s="209"/>
      <c r="T82" s="209"/>
      <c r="U82" s="209"/>
      <c r="V82" s="209"/>
      <c r="W82" s="209"/>
      <c r="X82" s="209"/>
      <c r="Y82" s="209"/>
      <c r="Z82" s="209"/>
    </row>
    <row r="83" ht="12.75" customHeight="1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  <c r="S83" s="209"/>
      <c r="T83" s="209"/>
      <c r="U83" s="209"/>
      <c r="V83" s="209"/>
      <c r="W83" s="209"/>
      <c r="X83" s="209"/>
      <c r="Y83" s="209"/>
      <c r="Z83" s="209"/>
    </row>
    <row r="84" ht="12.75" customHeight="1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209"/>
      <c r="Y84" s="209"/>
      <c r="Z84" s="209"/>
    </row>
    <row r="85" ht="12.75" customHeight="1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</row>
    <row r="86" ht="12.75" customHeight="1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209"/>
    </row>
    <row r="87" ht="12.75" customHeight="1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</row>
    <row r="88" ht="12.75" customHeight="1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  <c r="S88" s="209"/>
      <c r="T88" s="209"/>
      <c r="U88" s="209"/>
      <c r="V88" s="209"/>
      <c r="W88" s="209"/>
      <c r="X88" s="209"/>
      <c r="Y88" s="209"/>
      <c r="Z88" s="209"/>
    </row>
    <row r="89" ht="12.75" customHeight="1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  <c r="S89" s="209"/>
      <c r="T89" s="209"/>
      <c r="U89" s="209"/>
      <c r="V89" s="209"/>
      <c r="W89" s="209"/>
      <c r="X89" s="209"/>
      <c r="Y89" s="209"/>
      <c r="Z89" s="209"/>
    </row>
    <row r="90" ht="12.75" customHeight="1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  <c r="S90" s="209"/>
      <c r="T90" s="209"/>
      <c r="U90" s="209"/>
      <c r="V90" s="209"/>
      <c r="W90" s="209"/>
      <c r="X90" s="209"/>
      <c r="Y90" s="209"/>
      <c r="Z90" s="209"/>
    </row>
    <row r="91" ht="12.75" customHeight="1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  <c r="S91" s="209"/>
      <c r="T91" s="209"/>
      <c r="U91" s="209"/>
      <c r="V91" s="209"/>
      <c r="W91" s="209"/>
      <c r="X91" s="209"/>
      <c r="Y91" s="209"/>
      <c r="Z91" s="209"/>
    </row>
    <row r="92" ht="12.75" customHeight="1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  <c r="S92" s="209"/>
      <c r="T92" s="209"/>
      <c r="U92" s="209"/>
      <c r="V92" s="209"/>
      <c r="W92" s="209"/>
      <c r="X92" s="209"/>
      <c r="Y92" s="209"/>
      <c r="Z92" s="209"/>
    </row>
    <row r="93" ht="12.75" customHeight="1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  <c r="S93" s="209"/>
      <c r="T93" s="209"/>
      <c r="U93" s="209"/>
      <c r="V93" s="209"/>
      <c r="W93" s="209"/>
      <c r="X93" s="209"/>
      <c r="Y93" s="209"/>
      <c r="Z93" s="209"/>
    </row>
    <row r="94" ht="12.75" customHeight="1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  <c r="S94" s="209"/>
      <c r="T94" s="209"/>
      <c r="U94" s="209"/>
      <c r="V94" s="209"/>
      <c r="W94" s="209"/>
      <c r="X94" s="209"/>
      <c r="Y94" s="209"/>
      <c r="Z94" s="209"/>
    </row>
    <row r="95" ht="12.75" customHeight="1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  <c r="S95" s="209"/>
      <c r="T95" s="209"/>
      <c r="U95" s="209"/>
      <c r="V95" s="209"/>
      <c r="W95" s="209"/>
      <c r="X95" s="209"/>
      <c r="Y95" s="209"/>
      <c r="Z95" s="209"/>
    </row>
    <row r="96" ht="12.75" customHeight="1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  <c r="S96" s="209"/>
      <c r="T96" s="209"/>
      <c r="U96" s="209"/>
      <c r="V96" s="209"/>
      <c r="W96" s="209"/>
      <c r="X96" s="209"/>
      <c r="Y96" s="209"/>
      <c r="Z96" s="209"/>
    </row>
    <row r="97" ht="12.75" customHeight="1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</row>
    <row r="98" ht="12.75" customHeight="1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  <c r="S98" s="209"/>
      <c r="T98" s="209"/>
      <c r="U98" s="209"/>
      <c r="V98" s="209"/>
      <c r="W98" s="209"/>
      <c r="X98" s="209"/>
      <c r="Y98" s="209"/>
      <c r="Z98" s="209"/>
    </row>
    <row r="99" ht="12.75" customHeight="1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</row>
    <row r="100" ht="12.75" customHeight="1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2.75" customHeight="1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2.75" customHeight="1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/>
      <c r="Y102" s="209"/>
      <c r="Z102" s="209"/>
    </row>
    <row r="103" ht="12.75" customHeight="1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09"/>
      <c r="X103" s="209"/>
      <c r="Y103" s="209"/>
      <c r="Z103" s="209"/>
    </row>
    <row r="104" ht="12.75" customHeight="1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  <c r="S104" s="209"/>
      <c r="T104" s="209"/>
      <c r="U104" s="209"/>
      <c r="V104" s="209"/>
      <c r="W104" s="209"/>
      <c r="X104" s="209"/>
      <c r="Y104" s="209"/>
      <c r="Z104" s="209"/>
    </row>
    <row r="105" ht="12.75" customHeight="1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  <c r="S105" s="209"/>
      <c r="T105" s="209"/>
      <c r="U105" s="209"/>
      <c r="V105" s="209"/>
      <c r="W105" s="209"/>
      <c r="X105" s="209"/>
      <c r="Y105" s="209"/>
      <c r="Z105" s="209"/>
    </row>
    <row r="106" ht="12.75" customHeight="1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  <c r="S106" s="209"/>
      <c r="T106" s="209"/>
      <c r="U106" s="209"/>
      <c r="V106" s="209"/>
      <c r="W106" s="209"/>
      <c r="X106" s="209"/>
      <c r="Y106" s="209"/>
      <c r="Z106" s="209"/>
    </row>
    <row r="107" ht="12.75" customHeight="1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  <c r="S107" s="209"/>
      <c r="T107" s="209"/>
      <c r="U107" s="209"/>
      <c r="V107" s="209"/>
      <c r="W107" s="209"/>
      <c r="X107" s="209"/>
      <c r="Y107" s="209"/>
      <c r="Z107" s="209"/>
    </row>
    <row r="108" ht="12.75" customHeight="1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  <c r="S108" s="209"/>
      <c r="T108" s="209"/>
      <c r="U108" s="209"/>
      <c r="V108" s="209"/>
      <c r="W108" s="209"/>
      <c r="X108" s="209"/>
      <c r="Y108" s="209"/>
      <c r="Z108" s="209"/>
    </row>
    <row r="109" ht="12.75" customHeight="1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  <c r="S109" s="209"/>
      <c r="T109" s="209"/>
      <c r="U109" s="209"/>
      <c r="V109" s="209"/>
      <c r="W109" s="209"/>
      <c r="X109" s="209"/>
      <c r="Y109" s="209"/>
      <c r="Z109" s="209"/>
    </row>
    <row r="110" ht="12.75" customHeight="1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  <c r="S110" s="209"/>
      <c r="T110" s="209"/>
      <c r="U110" s="209"/>
      <c r="V110" s="209"/>
      <c r="W110" s="209"/>
      <c r="X110" s="209"/>
      <c r="Y110" s="209"/>
      <c r="Z110" s="209"/>
    </row>
    <row r="111" ht="12.75" customHeight="1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  <c r="S111" s="209"/>
      <c r="T111" s="209"/>
      <c r="U111" s="209"/>
      <c r="V111" s="209"/>
      <c r="W111" s="209"/>
      <c r="X111" s="209"/>
      <c r="Y111" s="209"/>
      <c r="Z111" s="209"/>
    </row>
    <row r="112" ht="12.75" customHeight="1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  <c r="S112" s="209"/>
      <c r="T112" s="209"/>
      <c r="U112" s="209"/>
      <c r="V112" s="209"/>
      <c r="W112" s="209"/>
      <c r="X112" s="209"/>
      <c r="Y112" s="209"/>
      <c r="Z112" s="209"/>
    </row>
    <row r="113" ht="12.75" customHeight="1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  <c r="S113" s="209"/>
      <c r="T113" s="209"/>
      <c r="U113" s="209"/>
      <c r="V113" s="209"/>
      <c r="W113" s="209"/>
      <c r="X113" s="209"/>
      <c r="Y113" s="209"/>
      <c r="Z113" s="209"/>
    </row>
    <row r="114" ht="12.75" customHeight="1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  <c r="S114" s="209"/>
      <c r="T114" s="209"/>
      <c r="U114" s="209"/>
      <c r="V114" s="209"/>
      <c r="W114" s="209"/>
      <c r="X114" s="209"/>
      <c r="Y114" s="209"/>
      <c r="Z114" s="209"/>
    </row>
    <row r="115" ht="12.75" customHeight="1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</row>
    <row r="116" ht="12.75" customHeight="1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  <c r="S116" s="209"/>
      <c r="T116" s="209"/>
      <c r="U116" s="209"/>
      <c r="V116" s="209"/>
      <c r="W116" s="209"/>
      <c r="X116" s="209"/>
      <c r="Y116" s="209"/>
      <c r="Z116" s="209"/>
    </row>
    <row r="117" ht="12.75" customHeight="1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</row>
    <row r="118" ht="12.75" customHeight="1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</row>
    <row r="119" ht="12.75" customHeight="1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</row>
    <row r="120" ht="12.75" customHeight="1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</row>
    <row r="121" ht="12.75" customHeight="1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</row>
    <row r="122" ht="12.75" customHeight="1">
      <c r="A122" s="209"/>
      <c r="B122" s="209"/>
      <c r="C122" s="209"/>
      <c r="D122" s="209"/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</row>
    <row r="123" ht="12.75" customHeight="1">
      <c r="A123" s="209"/>
      <c r="B123" s="209"/>
      <c r="C123" s="209"/>
      <c r="D123" s="209"/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  <c r="S123" s="209"/>
      <c r="T123" s="209"/>
      <c r="U123" s="209"/>
      <c r="V123" s="209"/>
      <c r="W123" s="209"/>
      <c r="X123" s="209"/>
      <c r="Y123" s="209"/>
      <c r="Z123" s="209"/>
    </row>
    <row r="124" ht="12.75" customHeight="1">
      <c r="A124" s="209"/>
      <c r="B124" s="209"/>
      <c r="C124" s="209"/>
      <c r="D124" s="209"/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  <c r="S124" s="209"/>
      <c r="T124" s="209"/>
      <c r="U124" s="209"/>
      <c r="V124" s="209"/>
      <c r="W124" s="209"/>
      <c r="X124" s="209"/>
      <c r="Y124" s="209"/>
      <c r="Z124" s="209"/>
    </row>
    <row r="125" ht="12.75" customHeight="1">
      <c r="A125" s="209"/>
      <c r="B125" s="209"/>
      <c r="C125" s="209"/>
      <c r="D125" s="209"/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209"/>
      <c r="Y125" s="209"/>
      <c r="Z125" s="209"/>
    </row>
    <row r="126" ht="12.75" customHeight="1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</row>
    <row r="127" ht="12.75" customHeight="1">
      <c r="A127" s="209"/>
      <c r="B127" s="209"/>
      <c r="C127" s="209"/>
      <c r="D127" s="209"/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</row>
    <row r="128" ht="12.75" customHeight="1">
      <c r="A128" s="209"/>
      <c r="B128" s="209"/>
      <c r="C128" s="209"/>
      <c r="D128" s="209"/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</row>
    <row r="129" ht="12.75" customHeight="1">
      <c r="A129" s="209"/>
      <c r="B129" s="209"/>
      <c r="C129" s="209"/>
      <c r="D129" s="209"/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</row>
    <row r="130" ht="12.75" customHeight="1">
      <c r="A130" s="209"/>
      <c r="B130" s="209"/>
      <c r="C130" s="209"/>
      <c r="D130" s="209"/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</row>
    <row r="131" ht="12.75" customHeight="1">
      <c r="A131" s="209"/>
      <c r="B131" s="209"/>
      <c r="C131" s="209"/>
      <c r="D131" s="209"/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  <c r="S131" s="209"/>
      <c r="T131" s="209"/>
      <c r="U131" s="209"/>
      <c r="V131" s="209"/>
      <c r="W131" s="209"/>
      <c r="X131" s="209"/>
      <c r="Y131" s="209"/>
      <c r="Z131" s="209"/>
    </row>
    <row r="132" ht="12.75" customHeight="1">
      <c r="A132" s="209"/>
      <c r="B132" s="209"/>
      <c r="C132" s="209"/>
      <c r="D132" s="209"/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  <c r="S132" s="209"/>
      <c r="T132" s="209"/>
      <c r="U132" s="209"/>
      <c r="V132" s="209"/>
      <c r="W132" s="209"/>
      <c r="X132" s="209"/>
      <c r="Y132" s="209"/>
      <c r="Z132" s="209"/>
    </row>
    <row r="133" ht="12.75" customHeight="1">
      <c r="A133" s="209"/>
      <c r="B133" s="209"/>
      <c r="C133" s="209"/>
      <c r="D133" s="209"/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</row>
    <row r="134" ht="12.75" customHeight="1">
      <c r="A134" s="209"/>
      <c r="B134" s="209"/>
      <c r="C134" s="209"/>
      <c r="D134" s="209"/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</row>
    <row r="135" ht="12.75" customHeight="1">
      <c r="A135" s="209"/>
      <c r="B135" s="209"/>
      <c r="C135" s="209"/>
      <c r="D135" s="209"/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</row>
    <row r="136" ht="12.75" customHeight="1">
      <c r="A136" s="209"/>
      <c r="B136" s="209"/>
      <c r="C136" s="209"/>
      <c r="D136" s="209"/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</row>
    <row r="137" ht="12.75" customHeight="1">
      <c r="A137" s="209"/>
      <c r="B137" s="209"/>
      <c r="C137" s="209"/>
      <c r="D137" s="209"/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</row>
    <row r="138" ht="12.75" customHeight="1">
      <c r="A138" s="209"/>
      <c r="B138" s="209"/>
      <c r="C138" s="209"/>
      <c r="D138" s="209"/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  <c r="S138" s="209"/>
      <c r="T138" s="209"/>
      <c r="U138" s="209"/>
      <c r="V138" s="209"/>
      <c r="W138" s="209"/>
      <c r="X138" s="209"/>
      <c r="Y138" s="209"/>
      <c r="Z138" s="209"/>
    </row>
    <row r="139" ht="12.75" customHeight="1">
      <c r="A139" s="209"/>
      <c r="B139" s="209"/>
      <c r="C139" s="209"/>
      <c r="D139" s="209"/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  <c r="S139" s="209"/>
      <c r="T139" s="209"/>
      <c r="U139" s="209"/>
      <c r="V139" s="209"/>
      <c r="W139" s="209"/>
      <c r="X139" s="209"/>
      <c r="Y139" s="209"/>
      <c r="Z139" s="209"/>
    </row>
    <row r="140" ht="12.75" customHeight="1">
      <c r="A140" s="209"/>
      <c r="B140" s="209"/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</row>
    <row r="141" ht="12.75" customHeight="1">
      <c r="A141" s="209"/>
      <c r="B141" s="209"/>
      <c r="C141" s="209"/>
      <c r="D141" s="209"/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  <c r="S141" s="209"/>
      <c r="T141" s="209"/>
      <c r="U141" s="209"/>
      <c r="V141" s="209"/>
      <c r="W141" s="209"/>
      <c r="X141" s="209"/>
      <c r="Y141" s="209"/>
      <c r="Z141" s="209"/>
    </row>
    <row r="142" ht="12.75" customHeight="1">
      <c r="A142" s="209"/>
      <c r="B142" s="209"/>
      <c r="C142" s="209"/>
      <c r="D142" s="209"/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</row>
    <row r="143" ht="12.75" customHeight="1">
      <c r="A143" s="209"/>
      <c r="B143" s="209"/>
      <c r="C143" s="209"/>
      <c r="D143" s="209"/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</row>
    <row r="144" ht="12.75" customHeight="1">
      <c r="A144" s="209"/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  <c r="S144" s="209"/>
      <c r="T144" s="209"/>
      <c r="U144" s="209"/>
      <c r="V144" s="209"/>
      <c r="W144" s="209"/>
      <c r="X144" s="209"/>
      <c r="Y144" s="209"/>
      <c r="Z144" s="209"/>
    </row>
    <row r="145" ht="12.75" customHeight="1">
      <c r="A145" s="209"/>
      <c r="B145" s="209"/>
      <c r="C145" s="209"/>
      <c r="D145" s="209"/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  <c r="S145" s="209"/>
      <c r="T145" s="209"/>
      <c r="U145" s="209"/>
      <c r="V145" s="209"/>
      <c r="W145" s="209"/>
      <c r="X145" s="209"/>
      <c r="Y145" s="209"/>
      <c r="Z145" s="209"/>
    </row>
    <row r="146" ht="12.75" customHeight="1">
      <c r="A146" s="209"/>
      <c r="B146" s="209"/>
      <c r="C146" s="209"/>
      <c r="D146" s="209"/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  <c r="S146" s="209"/>
      <c r="T146" s="209"/>
      <c r="U146" s="209"/>
      <c r="V146" s="209"/>
      <c r="W146" s="209"/>
      <c r="X146" s="209"/>
      <c r="Y146" s="209"/>
      <c r="Z146" s="209"/>
    </row>
    <row r="147" ht="12.75" customHeight="1">
      <c r="A147" s="209"/>
      <c r="B147" s="209"/>
      <c r="C147" s="209"/>
      <c r="D147" s="209"/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  <c r="S147" s="209"/>
      <c r="T147" s="209"/>
      <c r="U147" s="209"/>
      <c r="V147" s="209"/>
      <c r="W147" s="209"/>
      <c r="X147" s="209"/>
      <c r="Y147" s="209"/>
      <c r="Z147" s="209"/>
    </row>
    <row r="148" ht="12.75" customHeight="1">
      <c r="A148" s="209"/>
      <c r="B148" s="209"/>
      <c r="C148" s="209"/>
      <c r="D148" s="209"/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  <c r="S148" s="209"/>
      <c r="T148" s="209"/>
      <c r="U148" s="209"/>
      <c r="V148" s="209"/>
      <c r="W148" s="209"/>
      <c r="X148" s="209"/>
      <c r="Y148" s="209"/>
      <c r="Z148" s="209"/>
    </row>
    <row r="149" ht="12.75" customHeight="1">
      <c r="A149" s="209"/>
      <c r="B149" s="209"/>
      <c r="C149" s="209"/>
      <c r="D149" s="209"/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  <c r="S149" s="209"/>
      <c r="T149" s="209"/>
      <c r="U149" s="209"/>
      <c r="V149" s="209"/>
      <c r="W149" s="209"/>
      <c r="X149" s="209"/>
      <c r="Y149" s="209"/>
      <c r="Z149" s="209"/>
    </row>
    <row r="150" ht="12.75" customHeight="1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  <c r="S150" s="209"/>
      <c r="T150" s="209"/>
      <c r="U150" s="209"/>
      <c r="V150" s="209"/>
      <c r="W150" s="209"/>
      <c r="X150" s="209"/>
      <c r="Y150" s="209"/>
      <c r="Z150" s="209"/>
    </row>
    <row r="151" ht="12.75" customHeight="1">
      <c r="A151" s="209"/>
      <c r="B151" s="209"/>
      <c r="C151" s="209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  <c r="X151" s="209"/>
      <c r="Y151" s="209"/>
      <c r="Z151" s="209"/>
    </row>
    <row r="152" ht="12.75" customHeight="1">
      <c r="A152" s="209"/>
      <c r="B152" s="209"/>
      <c r="C152" s="209"/>
      <c r="D152" s="209"/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  <c r="S152" s="209"/>
      <c r="T152" s="209"/>
      <c r="U152" s="209"/>
      <c r="V152" s="209"/>
      <c r="W152" s="209"/>
      <c r="X152" s="209"/>
      <c r="Y152" s="209"/>
      <c r="Z152" s="209"/>
    </row>
    <row r="153" ht="12.75" customHeight="1">
      <c r="A153" s="209"/>
      <c r="B153" s="209"/>
      <c r="C153" s="209"/>
      <c r="D153" s="209"/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  <c r="S153" s="209"/>
      <c r="T153" s="209"/>
      <c r="U153" s="209"/>
      <c r="V153" s="209"/>
      <c r="W153" s="209"/>
      <c r="X153" s="209"/>
      <c r="Y153" s="209"/>
      <c r="Z153" s="209"/>
    </row>
    <row r="154" ht="12.75" customHeight="1">
      <c r="A154" s="209"/>
      <c r="B154" s="209"/>
      <c r="C154" s="209"/>
      <c r="D154" s="209"/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209"/>
      <c r="Y154" s="209"/>
      <c r="Z154" s="209"/>
    </row>
    <row r="155" ht="12.75" customHeight="1">
      <c r="A155" s="209"/>
      <c r="B155" s="209"/>
      <c r="C155" s="209"/>
      <c r="D155" s="209"/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  <c r="S155" s="209"/>
      <c r="T155" s="209"/>
      <c r="U155" s="209"/>
      <c r="V155" s="209"/>
      <c r="W155" s="209"/>
      <c r="X155" s="209"/>
      <c r="Y155" s="209"/>
      <c r="Z155" s="209"/>
    </row>
    <row r="156" ht="12.75" customHeight="1">
      <c r="A156" s="209"/>
      <c r="B156" s="209"/>
      <c r="C156" s="209"/>
      <c r="D156" s="209"/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  <c r="S156" s="209"/>
      <c r="T156" s="209"/>
      <c r="U156" s="209"/>
      <c r="V156" s="209"/>
      <c r="W156" s="209"/>
      <c r="X156" s="209"/>
      <c r="Y156" s="209"/>
      <c r="Z156" s="209"/>
    </row>
    <row r="157" ht="12.75" customHeight="1">
      <c r="A157" s="209"/>
      <c r="B157" s="209"/>
      <c r="C157" s="209"/>
      <c r="D157" s="209"/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</row>
    <row r="158" ht="12.75" customHeight="1">
      <c r="A158" s="209"/>
      <c r="B158" s="209"/>
      <c r="C158" s="209"/>
      <c r="D158" s="209"/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  <c r="S158" s="209"/>
      <c r="T158" s="209"/>
      <c r="U158" s="209"/>
      <c r="V158" s="209"/>
      <c r="W158" s="209"/>
      <c r="X158" s="209"/>
      <c r="Y158" s="209"/>
      <c r="Z158" s="209"/>
    </row>
    <row r="159" ht="12.75" customHeight="1">
      <c r="A159" s="209"/>
      <c r="B159" s="209"/>
      <c r="C159" s="209"/>
      <c r="D159" s="209"/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  <c r="S159" s="209"/>
      <c r="T159" s="209"/>
      <c r="U159" s="209"/>
      <c r="V159" s="209"/>
      <c r="W159" s="209"/>
      <c r="X159" s="209"/>
      <c r="Y159" s="209"/>
      <c r="Z159" s="209"/>
    </row>
    <row r="160" ht="12.75" customHeight="1">
      <c r="A160" s="209"/>
      <c r="B160" s="209"/>
      <c r="C160" s="209"/>
      <c r="D160" s="209"/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  <c r="S160" s="209"/>
      <c r="T160" s="209"/>
      <c r="U160" s="209"/>
      <c r="V160" s="209"/>
      <c r="W160" s="209"/>
      <c r="X160" s="209"/>
      <c r="Y160" s="209"/>
      <c r="Z160" s="209"/>
    </row>
    <row r="161" ht="12.75" customHeight="1">
      <c r="A161" s="209"/>
      <c r="B161" s="209"/>
      <c r="C161" s="209"/>
      <c r="D161" s="209"/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  <c r="S161" s="209"/>
      <c r="T161" s="209"/>
      <c r="U161" s="209"/>
      <c r="V161" s="209"/>
      <c r="W161" s="209"/>
      <c r="X161" s="209"/>
      <c r="Y161" s="209"/>
      <c r="Z161" s="209"/>
    </row>
    <row r="162" ht="12.75" customHeight="1">
      <c r="A162" s="209"/>
      <c r="B162" s="209"/>
      <c r="C162" s="209"/>
      <c r="D162" s="209"/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  <c r="S162" s="209"/>
      <c r="T162" s="209"/>
      <c r="U162" s="209"/>
      <c r="V162" s="209"/>
      <c r="W162" s="209"/>
      <c r="X162" s="209"/>
      <c r="Y162" s="209"/>
      <c r="Z162" s="209"/>
    </row>
    <row r="163" ht="12.75" customHeight="1">
      <c r="A163" s="209"/>
      <c r="B163" s="209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  <c r="S163" s="209"/>
      <c r="T163" s="209"/>
      <c r="U163" s="209"/>
      <c r="V163" s="209"/>
      <c r="W163" s="209"/>
      <c r="X163" s="209"/>
      <c r="Y163" s="209"/>
      <c r="Z163" s="209"/>
    </row>
    <row r="164" ht="12.75" customHeight="1">
      <c r="A164" s="209"/>
      <c r="B164" s="209"/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09"/>
      <c r="Z164" s="209"/>
    </row>
    <row r="165" ht="12.75" customHeight="1">
      <c r="A165" s="209"/>
      <c r="B165" s="209"/>
      <c r="C165" s="209"/>
      <c r="D165" s="209"/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  <c r="S165" s="209"/>
      <c r="T165" s="209"/>
      <c r="U165" s="209"/>
      <c r="V165" s="209"/>
      <c r="W165" s="209"/>
      <c r="X165" s="209"/>
      <c r="Y165" s="209"/>
      <c r="Z165" s="209"/>
    </row>
    <row r="166" ht="12.75" customHeight="1">
      <c r="A166" s="209"/>
      <c r="B166" s="209"/>
      <c r="C166" s="209"/>
      <c r="D166" s="209"/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  <c r="S166" s="209"/>
      <c r="T166" s="209"/>
      <c r="U166" s="209"/>
      <c r="V166" s="209"/>
      <c r="W166" s="209"/>
      <c r="X166" s="209"/>
      <c r="Y166" s="209"/>
      <c r="Z166" s="209"/>
    </row>
    <row r="167" ht="12.75" customHeight="1">
      <c r="A167" s="209"/>
      <c r="B167" s="209"/>
      <c r="C167" s="209"/>
      <c r="D167" s="209"/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  <c r="S167" s="209"/>
      <c r="T167" s="209"/>
      <c r="U167" s="209"/>
      <c r="V167" s="209"/>
      <c r="W167" s="209"/>
      <c r="X167" s="209"/>
      <c r="Y167" s="209"/>
      <c r="Z167" s="209"/>
    </row>
    <row r="168" ht="12.75" customHeight="1">
      <c r="A168" s="209"/>
      <c r="B168" s="209"/>
      <c r="C168" s="209"/>
      <c r="D168" s="209"/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  <c r="S168" s="209"/>
      <c r="T168" s="209"/>
      <c r="U168" s="209"/>
      <c r="V168" s="209"/>
      <c r="W168" s="209"/>
      <c r="X168" s="209"/>
      <c r="Y168" s="209"/>
      <c r="Z168" s="209"/>
    </row>
    <row r="169" ht="12.75" customHeight="1">
      <c r="A169" s="209"/>
      <c r="B169" s="209"/>
      <c r="C169" s="209"/>
      <c r="D169" s="209"/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  <c r="S169" s="209"/>
      <c r="T169" s="209"/>
      <c r="U169" s="209"/>
      <c r="V169" s="209"/>
      <c r="W169" s="209"/>
      <c r="X169" s="209"/>
      <c r="Y169" s="209"/>
      <c r="Z169" s="209"/>
    </row>
    <row r="170" ht="12.75" customHeight="1">
      <c r="A170" s="209"/>
      <c r="B170" s="209"/>
      <c r="C170" s="209"/>
      <c r="D170" s="209"/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  <c r="S170" s="209"/>
      <c r="T170" s="209"/>
      <c r="U170" s="209"/>
      <c r="V170" s="209"/>
      <c r="W170" s="209"/>
      <c r="X170" s="209"/>
      <c r="Y170" s="209"/>
      <c r="Z170" s="209"/>
    </row>
    <row r="171" ht="12.75" customHeight="1">
      <c r="A171" s="209"/>
      <c r="B171" s="209"/>
      <c r="C171" s="209"/>
      <c r="D171" s="209"/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  <c r="S171" s="209"/>
      <c r="T171" s="209"/>
      <c r="U171" s="209"/>
      <c r="V171" s="209"/>
      <c r="W171" s="209"/>
      <c r="X171" s="209"/>
      <c r="Y171" s="209"/>
      <c r="Z171" s="209"/>
    </row>
    <row r="172" ht="12.75" customHeight="1">
      <c r="A172" s="209"/>
      <c r="B172" s="209"/>
      <c r="C172" s="209"/>
      <c r="D172" s="209"/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  <c r="S172" s="209"/>
      <c r="T172" s="209"/>
      <c r="U172" s="209"/>
      <c r="V172" s="209"/>
      <c r="W172" s="209"/>
      <c r="X172" s="209"/>
      <c r="Y172" s="209"/>
      <c r="Z172" s="209"/>
    </row>
    <row r="173" ht="12.75" customHeight="1">
      <c r="A173" s="209"/>
      <c r="B173" s="209"/>
      <c r="C173" s="209"/>
      <c r="D173" s="209"/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  <c r="S173" s="209"/>
      <c r="T173" s="209"/>
      <c r="U173" s="209"/>
      <c r="V173" s="209"/>
      <c r="W173" s="209"/>
      <c r="X173" s="209"/>
      <c r="Y173" s="209"/>
      <c r="Z173" s="209"/>
    </row>
    <row r="174" ht="12.75" customHeight="1">
      <c r="A174" s="209"/>
      <c r="B174" s="209"/>
      <c r="C174" s="209"/>
      <c r="D174" s="209"/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  <c r="S174" s="209"/>
      <c r="T174" s="209"/>
      <c r="U174" s="209"/>
      <c r="V174" s="209"/>
      <c r="W174" s="209"/>
      <c r="X174" s="209"/>
      <c r="Y174" s="209"/>
      <c r="Z174" s="209"/>
    </row>
    <row r="175" ht="12.75" customHeight="1">
      <c r="A175" s="209"/>
      <c r="B175" s="209"/>
      <c r="C175" s="209"/>
      <c r="D175" s="209"/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  <c r="S175" s="209"/>
      <c r="T175" s="209"/>
      <c r="U175" s="209"/>
      <c r="V175" s="209"/>
      <c r="W175" s="209"/>
      <c r="X175" s="209"/>
      <c r="Y175" s="209"/>
      <c r="Z175" s="209"/>
    </row>
    <row r="176" ht="12.75" customHeight="1">
      <c r="A176" s="209"/>
      <c r="B176" s="209"/>
      <c r="C176" s="209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  <c r="X176" s="209"/>
      <c r="Y176" s="209"/>
      <c r="Z176" s="209"/>
    </row>
    <row r="177" ht="12.75" customHeight="1">
      <c r="A177" s="209"/>
      <c r="B177" s="209"/>
      <c r="C177" s="209"/>
      <c r="D177" s="209"/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  <c r="S177" s="209"/>
      <c r="T177" s="209"/>
      <c r="U177" s="209"/>
      <c r="V177" s="209"/>
      <c r="W177" s="209"/>
      <c r="X177" s="209"/>
      <c r="Y177" s="209"/>
      <c r="Z177" s="209"/>
    </row>
    <row r="178" ht="12.75" customHeight="1">
      <c r="A178" s="209"/>
      <c r="B178" s="209"/>
      <c r="C178" s="209"/>
      <c r="D178" s="209"/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  <c r="S178" s="209"/>
      <c r="T178" s="209"/>
      <c r="U178" s="209"/>
      <c r="V178" s="209"/>
      <c r="W178" s="209"/>
      <c r="X178" s="209"/>
      <c r="Y178" s="209"/>
      <c r="Z178" s="209"/>
    </row>
    <row r="179" ht="12.75" customHeight="1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</row>
    <row r="180" ht="12.75" customHeight="1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</row>
    <row r="181" ht="12.75" customHeight="1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</row>
    <row r="182" ht="12.75" customHeight="1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</row>
    <row r="183" ht="12.75" customHeight="1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</row>
    <row r="184" ht="12.75" customHeight="1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</row>
    <row r="185" ht="12.75" customHeight="1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</row>
    <row r="186" ht="12.75" customHeight="1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</row>
    <row r="187" ht="12.75" customHeight="1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</row>
    <row r="188" ht="12.75" customHeight="1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</row>
    <row r="189" ht="12.75" customHeight="1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</row>
    <row r="190" ht="12.75" customHeight="1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</row>
    <row r="191" ht="12.75" customHeight="1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</row>
    <row r="192" ht="12.75" customHeight="1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</row>
    <row r="193" ht="12.75" customHeight="1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</row>
    <row r="194" ht="12.75" customHeight="1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</row>
    <row r="195" ht="12.75" customHeight="1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</row>
    <row r="196" ht="12.75" customHeight="1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</row>
    <row r="197" ht="12.75" customHeight="1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</row>
    <row r="198" ht="12.75" customHeight="1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</row>
    <row r="199" ht="12.75" customHeight="1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</row>
    <row r="200" ht="12.75" customHeight="1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</row>
    <row r="201" ht="12.75" customHeight="1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</row>
    <row r="202" ht="12.75" customHeight="1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</row>
    <row r="203" ht="12.75" customHeight="1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</row>
    <row r="204" ht="12.75" customHeight="1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</row>
    <row r="205" ht="12.75" customHeight="1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</row>
    <row r="206" ht="12.75" customHeight="1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</row>
    <row r="207" ht="12.75" customHeight="1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</row>
    <row r="208" ht="12.75" customHeight="1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</row>
    <row r="209" ht="12.75" customHeight="1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</row>
    <row r="210" ht="12.75" customHeight="1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</row>
    <row r="211" ht="12.75" customHeight="1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</row>
    <row r="212" ht="12.75" customHeight="1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</row>
    <row r="213" ht="12.75" customHeight="1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</row>
    <row r="214" ht="12.75" customHeight="1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</row>
    <row r="215" ht="12.75" customHeight="1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</row>
    <row r="216" ht="12.75" customHeight="1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</row>
    <row r="217" ht="12.75" customHeight="1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</row>
    <row r="218" ht="12.75" customHeight="1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</row>
    <row r="219" ht="12.75" customHeight="1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</row>
    <row r="220" ht="12.75" customHeight="1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</row>
    <row r="221" ht="12.75" customHeight="1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</row>
    <row r="222" ht="12.75" customHeight="1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</row>
    <row r="223" ht="12.75" customHeight="1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</row>
    <row r="224" ht="12.75" customHeight="1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</row>
    <row r="225" ht="12.75" customHeight="1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</row>
    <row r="226" ht="12.75" customHeight="1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</row>
    <row r="227" ht="12.75" customHeight="1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</row>
    <row r="228" ht="12.75" customHeight="1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</row>
    <row r="229" ht="12.75" customHeight="1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</row>
    <row r="230" ht="12.75" customHeight="1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</row>
    <row r="231" ht="12.75" customHeight="1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</row>
    <row r="232" ht="12.75" customHeight="1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</row>
    <row r="233" ht="12.75" customHeight="1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</row>
    <row r="234" ht="12.75" customHeight="1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</row>
    <row r="235" ht="12.75" customHeight="1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</row>
    <row r="236" ht="12.75" customHeight="1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</row>
    <row r="237" ht="12.75" customHeight="1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</row>
    <row r="238" ht="12.75" customHeight="1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</row>
    <row r="239" ht="12.75" customHeight="1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</row>
    <row r="240" ht="12.75" customHeight="1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</row>
    <row r="241" ht="12.75" customHeight="1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</row>
    <row r="242" ht="12.75" customHeight="1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</row>
    <row r="243" ht="12.75" customHeight="1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</row>
    <row r="244" ht="12.75" customHeight="1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</row>
    <row r="245" ht="12.75" customHeight="1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</row>
    <row r="246" ht="12.75" customHeight="1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</row>
    <row r="247" ht="12.75" customHeight="1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</row>
    <row r="248" ht="12.75" customHeight="1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</row>
    <row r="249" ht="12.75" customHeight="1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</row>
    <row r="250" ht="12.75" customHeight="1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</row>
    <row r="251" ht="12.75" customHeight="1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</row>
    <row r="252" ht="12.75" customHeight="1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</row>
    <row r="253" ht="12.75" customHeight="1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</row>
    <row r="254" ht="12.75" customHeight="1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</row>
    <row r="255" ht="12.75" customHeight="1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</row>
    <row r="256" ht="12.75" customHeight="1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</row>
    <row r="257" ht="12.75" customHeight="1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</row>
    <row r="258" ht="12.75" customHeight="1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</row>
    <row r="259" ht="12.75" customHeight="1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</row>
    <row r="260" ht="12.75" customHeight="1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</row>
    <row r="261" ht="12.75" customHeight="1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</row>
    <row r="262" ht="12.75" customHeight="1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</row>
    <row r="263" ht="12.75" customHeight="1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</row>
    <row r="264" ht="12.75" customHeight="1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</row>
    <row r="265" ht="12.75" customHeight="1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</row>
    <row r="266" ht="12.75" customHeight="1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</row>
    <row r="267" ht="12.75" customHeight="1">
      <c r="A267" s="209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</row>
    <row r="268" ht="12.75" customHeight="1">
      <c r="A268" s="209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</row>
    <row r="269" ht="12.75" customHeight="1">
      <c r="A269" s="209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</row>
    <row r="270" ht="12.75" customHeight="1">
      <c r="A270" s="209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</row>
    <row r="271" ht="12.75" customHeight="1">
      <c r="A271" s="209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</row>
    <row r="272" ht="12.75" customHeight="1">
      <c r="A272" s="209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</row>
    <row r="273" ht="12.75" customHeight="1">
      <c r="A273" s="209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</row>
    <row r="274" ht="12.75" customHeight="1">
      <c r="A274" s="209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</row>
    <row r="275" ht="12.75" customHeight="1">
      <c r="A275" s="209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</row>
    <row r="276" ht="12.75" customHeight="1">
      <c r="A276" s="209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</row>
    <row r="277" ht="12.75" customHeight="1">
      <c r="A277" s="209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</row>
    <row r="278" ht="12.75" customHeight="1">
      <c r="A278" s="209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</row>
    <row r="279" ht="12.75" customHeight="1">
      <c r="A279" s="209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</row>
    <row r="280" ht="12.75" customHeight="1">
      <c r="A280" s="209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</row>
    <row r="281" ht="12.75" customHeight="1">
      <c r="A281" s="209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</row>
    <row r="282" ht="12.75" customHeight="1">
      <c r="A282" s="209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</row>
    <row r="283" ht="12.75" customHeight="1">
      <c r="A283" s="209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</row>
    <row r="284" ht="12.75" customHeight="1">
      <c r="A284" s="209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</row>
    <row r="285" ht="12.75" customHeight="1">
      <c r="A285" s="209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</row>
    <row r="286" ht="12.75" customHeight="1">
      <c r="A286" s="209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</row>
    <row r="287" ht="12.75" customHeight="1">
      <c r="A287" s="209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</row>
    <row r="288" ht="12.75" customHeight="1">
      <c r="A288" s="209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</row>
    <row r="289" ht="12.75" customHeight="1">
      <c r="A289" s="209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</row>
    <row r="290" ht="12.75" customHeight="1">
      <c r="A290" s="209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</row>
    <row r="291" ht="12.75" customHeight="1">
      <c r="A291" s="209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</row>
    <row r="292" ht="12.75" customHeight="1">
      <c r="A292" s="209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</row>
    <row r="293" ht="12.75" customHeight="1">
      <c r="A293" s="209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</row>
    <row r="294" ht="12.75" customHeight="1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</row>
    <row r="295" ht="12.75" customHeight="1">
      <c r="A295" s="209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</row>
    <row r="296" ht="12.75" customHeight="1">
      <c r="A296" s="209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</row>
    <row r="297" ht="12.75" customHeight="1">
      <c r="A297" s="209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</row>
    <row r="298" ht="12.75" customHeight="1">
      <c r="A298" s="209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</row>
    <row r="299" ht="12.75" customHeight="1">
      <c r="A299" s="209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</row>
    <row r="300" ht="12.75" customHeight="1">
      <c r="A300" s="209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</row>
    <row r="301" ht="12.75" customHeight="1">
      <c r="A301" s="209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</row>
    <row r="302" ht="12.75" customHeight="1">
      <c r="A302" s="209"/>
      <c r="B302" s="209"/>
      <c r="C302" s="209"/>
      <c r="D302" s="209"/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  <c r="S302" s="209"/>
      <c r="T302" s="209"/>
      <c r="U302" s="209"/>
      <c r="V302" s="209"/>
      <c r="W302" s="209"/>
      <c r="X302" s="209"/>
      <c r="Y302" s="209"/>
      <c r="Z302" s="209"/>
    </row>
    <row r="303" ht="12.75" customHeight="1">
      <c r="A303" s="209"/>
      <c r="B303" s="209"/>
      <c r="C303" s="209"/>
      <c r="D303" s="209"/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  <c r="S303" s="209"/>
      <c r="T303" s="209"/>
      <c r="U303" s="209"/>
      <c r="V303" s="209"/>
      <c r="W303" s="209"/>
      <c r="X303" s="209"/>
      <c r="Y303" s="209"/>
      <c r="Z303" s="209"/>
    </row>
    <row r="304" ht="12.75" customHeight="1">
      <c r="A304" s="209"/>
      <c r="B304" s="209"/>
      <c r="C304" s="209"/>
      <c r="D304" s="209"/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  <c r="S304" s="209"/>
      <c r="T304" s="209"/>
      <c r="U304" s="209"/>
      <c r="V304" s="209"/>
      <c r="W304" s="209"/>
      <c r="X304" s="209"/>
      <c r="Y304" s="209"/>
      <c r="Z304" s="209"/>
    </row>
    <row r="305" ht="12.75" customHeight="1">
      <c r="A305" s="209"/>
      <c r="B305" s="209"/>
      <c r="C305" s="209"/>
      <c r="D305" s="209"/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  <c r="S305" s="209"/>
      <c r="T305" s="209"/>
      <c r="U305" s="209"/>
      <c r="V305" s="209"/>
      <c r="W305" s="209"/>
      <c r="X305" s="209"/>
      <c r="Y305" s="209"/>
      <c r="Z305" s="209"/>
    </row>
    <row r="306" ht="12.75" customHeight="1">
      <c r="A306" s="209"/>
      <c r="B306" s="209"/>
      <c r="C306" s="209"/>
      <c r="D306" s="209"/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  <c r="S306" s="209"/>
      <c r="T306" s="209"/>
      <c r="U306" s="209"/>
      <c r="V306" s="209"/>
      <c r="W306" s="209"/>
      <c r="X306" s="209"/>
      <c r="Y306" s="209"/>
      <c r="Z306" s="209"/>
    </row>
    <row r="307" ht="12.75" customHeight="1">
      <c r="A307" s="209"/>
      <c r="B307" s="209"/>
      <c r="C307" s="209"/>
      <c r="D307" s="209"/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  <c r="S307" s="209"/>
      <c r="T307" s="209"/>
      <c r="U307" s="209"/>
      <c r="V307" s="209"/>
      <c r="W307" s="209"/>
      <c r="X307" s="209"/>
      <c r="Y307" s="209"/>
      <c r="Z307" s="209"/>
    </row>
    <row r="308" ht="12.75" customHeight="1">
      <c r="A308" s="209"/>
      <c r="B308" s="209"/>
      <c r="C308" s="209"/>
      <c r="D308" s="209"/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  <c r="S308" s="209"/>
      <c r="T308" s="209"/>
      <c r="U308" s="209"/>
      <c r="V308" s="209"/>
      <c r="W308" s="209"/>
      <c r="X308" s="209"/>
      <c r="Y308" s="209"/>
      <c r="Z308" s="209"/>
    </row>
    <row r="309" ht="12.75" customHeight="1">
      <c r="A309" s="209"/>
      <c r="B309" s="209"/>
      <c r="C309" s="209"/>
      <c r="D309" s="209"/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  <c r="S309" s="209"/>
      <c r="T309" s="209"/>
      <c r="U309" s="209"/>
      <c r="V309" s="209"/>
      <c r="W309" s="209"/>
      <c r="X309" s="209"/>
      <c r="Y309" s="209"/>
      <c r="Z309" s="209"/>
    </row>
    <row r="310" ht="12.75" customHeight="1">
      <c r="A310" s="209"/>
      <c r="B310" s="209"/>
      <c r="C310" s="209"/>
      <c r="D310" s="209"/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  <c r="S310" s="209"/>
      <c r="T310" s="209"/>
      <c r="U310" s="209"/>
      <c r="V310" s="209"/>
      <c r="W310" s="209"/>
      <c r="X310" s="209"/>
      <c r="Y310" s="209"/>
      <c r="Z310" s="209"/>
    </row>
    <row r="311" ht="12.75" customHeight="1">
      <c r="A311" s="209"/>
      <c r="B311" s="209"/>
      <c r="C311" s="209"/>
      <c r="D311" s="209"/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  <c r="S311" s="209"/>
      <c r="T311" s="209"/>
      <c r="U311" s="209"/>
      <c r="V311" s="209"/>
      <c r="W311" s="209"/>
      <c r="X311" s="209"/>
      <c r="Y311" s="209"/>
      <c r="Z311" s="209"/>
    </row>
    <row r="312" ht="12.75" customHeight="1">
      <c r="A312" s="209"/>
      <c r="B312" s="209"/>
      <c r="C312" s="209"/>
      <c r="D312" s="209"/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  <c r="S312" s="209"/>
      <c r="T312" s="209"/>
      <c r="U312" s="209"/>
      <c r="V312" s="209"/>
      <c r="W312" s="209"/>
      <c r="X312" s="209"/>
      <c r="Y312" s="209"/>
      <c r="Z312" s="209"/>
    </row>
    <row r="313" ht="12.75" customHeight="1">
      <c r="A313" s="209"/>
      <c r="B313" s="209"/>
      <c r="C313" s="209"/>
      <c r="D313" s="209"/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  <c r="S313" s="209"/>
      <c r="T313" s="209"/>
      <c r="U313" s="209"/>
      <c r="V313" s="209"/>
      <c r="W313" s="209"/>
      <c r="X313" s="209"/>
      <c r="Y313" s="209"/>
      <c r="Z313" s="209"/>
    </row>
    <row r="314" ht="12.75" customHeight="1">
      <c r="A314" s="209"/>
      <c r="B314" s="209"/>
      <c r="C314" s="209"/>
      <c r="D314" s="209"/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  <c r="S314" s="209"/>
      <c r="T314" s="209"/>
      <c r="U314" s="209"/>
      <c r="V314" s="209"/>
      <c r="W314" s="209"/>
      <c r="X314" s="209"/>
      <c r="Y314" s="209"/>
      <c r="Z314" s="209"/>
    </row>
    <row r="315" ht="12.75" customHeight="1">
      <c r="A315" s="209"/>
      <c r="B315" s="209"/>
      <c r="C315" s="209"/>
      <c r="D315" s="209"/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  <c r="S315" s="209"/>
      <c r="T315" s="209"/>
      <c r="U315" s="209"/>
      <c r="V315" s="209"/>
      <c r="W315" s="209"/>
      <c r="X315" s="209"/>
      <c r="Y315" s="209"/>
      <c r="Z315" s="209"/>
    </row>
    <row r="316" ht="12.75" customHeight="1">
      <c r="A316" s="209"/>
      <c r="B316" s="209"/>
      <c r="C316" s="209"/>
      <c r="D316" s="209"/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  <c r="S316" s="209"/>
      <c r="T316" s="209"/>
      <c r="U316" s="209"/>
      <c r="V316" s="209"/>
      <c r="W316" s="209"/>
      <c r="X316" s="209"/>
      <c r="Y316" s="209"/>
      <c r="Z316" s="209"/>
    </row>
    <row r="317" ht="12.75" customHeight="1">
      <c r="A317" s="209"/>
      <c r="B317" s="209"/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09"/>
      <c r="Z317" s="209"/>
    </row>
    <row r="318" ht="12.75" customHeight="1">
      <c r="A318" s="209"/>
      <c r="B318" s="209"/>
      <c r="C318" s="209"/>
      <c r="D318" s="209"/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  <c r="S318" s="209"/>
      <c r="T318" s="209"/>
      <c r="U318" s="209"/>
      <c r="V318" s="209"/>
      <c r="W318" s="209"/>
      <c r="X318" s="209"/>
      <c r="Y318" s="209"/>
      <c r="Z318" s="209"/>
    </row>
    <row r="319" ht="12.75" customHeight="1">
      <c r="A319" s="209"/>
      <c r="B319" s="209"/>
      <c r="C319" s="209"/>
      <c r="D319" s="209"/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  <c r="S319" s="209"/>
      <c r="T319" s="209"/>
      <c r="U319" s="209"/>
      <c r="V319" s="209"/>
      <c r="W319" s="209"/>
      <c r="X319" s="209"/>
      <c r="Y319" s="209"/>
      <c r="Z319" s="209"/>
    </row>
    <row r="320" ht="12.75" customHeight="1">
      <c r="A320" s="209"/>
      <c r="B320" s="209"/>
      <c r="C320" s="209"/>
      <c r="D320" s="209"/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  <c r="S320" s="209"/>
      <c r="T320" s="209"/>
      <c r="U320" s="209"/>
      <c r="V320" s="209"/>
      <c r="W320" s="209"/>
      <c r="X320" s="209"/>
      <c r="Y320" s="209"/>
      <c r="Z320" s="209"/>
    </row>
    <row r="321" ht="12.75" customHeight="1">
      <c r="A321" s="209"/>
      <c r="B321" s="209"/>
      <c r="C321" s="209"/>
      <c r="D321" s="209"/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  <c r="S321" s="209"/>
      <c r="T321" s="209"/>
      <c r="U321" s="209"/>
      <c r="V321" s="209"/>
      <c r="W321" s="209"/>
      <c r="X321" s="209"/>
      <c r="Y321" s="209"/>
      <c r="Z321" s="209"/>
    </row>
    <row r="322" ht="12.75" customHeight="1">
      <c r="A322" s="209"/>
      <c r="B322" s="209"/>
      <c r="C322" s="209"/>
      <c r="D322" s="209"/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  <c r="S322" s="209"/>
      <c r="T322" s="209"/>
      <c r="U322" s="209"/>
      <c r="V322" s="209"/>
      <c r="W322" s="209"/>
      <c r="X322" s="209"/>
      <c r="Y322" s="209"/>
      <c r="Z322" s="209"/>
    </row>
    <row r="323" ht="12.75" customHeight="1">
      <c r="A323" s="209"/>
      <c r="B323" s="209"/>
      <c r="C323" s="209"/>
      <c r="D323" s="209"/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  <c r="S323" s="209"/>
      <c r="T323" s="209"/>
      <c r="U323" s="209"/>
      <c r="V323" s="209"/>
      <c r="W323" s="209"/>
      <c r="X323" s="209"/>
      <c r="Y323" s="209"/>
      <c r="Z323" s="209"/>
    </row>
    <row r="324" ht="12.75" customHeight="1">
      <c r="A324" s="209"/>
      <c r="B324" s="209"/>
      <c r="C324" s="209"/>
      <c r="D324" s="209"/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  <c r="S324" s="209"/>
      <c r="T324" s="209"/>
      <c r="U324" s="209"/>
      <c r="V324" s="209"/>
      <c r="W324" s="209"/>
      <c r="X324" s="209"/>
      <c r="Y324" s="209"/>
      <c r="Z324" s="209"/>
    </row>
    <row r="325" ht="12.75" customHeight="1">
      <c r="A325" s="209"/>
      <c r="B325" s="209"/>
      <c r="C325" s="209"/>
      <c r="D325" s="209"/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  <c r="S325" s="209"/>
      <c r="T325" s="209"/>
      <c r="U325" s="209"/>
      <c r="V325" s="209"/>
      <c r="W325" s="209"/>
      <c r="X325" s="209"/>
      <c r="Y325" s="209"/>
      <c r="Z325" s="209"/>
    </row>
    <row r="326" ht="12.75" customHeight="1">
      <c r="A326" s="209"/>
      <c r="B326" s="209"/>
      <c r="C326" s="209"/>
      <c r="D326" s="209"/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  <c r="S326" s="209"/>
      <c r="T326" s="209"/>
      <c r="U326" s="209"/>
      <c r="V326" s="209"/>
      <c r="W326" s="209"/>
      <c r="X326" s="209"/>
      <c r="Y326" s="209"/>
      <c r="Z326" s="209"/>
    </row>
    <row r="327" ht="12.75" customHeight="1">
      <c r="A327" s="209"/>
      <c r="B327" s="209"/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</row>
    <row r="328" ht="12.75" customHeight="1">
      <c r="A328" s="209"/>
      <c r="B328" s="209"/>
      <c r="C328" s="209"/>
      <c r="D328" s="209"/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  <c r="S328" s="209"/>
      <c r="T328" s="209"/>
      <c r="U328" s="209"/>
      <c r="V328" s="209"/>
      <c r="W328" s="209"/>
      <c r="X328" s="209"/>
      <c r="Y328" s="209"/>
      <c r="Z328" s="209"/>
    </row>
    <row r="329" ht="12.75" customHeight="1">
      <c r="A329" s="209"/>
      <c r="B329" s="209"/>
      <c r="C329" s="209"/>
      <c r="D329" s="209"/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  <c r="S329" s="209"/>
      <c r="T329" s="209"/>
      <c r="U329" s="209"/>
      <c r="V329" s="209"/>
      <c r="W329" s="209"/>
      <c r="X329" s="209"/>
      <c r="Y329" s="209"/>
      <c r="Z329" s="209"/>
    </row>
    <row r="330" ht="12.75" customHeight="1">
      <c r="A330" s="209"/>
      <c r="B330" s="209"/>
      <c r="C330" s="209"/>
      <c r="D330" s="209"/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  <c r="S330" s="209"/>
      <c r="T330" s="209"/>
      <c r="U330" s="209"/>
      <c r="V330" s="209"/>
      <c r="W330" s="209"/>
      <c r="X330" s="209"/>
      <c r="Y330" s="209"/>
      <c r="Z330" s="209"/>
    </row>
    <row r="331" ht="12.75" customHeight="1">
      <c r="A331" s="209"/>
      <c r="B331" s="209"/>
      <c r="C331" s="209"/>
      <c r="D331" s="209"/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  <c r="S331" s="209"/>
      <c r="T331" s="209"/>
      <c r="U331" s="209"/>
      <c r="V331" s="209"/>
      <c r="W331" s="209"/>
      <c r="X331" s="209"/>
      <c r="Y331" s="209"/>
      <c r="Z331" s="209"/>
    </row>
    <row r="332" ht="12.75" customHeight="1">
      <c r="A332" s="209"/>
      <c r="B332" s="209"/>
      <c r="C332" s="209"/>
      <c r="D332" s="209"/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  <c r="S332" s="209"/>
      <c r="T332" s="209"/>
      <c r="U332" s="209"/>
      <c r="V332" s="209"/>
      <c r="W332" s="209"/>
      <c r="X332" s="209"/>
      <c r="Y332" s="209"/>
      <c r="Z332" s="209"/>
    </row>
    <row r="333" ht="12.75" customHeight="1">
      <c r="A333" s="209"/>
      <c r="B333" s="209"/>
      <c r="C333" s="209"/>
      <c r="D333" s="209"/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  <c r="S333" s="209"/>
      <c r="T333" s="209"/>
      <c r="U333" s="209"/>
      <c r="V333" s="209"/>
      <c r="W333" s="209"/>
      <c r="X333" s="209"/>
      <c r="Y333" s="209"/>
      <c r="Z333" s="209"/>
    </row>
    <row r="334" ht="12.75" customHeight="1">
      <c r="A334" s="209"/>
      <c r="B334" s="209"/>
      <c r="C334" s="209"/>
      <c r="D334" s="209"/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  <c r="S334" s="209"/>
      <c r="T334" s="209"/>
      <c r="U334" s="209"/>
      <c r="V334" s="209"/>
      <c r="W334" s="209"/>
      <c r="X334" s="209"/>
      <c r="Y334" s="209"/>
      <c r="Z334" s="209"/>
    </row>
    <row r="335" ht="12.75" customHeight="1">
      <c r="A335" s="209"/>
      <c r="B335" s="209"/>
      <c r="C335" s="209"/>
      <c r="D335" s="209"/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  <c r="S335" s="209"/>
      <c r="T335" s="209"/>
      <c r="U335" s="209"/>
      <c r="V335" s="209"/>
      <c r="W335" s="209"/>
      <c r="X335" s="209"/>
      <c r="Y335" s="209"/>
      <c r="Z335" s="209"/>
    </row>
    <row r="336" ht="12.75" customHeight="1">
      <c r="A336" s="209"/>
      <c r="B336" s="209"/>
      <c r="C336" s="209"/>
      <c r="D336" s="209"/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  <c r="S336" s="209"/>
      <c r="T336" s="209"/>
      <c r="U336" s="209"/>
      <c r="V336" s="209"/>
      <c r="W336" s="209"/>
      <c r="X336" s="209"/>
      <c r="Y336" s="209"/>
      <c r="Z336" s="209"/>
    </row>
    <row r="337" ht="12.75" customHeight="1">
      <c r="A337" s="209"/>
      <c r="B337" s="209"/>
      <c r="C337" s="209"/>
      <c r="D337" s="209"/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  <c r="S337" s="209"/>
      <c r="T337" s="209"/>
      <c r="U337" s="209"/>
      <c r="V337" s="209"/>
      <c r="W337" s="209"/>
      <c r="X337" s="209"/>
      <c r="Y337" s="209"/>
      <c r="Z337" s="209"/>
    </row>
    <row r="338" ht="12.75" customHeight="1">
      <c r="A338" s="209"/>
      <c r="B338" s="209"/>
      <c r="C338" s="209"/>
      <c r="D338" s="209"/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  <c r="S338" s="209"/>
      <c r="T338" s="209"/>
      <c r="U338" s="209"/>
      <c r="V338" s="209"/>
      <c r="W338" s="209"/>
      <c r="X338" s="209"/>
      <c r="Y338" s="209"/>
      <c r="Z338" s="209"/>
    </row>
    <row r="339" ht="12.75" customHeight="1">
      <c r="A339" s="209"/>
      <c r="B339" s="209"/>
      <c r="C339" s="209"/>
      <c r="D339" s="209"/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  <c r="S339" s="209"/>
      <c r="T339" s="209"/>
      <c r="U339" s="209"/>
      <c r="V339" s="209"/>
      <c r="W339" s="209"/>
      <c r="X339" s="209"/>
      <c r="Y339" s="209"/>
      <c r="Z339" s="209"/>
    </row>
    <row r="340" ht="12.75" customHeight="1">
      <c r="A340" s="209"/>
      <c r="B340" s="209"/>
      <c r="C340" s="209"/>
      <c r="D340" s="209"/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  <c r="S340" s="209"/>
      <c r="T340" s="209"/>
      <c r="U340" s="209"/>
      <c r="V340" s="209"/>
      <c r="W340" s="209"/>
      <c r="X340" s="209"/>
      <c r="Y340" s="209"/>
      <c r="Z340" s="209"/>
    </row>
    <row r="341" ht="12.75" customHeight="1">
      <c r="A341" s="209"/>
      <c r="B341" s="209"/>
      <c r="C341" s="209"/>
      <c r="D341" s="209"/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  <c r="S341" s="209"/>
      <c r="T341" s="209"/>
      <c r="U341" s="209"/>
      <c r="V341" s="209"/>
      <c r="W341" s="209"/>
      <c r="X341" s="209"/>
      <c r="Y341" s="209"/>
      <c r="Z341" s="209"/>
    </row>
    <row r="342" ht="12.75" customHeight="1">
      <c r="A342" s="209"/>
      <c r="B342" s="209"/>
      <c r="C342" s="209"/>
      <c r="D342" s="209"/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  <c r="S342" s="209"/>
      <c r="T342" s="209"/>
      <c r="U342" s="209"/>
      <c r="V342" s="209"/>
      <c r="W342" s="209"/>
      <c r="X342" s="209"/>
      <c r="Y342" s="209"/>
      <c r="Z342" s="209"/>
    </row>
    <row r="343" ht="12.75" customHeight="1">
      <c r="A343" s="209"/>
      <c r="B343" s="209"/>
      <c r="C343" s="209"/>
      <c r="D343" s="209"/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  <c r="S343" s="209"/>
      <c r="T343" s="209"/>
      <c r="U343" s="209"/>
      <c r="V343" s="209"/>
      <c r="W343" s="209"/>
      <c r="X343" s="209"/>
      <c r="Y343" s="209"/>
      <c r="Z343" s="209"/>
    </row>
    <row r="344" ht="12.75" customHeight="1">
      <c r="A344" s="209"/>
      <c r="B344" s="209"/>
      <c r="C344" s="209"/>
      <c r="D344" s="209"/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  <c r="S344" s="209"/>
      <c r="T344" s="209"/>
      <c r="U344" s="209"/>
      <c r="V344" s="209"/>
      <c r="W344" s="209"/>
      <c r="X344" s="209"/>
      <c r="Y344" s="209"/>
      <c r="Z344" s="209"/>
    </row>
    <row r="345" ht="12.75" customHeight="1">
      <c r="A345" s="209"/>
      <c r="B345" s="209"/>
      <c r="C345" s="209"/>
      <c r="D345" s="209"/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  <c r="S345" s="209"/>
      <c r="T345" s="209"/>
      <c r="U345" s="209"/>
      <c r="V345" s="209"/>
      <c r="W345" s="209"/>
      <c r="X345" s="209"/>
      <c r="Y345" s="209"/>
      <c r="Z345" s="209"/>
    </row>
    <row r="346" ht="12.75" customHeight="1">
      <c r="A346" s="209"/>
      <c r="B346" s="209"/>
      <c r="C346" s="209"/>
      <c r="D346" s="209"/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  <c r="S346" s="209"/>
      <c r="T346" s="209"/>
      <c r="U346" s="209"/>
      <c r="V346" s="209"/>
      <c r="W346" s="209"/>
      <c r="X346" s="209"/>
      <c r="Y346" s="209"/>
      <c r="Z346" s="209"/>
    </row>
    <row r="347" ht="12.75" customHeight="1">
      <c r="A347" s="209"/>
      <c r="B347" s="209"/>
      <c r="C347" s="209"/>
      <c r="D347" s="209"/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  <c r="S347" s="209"/>
      <c r="T347" s="209"/>
      <c r="U347" s="209"/>
      <c r="V347" s="209"/>
      <c r="W347" s="209"/>
      <c r="X347" s="209"/>
      <c r="Y347" s="209"/>
      <c r="Z347" s="209"/>
    </row>
    <row r="348" ht="12.75" customHeight="1">
      <c r="A348" s="209"/>
      <c r="B348" s="209"/>
      <c r="C348" s="209"/>
      <c r="D348" s="209"/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  <c r="S348" s="209"/>
      <c r="T348" s="209"/>
      <c r="U348" s="209"/>
      <c r="V348" s="209"/>
      <c r="W348" s="209"/>
      <c r="X348" s="209"/>
      <c r="Y348" s="209"/>
      <c r="Z348" s="209"/>
    </row>
    <row r="349" ht="12.75" customHeight="1">
      <c r="A349" s="209"/>
      <c r="B349" s="209"/>
      <c r="C349" s="209"/>
      <c r="D349" s="209"/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  <c r="S349" s="209"/>
      <c r="T349" s="209"/>
      <c r="U349" s="209"/>
      <c r="V349" s="209"/>
      <c r="W349" s="209"/>
      <c r="X349" s="209"/>
      <c r="Y349" s="209"/>
      <c r="Z349" s="209"/>
    </row>
    <row r="350" ht="12.75" customHeight="1">
      <c r="A350" s="209"/>
      <c r="B350" s="209"/>
      <c r="C350" s="209"/>
      <c r="D350" s="209"/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  <c r="S350" s="209"/>
      <c r="T350" s="209"/>
      <c r="U350" s="209"/>
      <c r="V350" s="209"/>
      <c r="W350" s="209"/>
      <c r="X350" s="209"/>
      <c r="Y350" s="209"/>
      <c r="Z350" s="209"/>
    </row>
    <row r="351" ht="12.75" customHeight="1">
      <c r="A351" s="209"/>
      <c r="B351" s="209"/>
      <c r="C351" s="209"/>
      <c r="D351" s="209"/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  <c r="S351" s="209"/>
      <c r="T351" s="209"/>
      <c r="U351" s="209"/>
      <c r="V351" s="209"/>
      <c r="W351" s="209"/>
      <c r="X351" s="209"/>
      <c r="Y351" s="209"/>
      <c r="Z351" s="209"/>
    </row>
    <row r="352" ht="12.75" customHeight="1">
      <c r="A352" s="209"/>
      <c r="B352" s="209"/>
      <c r="C352" s="209"/>
      <c r="D352" s="209"/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  <c r="S352" s="209"/>
      <c r="T352" s="209"/>
      <c r="U352" s="209"/>
      <c r="V352" s="209"/>
      <c r="W352" s="209"/>
      <c r="X352" s="209"/>
      <c r="Y352" s="209"/>
      <c r="Z352" s="209"/>
    </row>
    <row r="353" ht="12.75" customHeight="1">
      <c r="A353" s="209"/>
      <c r="B353" s="209"/>
      <c r="C353" s="209"/>
      <c r="D353" s="209"/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  <c r="S353" s="209"/>
      <c r="T353" s="209"/>
      <c r="U353" s="209"/>
      <c r="V353" s="209"/>
      <c r="W353" s="209"/>
      <c r="X353" s="209"/>
      <c r="Y353" s="209"/>
      <c r="Z353" s="209"/>
    </row>
    <row r="354" ht="12.75" customHeight="1">
      <c r="A354" s="209"/>
      <c r="B354" s="209"/>
      <c r="C354" s="209"/>
      <c r="D354" s="209"/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  <c r="S354" s="209"/>
      <c r="T354" s="209"/>
      <c r="U354" s="209"/>
      <c r="V354" s="209"/>
      <c r="W354" s="209"/>
      <c r="X354" s="209"/>
      <c r="Y354" s="209"/>
      <c r="Z354" s="209"/>
    </row>
    <row r="355" ht="12.75" customHeight="1">
      <c r="A355" s="209"/>
      <c r="B355" s="209"/>
      <c r="C355" s="209"/>
      <c r="D355" s="209"/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  <c r="S355" s="209"/>
      <c r="T355" s="209"/>
      <c r="U355" s="209"/>
      <c r="V355" s="209"/>
      <c r="W355" s="209"/>
      <c r="X355" s="209"/>
      <c r="Y355" s="209"/>
      <c r="Z355" s="209"/>
    </row>
    <row r="356" ht="12.75" customHeight="1">
      <c r="A356" s="209"/>
      <c r="B356" s="209"/>
      <c r="C356" s="209"/>
      <c r="D356" s="209"/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  <c r="S356" s="209"/>
      <c r="T356" s="209"/>
      <c r="U356" s="209"/>
      <c r="V356" s="209"/>
      <c r="W356" s="209"/>
      <c r="X356" s="209"/>
      <c r="Y356" s="209"/>
      <c r="Z356" s="209"/>
    </row>
    <row r="357" ht="12.75" customHeight="1">
      <c r="A357" s="209"/>
      <c r="B357" s="209"/>
      <c r="C357" s="209"/>
      <c r="D357" s="209"/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  <c r="S357" s="209"/>
      <c r="T357" s="209"/>
      <c r="U357" s="209"/>
      <c r="V357" s="209"/>
      <c r="W357" s="209"/>
      <c r="X357" s="209"/>
      <c r="Y357" s="209"/>
      <c r="Z357" s="209"/>
    </row>
    <row r="358" ht="12.75" customHeight="1">
      <c r="A358" s="209"/>
      <c r="B358" s="209"/>
      <c r="C358" s="209"/>
      <c r="D358" s="209"/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  <c r="S358" s="209"/>
      <c r="T358" s="209"/>
      <c r="U358" s="209"/>
      <c r="V358" s="209"/>
      <c r="W358" s="209"/>
      <c r="X358" s="209"/>
      <c r="Y358" s="209"/>
      <c r="Z358" s="209"/>
    </row>
    <row r="359" ht="12.75" customHeight="1">
      <c r="A359" s="209"/>
      <c r="B359" s="209"/>
      <c r="C359" s="209"/>
      <c r="D359" s="209"/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  <c r="S359" s="209"/>
      <c r="T359" s="209"/>
      <c r="U359" s="209"/>
      <c r="V359" s="209"/>
      <c r="W359" s="209"/>
      <c r="X359" s="209"/>
      <c r="Y359" s="209"/>
      <c r="Z359" s="209"/>
    </row>
    <row r="360" ht="12.75" customHeight="1">
      <c r="A360" s="209"/>
      <c r="B360" s="209"/>
      <c r="C360" s="209"/>
      <c r="D360" s="209"/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  <c r="S360" s="209"/>
      <c r="T360" s="209"/>
      <c r="U360" s="209"/>
      <c r="V360" s="209"/>
      <c r="W360" s="209"/>
      <c r="X360" s="209"/>
      <c r="Y360" s="209"/>
      <c r="Z360" s="209"/>
    </row>
    <row r="361" ht="12.75" customHeight="1">
      <c r="A361" s="209"/>
      <c r="B361" s="209"/>
      <c r="C361" s="209"/>
      <c r="D361" s="209"/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  <c r="S361" s="209"/>
      <c r="T361" s="209"/>
      <c r="U361" s="209"/>
      <c r="V361" s="209"/>
      <c r="W361" s="209"/>
      <c r="X361" s="209"/>
      <c r="Y361" s="209"/>
      <c r="Z361" s="209"/>
    </row>
    <row r="362" ht="12.75" customHeight="1">
      <c r="A362" s="209"/>
      <c r="B362" s="209"/>
      <c r="C362" s="209"/>
      <c r="D362" s="209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  <c r="S362" s="209"/>
      <c r="T362" s="209"/>
      <c r="U362" s="209"/>
      <c r="V362" s="209"/>
      <c r="W362" s="209"/>
      <c r="X362" s="209"/>
      <c r="Y362" s="209"/>
      <c r="Z362" s="209"/>
    </row>
    <row r="363" ht="12.75" customHeight="1">
      <c r="A363" s="209"/>
      <c r="B363" s="209"/>
      <c r="C363" s="209"/>
      <c r="D363" s="209"/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  <c r="S363" s="209"/>
      <c r="T363" s="209"/>
      <c r="U363" s="209"/>
      <c r="V363" s="209"/>
      <c r="W363" s="209"/>
      <c r="X363" s="209"/>
      <c r="Y363" s="209"/>
      <c r="Z363" s="209"/>
    </row>
    <row r="364" ht="12.75" customHeight="1">
      <c r="A364" s="209"/>
      <c r="B364" s="209"/>
      <c r="C364" s="209"/>
      <c r="D364" s="209"/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  <c r="S364" s="209"/>
      <c r="T364" s="209"/>
      <c r="U364" s="209"/>
      <c r="V364" s="209"/>
      <c r="W364" s="209"/>
      <c r="X364" s="209"/>
      <c r="Y364" s="209"/>
      <c r="Z364" s="209"/>
    </row>
    <row r="365" ht="12.75" customHeight="1">
      <c r="A365" s="209"/>
      <c r="B365" s="209"/>
      <c r="C365" s="209"/>
      <c r="D365" s="209"/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  <c r="S365" s="209"/>
      <c r="T365" s="209"/>
      <c r="U365" s="209"/>
      <c r="V365" s="209"/>
      <c r="W365" s="209"/>
      <c r="X365" s="209"/>
      <c r="Y365" s="209"/>
      <c r="Z365" s="209"/>
    </row>
    <row r="366" ht="12.75" customHeight="1">
      <c r="A366" s="209"/>
      <c r="B366" s="209"/>
      <c r="C366" s="209"/>
      <c r="D366" s="209"/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  <c r="S366" s="209"/>
      <c r="T366" s="209"/>
      <c r="U366" s="209"/>
      <c r="V366" s="209"/>
      <c r="W366" s="209"/>
      <c r="X366" s="209"/>
      <c r="Y366" s="209"/>
      <c r="Z366" s="209"/>
    </row>
    <row r="367" ht="12.75" customHeight="1">
      <c r="A367" s="209"/>
      <c r="B367" s="209"/>
      <c r="C367" s="209"/>
      <c r="D367" s="209"/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  <c r="S367" s="209"/>
      <c r="T367" s="209"/>
      <c r="U367" s="209"/>
      <c r="V367" s="209"/>
      <c r="W367" s="209"/>
      <c r="X367" s="209"/>
      <c r="Y367" s="209"/>
      <c r="Z367" s="209"/>
    </row>
    <row r="368" ht="12.75" customHeight="1">
      <c r="A368" s="209"/>
      <c r="B368" s="209"/>
      <c r="C368" s="209"/>
      <c r="D368" s="209"/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  <c r="S368" s="209"/>
      <c r="T368" s="209"/>
      <c r="U368" s="209"/>
      <c r="V368" s="209"/>
      <c r="W368" s="209"/>
      <c r="X368" s="209"/>
      <c r="Y368" s="209"/>
      <c r="Z368" s="209"/>
    </row>
    <row r="369" ht="12.75" customHeight="1">
      <c r="A369" s="209"/>
      <c r="B369" s="209"/>
      <c r="C369" s="209"/>
      <c r="D369" s="209"/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  <c r="S369" s="209"/>
      <c r="T369" s="209"/>
      <c r="U369" s="209"/>
      <c r="V369" s="209"/>
      <c r="W369" s="209"/>
      <c r="X369" s="209"/>
      <c r="Y369" s="209"/>
      <c r="Z369" s="209"/>
    </row>
    <row r="370" ht="12.75" customHeight="1">
      <c r="A370" s="209"/>
      <c r="B370" s="209"/>
      <c r="C370" s="209"/>
      <c r="D370" s="209"/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  <c r="S370" s="209"/>
      <c r="T370" s="209"/>
      <c r="U370" s="209"/>
      <c r="V370" s="209"/>
      <c r="W370" s="209"/>
      <c r="X370" s="209"/>
      <c r="Y370" s="209"/>
      <c r="Z370" s="209"/>
    </row>
    <row r="371" ht="12.75" customHeight="1">
      <c r="A371" s="209"/>
      <c r="B371" s="209"/>
      <c r="C371" s="209"/>
      <c r="D371" s="209"/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  <c r="S371" s="209"/>
      <c r="T371" s="209"/>
      <c r="U371" s="209"/>
      <c r="V371" s="209"/>
      <c r="W371" s="209"/>
      <c r="X371" s="209"/>
      <c r="Y371" s="209"/>
      <c r="Z371" s="209"/>
    </row>
    <row r="372" ht="12.75" customHeight="1">
      <c r="A372" s="209"/>
      <c r="B372" s="209"/>
      <c r="C372" s="209"/>
      <c r="D372" s="209"/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  <c r="S372" s="209"/>
      <c r="T372" s="209"/>
      <c r="U372" s="209"/>
      <c r="V372" s="209"/>
      <c r="W372" s="209"/>
      <c r="X372" s="209"/>
      <c r="Y372" s="209"/>
      <c r="Z372" s="209"/>
    </row>
    <row r="373" ht="12.75" customHeight="1">
      <c r="A373" s="209"/>
      <c r="B373" s="209"/>
      <c r="C373" s="209"/>
      <c r="D373" s="209"/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  <c r="S373" s="209"/>
      <c r="T373" s="209"/>
      <c r="U373" s="209"/>
      <c r="V373" s="209"/>
      <c r="W373" s="209"/>
      <c r="X373" s="209"/>
      <c r="Y373" s="209"/>
      <c r="Z373" s="209"/>
    </row>
    <row r="374" ht="12.75" customHeight="1">
      <c r="A374" s="209"/>
      <c r="B374" s="209"/>
      <c r="C374" s="209"/>
      <c r="D374" s="209"/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  <c r="S374" s="209"/>
      <c r="T374" s="209"/>
      <c r="U374" s="209"/>
      <c r="V374" s="209"/>
      <c r="W374" s="209"/>
      <c r="X374" s="209"/>
      <c r="Y374" s="209"/>
      <c r="Z374" s="209"/>
    </row>
    <row r="375" ht="12.75" customHeight="1">
      <c r="A375" s="209"/>
      <c r="B375" s="209"/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</row>
    <row r="376" ht="12.75" customHeight="1">
      <c r="A376" s="209"/>
      <c r="B376" s="209"/>
      <c r="C376" s="209"/>
      <c r="D376" s="209"/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  <c r="S376" s="209"/>
      <c r="T376" s="209"/>
      <c r="U376" s="209"/>
      <c r="V376" s="209"/>
      <c r="W376" s="209"/>
      <c r="X376" s="209"/>
      <c r="Y376" s="209"/>
      <c r="Z376" s="209"/>
    </row>
    <row r="377" ht="12.75" customHeight="1">
      <c r="A377" s="209"/>
      <c r="B377" s="209"/>
      <c r="C377" s="209"/>
      <c r="D377" s="209"/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  <c r="S377" s="209"/>
      <c r="T377" s="209"/>
      <c r="U377" s="209"/>
      <c r="V377" s="209"/>
      <c r="W377" s="209"/>
      <c r="X377" s="209"/>
      <c r="Y377" s="209"/>
      <c r="Z377" s="209"/>
    </row>
    <row r="378" ht="12.75" customHeight="1">
      <c r="A378" s="209"/>
      <c r="B378" s="209"/>
      <c r="C378" s="209"/>
      <c r="D378" s="209"/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  <c r="S378" s="209"/>
      <c r="T378" s="209"/>
      <c r="U378" s="209"/>
      <c r="V378" s="209"/>
      <c r="W378" s="209"/>
      <c r="X378" s="209"/>
      <c r="Y378" s="209"/>
      <c r="Z378" s="209"/>
    </row>
    <row r="379" ht="12.75" customHeight="1">
      <c r="A379" s="209"/>
      <c r="B379" s="209"/>
      <c r="C379" s="209"/>
      <c r="D379" s="209"/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  <c r="S379" s="209"/>
      <c r="T379" s="209"/>
      <c r="U379" s="209"/>
      <c r="V379" s="209"/>
      <c r="W379" s="209"/>
      <c r="X379" s="209"/>
      <c r="Y379" s="209"/>
      <c r="Z379" s="209"/>
    </row>
    <row r="380" ht="12.75" customHeight="1">
      <c r="A380" s="209"/>
      <c r="B380" s="209"/>
      <c r="C380" s="209"/>
      <c r="D380" s="209"/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  <c r="S380" s="209"/>
      <c r="T380" s="209"/>
      <c r="U380" s="209"/>
      <c r="V380" s="209"/>
      <c r="W380" s="209"/>
      <c r="X380" s="209"/>
      <c r="Y380" s="209"/>
      <c r="Z380" s="209"/>
    </row>
    <row r="381" ht="12.75" customHeight="1">
      <c r="A381" s="209"/>
      <c r="B381" s="209"/>
      <c r="C381" s="209"/>
      <c r="D381" s="209"/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  <c r="S381" s="209"/>
      <c r="T381" s="209"/>
      <c r="U381" s="209"/>
      <c r="V381" s="209"/>
      <c r="W381" s="209"/>
      <c r="X381" s="209"/>
      <c r="Y381" s="209"/>
      <c r="Z381" s="209"/>
    </row>
    <row r="382" ht="12.75" customHeight="1">
      <c r="A382" s="209"/>
      <c r="B382" s="209"/>
      <c r="C382" s="209"/>
      <c r="D382" s="209"/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  <c r="S382" s="209"/>
      <c r="T382" s="209"/>
      <c r="U382" s="209"/>
      <c r="V382" s="209"/>
      <c r="W382" s="209"/>
      <c r="X382" s="209"/>
      <c r="Y382" s="209"/>
      <c r="Z382" s="209"/>
    </row>
    <row r="383" ht="12.75" customHeight="1">
      <c r="A383" s="209"/>
      <c r="B383" s="209"/>
      <c r="C383" s="209"/>
      <c r="D383" s="209"/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  <c r="S383" s="209"/>
      <c r="T383" s="209"/>
      <c r="U383" s="209"/>
      <c r="V383" s="209"/>
      <c r="W383" s="209"/>
      <c r="X383" s="209"/>
      <c r="Y383" s="209"/>
      <c r="Z383" s="209"/>
    </row>
    <row r="384" ht="12.75" customHeight="1">
      <c r="A384" s="209"/>
      <c r="B384" s="209"/>
      <c r="C384" s="209"/>
      <c r="D384" s="209"/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  <c r="S384" s="209"/>
      <c r="T384" s="209"/>
      <c r="U384" s="209"/>
      <c r="V384" s="209"/>
      <c r="W384" s="209"/>
      <c r="X384" s="209"/>
      <c r="Y384" s="209"/>
      <c r="Z384" s="209"/>
    </row>
    <row r="385" ht="12.75" customHeight="1">
      <c r="A385" s="209"/>
      <c r="B385" s="209"/>
      <c r="C385" s="209"/>
      <c r="D385" s="209"/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  <c r="S385" s="209"/>
      <c r="T385" s="209"/>
      <c r="U385" s="209"/>
      <c r="V385" s="209"/>
      <c r="W385" s="209"/>
      <c r="X385" s="209"/>
      <c r="Y385" s="209"/>
      <c r="Z385" s="209"/>
    </row>
    <row r="386" ht="12.75" customHeight="1">
      <c r="A386" s="209"/>
      <c r="B386" s="209"/>
      <c r="C386" s="209"/>
      <c r="D386" s="209"/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  <c r="S386" s="209"/>
      <c r="T386" s="209"/>
      <c r="U386" s="209"/>
      <c r="V386" s="209"/>
      <c r="W386" s="209"/>
      <c r="X386" s="209"/>
      <c r="Y386" s="209"/>
      <c r="Z386" s="209"/>
    </row>
    <row r="387" ht="12.75" customHeight="1">
      <c r="A387" s="209"/>
      <c r="B387" s="209"/>
      <c r="C387" s="209"/>
      <c r="D387" s="209"/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  <c r="S387" s="209"/>
      <c r="T387" s="209"/>
      <c r="U387" s="209"/>
      <c r="V387" s="209"/>
      <c r="W387" s="209"/>
      <c r="X387" s="209"/>
      <c r="Y387" s="209"/>
      <c r="Z387" s="209"/>
    </row>
    <row r="388" ht="12.75" customHeight="1">
      <c r="A388" s="209"/>
      <c r="B388" s="209"/>
      <c r="C388" s="209"/>
      <c r="D388" s="209"/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  <c r="S388" s="209"/>
      <c r="T388" s="209"/>
      <c r="U388" s="209"/>
      <c r="V388" s="209"/>
      <c r="W388" s="209"/>
      <c r="X388" s="209"/>
      <c r="Y388" s="209"/>
      <c r="Z388" s="209"/>
    </row>
    <row r="389" ht="12.75" customHeight="1">
      <c r="A389" s="209"/>
      <c r="B389" s="209"/>
      <c r="C389" s="209"/>
      <c r="D389" s="209"/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  <c r="S389" s="209"/>
      <c r="T389" s="209"/>
      <c r="U389" s="209"/>
      <c r="V389" s="209"/>
      <c r="W389" s="209"/>
      <c r="X389" s="209"/>
      <c r="Y389" s="209"/>
      <c r="Z389" s="209"/>
    </row>
    <row r="390" ht="12.75" customHeight="1">
      <c r="A390" s="209"/>
      <c r="B390" s="209"/>
      <c r="C390" s="209"/>
      <c r="D390" s="209"/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  <c r="S390" s="209"/>
      <c r="T390" s="209"/>
      <c r="U390" s="209"/>
      <c r="V390" s="209"/>
      <c r="W390" s="209"/>
      <c r="X390" s="209"/>
      <c r="Y390" s="209"/>
      <c r="Z390" s="209"/>
    </row>
    <row r="391" ht="12.75" customHeight="1">
      <c r="A391" s="209"/>
      <c r="B391" s="209"/>
      <c r="C391" s="209"/>
      <c r="D391" s="209"/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  <c r="S391" s="209"/>
      <c r="T391" s="209"/>
      <c r="U391" s="209"/>
      <c r="V391" s="209"/>
      <c r="W391" s="209"/>
      <c r="X391" s="209"/>
      <c r="Y391" s="209"/>
      <c r="Z391" s="209"/>
    </row>
    <row r="392" ht="12.75" customHeight="1">
      <c r="A392" s="209"/>
      <c r="B392" s="209"/>
      <c r="C392" s="209"/>
      <c r="D392" s="209"/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  <c r="S392" s="209"/>
      <c r="T392" s="209"/>
      <c r="U392" s="209"/>
      <c r="V392" s="209"/>
      <c r="W392" s="209"/>
      <c r="X392" s="209"/>
      <c r="Y392" s="209"/>
      <c r="Z392" s="209"/>
    </row>
    <row r="393" ht="12.75" customHeight="1">
      <c r="A393" s="209"/>
      <c r="B393" s="209"/>
      <c r="C393" s="209"/>
      <c r="D393" s="209"/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  <c r="S393" s="209"/>
      <c r="T393" s="209"/>
      <c r="U393" s="209"/>
      <c r="V393" s="209"/>
      <c r="W393" s="209"/>
      <c r="X393" s="209"/>
      <c r="Y393" s="209"/>
      <c r="Z393" s="209"/>
    </row>
    <row r="394" ht="12.75" customHeight="1">
      <c r="A394" s="209"/>
      <c r="B394" s="209"/>
      <c r="C394" s="209"/>
      <c r="D394" s="209"/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  <c r="S394" s="209"/>
      <c r="T394" s="209"/>
      <c r="U394" s="209"/>
      <c r="V394" s="209"/>
      <c r="W394" s="209"/>
      <c r="X394" s="209"/>
      <c r="Y394" s="209"/>
      <c r="Z394" s="209"/>
    </row>
    <row r="395" ht="12.75" customHeight="1">
      <c r="A395" s="209"/>
      <c r="B395" s="209"/>
      <c r="C395" s="209"/>
      <c r="D395" s="209"/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  <c r="S395" s="209"/>
      <c r="T395" s="209"/>
      <c r="U395" s="209"/>
      <c r="V395" s="209"/>
      <c r="W395" s="209"/>
      <c r="X395" s="209"/>
      <c r="Y395" s="209"/>
      <c r="Z395" s="209"/>
    </row>
    <row r="396" ht="12.75" customHeight="1">
      <c r="A396" s="209"/>
      <c r="B396" s="209"/>
      <c r="C396" s="209"/>
      <c r="D396" s="209"/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  <c r="S396" s="209"/>
      <c r="T396" s="209"/>
      <c r="U396" s="209"/>
      <c r="V396" s="209"/>
      <c r="W396" s="209"/>
      <c r="X396" s="209"/>
      <c r="Y396" s="209"/>
      <c r="Z396" s="209"/>
    </row>
    <row r="397" ht="12.75" customHeight="1">
      <c r="A397" s="209"/>
      <c r="B397" s="209"/>
      <c r="C397" s="209"/>
      <c r="D397" s="209"/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  <c r="S397" s="209"/>
      <c r="T397" s="209"/>
      <c r="U397" s="209"/>
      <c r="V397" s="209"/>
      <c r="W397" s="209"/>
      <c r="X397" s="209"/>
      <c r="Y397" s="209"/>
      <c r="Z397" s="209"/>
    </row>
    <row r="398" ht="12.75" customHeight="1">
      <c r="A398" s="209"/>
      <c r="B398" s="209"/>
      <c r="C398" s="209"/>
      <c r="D398" s="209"/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  <c r="S398" s="209"/>
      <c r="T398" s="209"/>
      <c r="U398" s="209"/>
      <c r="V398" s="209"/>
      <c r="W398" s="209"/>
      <c r="X398" s="209"/>
      <c r="Y398" s="209"/>
      <c r="Z398" s="209"/>
    </row>
    <row r="399" ht="12.75" customHeight="1">
      <c r="A399" s="209"/>
      <c r="B399" s="209"/>
      <c r="C399" s="209"/>
      <c r="D399" s="209"/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  <c r="S399" s="209"/>
      <c r="T399" s="209"/>
      <c r="U399" s="209"/>
      <c r="V399" s="209"/>
      <c r="W399" s="209"/>
      <c r="X399" s="209"/>
      <c r="Y399" s="209"/>
      <c r="Z399" s="209"/>
    </row>
    <row r="400" ht="12.75" customHeight="1">
      <c r="A400" s="209"/>
      <c r="B400" s="209"/>
      <c r="C400" s="209"/>
      <c r="D400" s="209"/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  <c r="S400" s="209"/>
      <c r="T400" s="209"/>
      <c r="U400" s="209"/>
      <c r="V400" s="209"/>
      <c r="W400" s="209"/>
      <c r="X400" s="209"/>
      <c r="Y400" s="209"/>
      <c r="Z400" s="209"/>
    </row>
    <row r="401" ht="12.75" customHeight="1">
      <c r="A401" s="209"/>
      <c r="B401" s="209"/>
      <c r="C401" s="209"/>
      <c r="D401" s="209"/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  <c r="S401" s="209"/>
      <c r="T401" s="209"/>
      <c r="U401" s="209"/>
      <c r="V401" s="209"/>
      <c r="W401" s="209"/>
      <c r="X401" s="209"/>
      <c r="Y401" s="209"/>
      <c r="Z401" s="209"/>
    </row>
    <row r="402" ht="12.75" customHeight="1">
      <c r="A402" s="209"/>
      <c r="B402" s="209"/>
      <c r="C402" s="209"/>
      <c r="D402" s="209"/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  <c r="S402" s="209"/>
      <c r="T402" s="209"/>
      <c r="U402" s="209"/>
      <c r="V402" s="209"/>
      <c r="W402" s="209"/>
      <c r="X402" s="209"/>
      <c r="Y402" s="209"/>
      <c r="Z402" s="209"/>
    </row>
    <row r="403" ht="12.75" customHeight="1">
      <c r="A403" s="209"/>
      <c r="B403" s="209"/>
      <c r="C403" s="209"/>
      <c r="D403" s="209"/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  <c r="S403" s="209"/>
      <c r="T403" s="209"/>
      <c r="U403" s="209"/>
      <c r="V403" s="209"/>
      <c r="W403" s="209"/>
      <c r="X403" s="209"/>
      <c r="Y403" s="209"/>
      <c r="Z403" s="209"/>
    </row>
    <row r="404" ht="12.75" customHeight="1">
      <c r="A404" s="209"/>
      <c r="B404" s="209"/>
      <c r="C404" s="209"/>
      <c r="D404" s="209"/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  <c r="S404" s="209"/>
      <c r="T404" s="209"/>
      <c r="U404" s="209"/>
      <c r="V404" s="209"/>
      <c r="W404" s="209"/>
      <c r="X404" s="209"/>
      <c r="Y404" s="209"/>
      <c r="Z404" s="209"/>
    </row>
    <row r="405" ht="12.75" customHeight="1">
      <c r="A405" s="209"/>
      <c r="B405" s="209"/>
      <c r="C405" s="209"/>
      <c r="D405" s="209"/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  <c r="S405" s="209"/>
      <c r="T405" s="209"/>
      <c r="U405" s="209"/>
      <c r="V405" s="209"/>
      <c r="W405" s="209"/>
      <c r="X405" s="209"/>
      <c r="Y405" s="209"/>
      <c r="Z405" s="209"/>
    </row>
    <row r="406" ht="12.75" customHeight="1">
      <c r="A406" s="209"/>
      <c r="B406" s="209"/>
      <c r="C406" s="209"/>
      <c r="D406" s="209"/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  <c r="S406" s="209"/>
      <c r="T406" s="209"/>
      <c r="U406" s="209"/>
      <c r="V406" s="209"/>
      <c r="W406" s="209"/>
      <c r="X406" s="209"/>
      <c r="Y406" s="209"/>
      <c r="Z406" s="209"/>
    </row>
    <row r="407" ht="12.75" customHeight="1">
      <c r="A407" s="209"/>
      <c r="B407" s="209"/>
      <c r="C407" s="209"/>
      <c r="D407" s="209"/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  <c r="S407" s="209"/>
      <c r="T407" s="209"/>
      <c r="U407" s="209"/>
      <c r="V407" s="209"/>
      <c r="W407" s="209"/>
      <c r="X407" s="209"/>
      <c r="Y407" s="209"/>
      <c r="Z407" s="209"/>
    </row>
    <row r="408" ht="12.75" customHeight="1">
      <c r="A408" s="209"/>
      <c r="B408" s="209"/>
      <c r="C408" s="209"/>
      <c r="D408" s="209"/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  <c r="S408" s="209"/>
      <c r="T408" s="209"/>
      <c r="U408" s="209"/>
      <c r="V408" s="209"/>
      <c r="W408" s="209"/>
      <c r="X408" s="209"/>
      <c r="Y408" s="209"/>
      <c r="Z408" s="209"/>
    </row>
    <row r="409" ht="12.75" customHeight="1">
      <c r="A409" s="209"/>
      <c r="B409" s="209"/>
      <c r="C409" s="209"/>
      <c r="D409" s="209"/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  <c r="S409" s="209"/>
      <c r="T409" s="209"/>
      <c r="U409" s="209"/>
      <c r="V409" s="209"/>
      <c r="W409" s="209"/>
      <c r="X409" s="209"/>
      <c r="Y409" s="209"/>
      <c r="Z409" s="209"/>
    </row>
    <row r="410" ht="12.75" customHeight="1">
      <c r="A410" s="209"/>
      <c r="B410" s="209"/>
      <c r="C410" s="209"/>
      <c r="D410" s="209"/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  <c r="S410" s="209"/>
      <c r="T410" s="209"/>
      <c r="U410" s="209"/>
      <c r="V410" s="209"/>
      <c r="W410" s="209"/>
      <c r="X410" s="209"/>
      <c r="Y410" s="209"/>
      <c r="Z410" s="209"/>
    </row>
    <row r="411" ht="12.75" customHeight="1">
      <c r="A411" s="209"/>
      <c r="B411" s="209"/>
      <c r="C411" s="209"/>
      <c r="D411" s="209"/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  <c r="S411" s="209"/>
      <c r="T411" s="209"/>
      <c r="U411" s="209"/>
      <c r="V411" s="209"/>
      <c r="W411" s="209"/>
      <c r="X411" s="209"/>
      <c r="Y411" s="209"/>
      <c r="Z411" s="209"/>
    </row>
    <row r="412" ht="12.75" customHeight="1">
      <c r="A412" s="209"/>
      <c r="B412" s="209"/>
      <c r="C412" s="209"/>
      <c r="D412" s="209"/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  <c r="S412" s="209"/>
      <c r="T412" s="209"/>
      <c r="U412" s="209"/>
      <c r="V412" s="209"/>
      <c r="W412" s="209"/>
      <c r="X412" s="209"/>
      <c r="Y412" s="209"/>
      <c r="Z412" s="209"/>
    </row>
    <row r="413" ht="12.75" customHeight="1">
      <c r="A413" s="209"/>
      <c r="B413" s="209"/>
      <c r="C413" s="209"/>
      <c r="D413" s="209"/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  <c r="S413" s="209"/>
      <c r="T413" s="209"/>
      <c r="U413" s="209"/>
      <c r="V413" s="209"/>
      <c r="W413" s="209"/>
      <c r="X413" s="209"/>
      <c r="Y413" s="209"/>
      <c r="Z413" s="209"/>
    </row>
    <row r="414" ht="12.75" customHeight="1">
      <c r="A414" s="209"/>
      <c r="B414" s="209"/>
      <c r="C414" s="209"/>
      <c r="D414" s="209"/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  <c r="S414" s="209"/>
      <c r="T414" s="209"/>
      <c r="U414" s="209"/>
      <c r="V414" s="209"/>
      <c r="W414" s="209"/>
      <c r="X414" s="209"/>
      <c r="Y414" s="209"/>
      <c r="Z414" s="209"/>
    </row>
    <row r="415" ht="12.75" customHeight="1">
      <c r="A415" s="209"/>
      <c r="B415" s="209"/>
      <c r="C415" s="209"/>
      <c r="D415" s="209"/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  <c r="S415" s="209"/>
      <c r="T415" s="209"/>
      <c r="U415" s="209"/>
      <c r="V415" s="209"/>
      <c r="W415" s="209"/>
      <c r="X415" s="209"/>
      <c r="Y415" s="209"/>
      <c r="Z415" s="209"/>
    </row>
    <row r="416" ht="12.75" customHeight="1">
      <c r="A416" s="209"/>
      <c r="B416" s="209"/>
      <c r="C416" s="209"/>
      <c r="D416" s="209"/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  <c r="S416" s="209"/>
      <c r="T416" s="209"/>
      <c r="U416" s="209"/>
      <c r="V416" s="209"/>
      <c r="W416" s="209"/>
      <c r="X416" s="209"/>
      <c r="Y416" s="209"/>
      <c r="Z416" s="209"/>
    </row>
    <row r="417" ht="12.75" customHeight="1">
      <c r="A417" s="209"/>
      <c r="B417" s="209"/>
      <c r="C417" s="209"/>
      <c r="D417" s="209"/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  <c r="S417" s="209"/>
      <c r="T417" s="209"/>
      <c r="U417" s="209"/>
      <c r="V417" s="209"/>
      <c r="W417" s="209"/>
      <c r="X417" s="209"/>
      <c r="Y417" s="209"/>
      <c r="Z417" s="209"/>
    </row>
    <row r="418" ht="12.75" customHeight="1">
      <c r="A418" s="209"/>
      <c r="B418" s="209"/>
      <c r="C418" s="209"/>
      <c r="D418" s="209"/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  <c r="S418" s="209"/>
      <c r="T418" s="209"/>
      <c r="U418" s="209"/>
      <c r="V418" s="209"/>
      <c r="W418" s="209"/>
      <c r="X418" s="209"/>
      <c r="Y418" s="209"/>
      <c r="Z418" s="209"/>
    </row>
    <row r="419" ht="12.75" customHeight="1">
      <c r="A419" s="209"/>
      <c r="B419" s="209"/>
      <c r="C419" s="209"/>
      <c r="D419" s="209"/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  <c r="S419" s="209"/>
      <c r="T419" s="209"/>
      <c r="U419" s="209"/>
      <c r="V419" s="209"/>
      <c r="W419" s="209"/>
      <c r="X419" s="209"/>
      <c r="Y419" s="209"/>
      <c r="Z419" s="209"/>
    </row>
    <row r="420" ht="12.75" customHeight="1">
      <c r="A420" s="209"/>
      <c r="B420" s="209"/>
      <c r="C420" s="209"/>
      <c r="D420" s="209"/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  <c r="S420" s="209"/>
      <c r="T420" s="209"/>
      <c r="U420" s="209"/>
      <c r="V420" s="209"/>
      <c r="W420" s="209"/>
      <c r="X420" s="209"/>
      <c r="Y420" s="209"/>
      <c r="Z420" s="209"/>
    </row>
    <row r="421" ht="12.75" customHeight="1">
      <c r="A421" s="209"/>
      <c r="B421" s="209"/>
      <c r="C421" s="209"/>
      <c r="D421" s="209"/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  <c r="S421" s="209"/>
      <c r="T421" s="209"/>
      <c r="U421" s="209"/>
      <c r="V421" s="209"/>
      <c r="W421" s="209"/>
      <c r="X421" s="209"/>
      <c r="Y421" s="209"/>
      <c r="Z421" s="209"/>
    </row>
    <row r="422" ht="12.75" customHeight="1">
      <c r="A422" s="209"/>
      <c r="B422" s="209"/>
      <c r="C422" s="209"/>
      <c r="D422" s="209"/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  <c r="S422" s="209"/>
      <c r="T422" s="209"/>
      <c r="U422" s="209"/>
      <c r="V422" s="209"/>
      <c r="W422" s="209"/>
      <c r="X422" s="209"/>
      <c r="Y422" s="209"/>
      <c r="Z422" s="209"/>
    </row>
    <row r="423" ht="12.75" customHeight="1">
      <c r="A423" s="209"/>
      <c r="B423" s="209"/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</row>
    <row r="424" ht="12.75" customHeight="1">
      <c r="A424" s="209"/>
      <c r="B424" s="209"/>
      <c r="C424" s="209"/>
      <c r="D424" s="209"/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  <c r="S424" s="209"/>
      <c r="T424" s="209"/>
      <c r="U424" s="209"/>
      <c r="V424" s="209"/>
      <c r="W424" s="209"/>
      <c r="X424" s="209"/>
      <c r="Y424" s="209"/>
      <c r="Z424" s="209"/>
    </row>
    <row r="425" ht="12.75" customHeight="1">
      <c r="A425" s="209"/>
      <c r="B425" s="209"/>
      <c r="C425" s="209"/>
      <c r="D425" s="209"/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  <c r="S425" s="209"/>
      <c r="T425" s="209"/>
      <c r="U425" s="209"/>
      <c r="V425" s="209"/>
      <c r="W425" s="209"/>
      <c r="X425" s="209"/>
      <c r="Y425" s="209"/>
      <c r="Z425" s="209"/>
    </row>
    <row r="426" ht="12.75" customHeight="1">
      <c r="A426" s="209"/>
      <c r="B426" s="209"/>
      <c r="C426" s="209"/>
      <c r="D426" s="209"/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  <c r="S426" s="209"/>
      <c r="T426" s="209"/>
      <c r="U426" s="209"/>
      <c r="V426" s="209"/>
      <c r="W426" s="209"/>
      <c r="X426" s="209"/>
      <c r="Y426" s="209"/>
      <c r="Z426" s="209"/>
    </row>
    <row r="427" ht="12.75" customHeight="1">
      <c r="A427" s="209"/>
      <c r="B427" s="209"/>
      <c r="C427" s="209"/>
      <c r="D427" s="209"/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  <c r="S427" s="209"/>
      <c r="T427" s="209"/>
      <c r="U427" s="209"/>
      <c r="V427" s="209"/>
      <c r="W427" s="209"/>
      <c r="X427" s="209"/>
      <c r="Y427" s="209"/>
      <c r="Z427" s="209"/>
    </row>
    <row r="428" ht="12.75" customHeight="1">
      <c r="A428" s="209"/>
      <c r="B428" s="209"/>
      <c r="C428" s="209"/>
      <c r="D428" s="209"/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  <c r="S428" s="209"/>
      <c r="T428" s="209"/>
      <c r="U428" s="209"/>
      <c r="V428" s="209"/>
      <c r="W428" s="209"/>
      <c r="X428" s="209"/>
      <c r="Y428" s="209"/>
      <c r="Z428" s="209"/>
    </row>
    <row r="429" ht="12.75" customHeight="1">
      <c r="A429" s="209"/>
      <c r="B429" s="209"/>
      <c r="C429" s="209"/>
      <c r="D429" s="209"/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  <c r="S429" s="209"/>
      <c r="T429" s="209"/>
      <c r="U429" s="209"/>
      <c r="V429" s="209"/>
      <c r="W429" s="209"/>
      <c r="X429" s="209"/>
      <c r="Y429" s="209"/>
      <c r="Z429" s="209"/>
    </row>
    <row r="430" ht="12.75" customHeight="1">
      <c r="A430" s="209"/>
      <c r="B430" s="209"/>
      <c r="C430" s="209"/>
      <c r="D430" s="209"/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  <c r="S430" s="209"/>
      <c r="T430" s="209"/>
      <c r="U430" s="209"/>
      <c r="V430" s="209"/>
      <c r="W430" s="209"/>
      <c r="X430" s="209"/>
      <c r="Y430" s="209"/>
      <c r="Z430" s="209"/>
    </row>
    <row r="431" ht="12.75" customHeight="1">
      <c r="A431" s="209"/>
      <c r="B431" s="209"/>
      <c r="C431" s="209"/>
      <c r="D431" s="209"/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  <c r="S431" s="209"/>
      <c r="T431" s="209"/>
      <c r="U431" s="209"/>
      <c r="V431" s="209"/>
      <c r="W431" s="209"/>
      <c r="X431" s="209"/>
      <c r="Y431" s="209"/>
      <c r="Z431" s="209"/>
    </row>
    <row r="432" ht="12.75" customHeight="1">
      <c r="A432" s="209"/>
      <c r="B432" s="209"/>
      <c r="C432" s="209"/>
      <c r="D432" s="209"/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  <c r="S432" s="209"/>
      <c r="T432" s="209"/>
      <c r="U432" s="209"/>
      <c r="V432" s="209"/>
      <c r="W432" s="209"/>
      <c r="X432" s="209"/>
      <c r="Y432" s="209"/>
      <c r="Z432" s="209"/>
    </row>
    <row r="433" ht="12.75" customHeight="1">
      <c r="A433" s="209"/>
      <c r="B433" s="209"/>
      <c r="C433" s="209"/>
      <c r="D433" s="209"/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  <c r="S433" s="209"/>
      <c r="T433" s="209"/>
      <c r="U433" s="209"/>
      <c r="V433" s="209"/>
      <c r="W433" s="209"/>
      <c r="X433" s="209"/>
      <c r="Y433" s="209"/>
      <c r="Z433" s="209"/>
    </row>
    <row r="434" ht="12.75" customHeight="1">
      <c r="A434" s="209"/>
      <c r="B434" s="209"/>
      <c r="C434" s="209"/>
      <c r="D434" s="209"/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  <c r="S434" s="209"/>
      <c r="T434" s="209"/>
      <c r="U434" s="209"/>
      <c r="V434" s="209"/>
      <c r="W434" s="209"/>
      <c r="X434" s="209"/>
      <c r="Y434" s="209"/>
      <c r="Z434" s="209"/>
    </row>
    <row r="435" ht="12.75" customHeight="1">
      <c r="A435" s="209"/>
      <c r="B435" s="209"/>
      <c r="C435" s="209"/>
      <c r="D435" s="209"/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  <c r="S435" s="209"/>
      <c r="T435" s="209"/>
      <c r="U435" s="209"/>
      <c r="V435" s="209"/>
      <c r="W435" s="209"/>
      <c r="X435" s="209"/>
      <c r="Y435" s="209"/>
      <c r="Z435" s="209"/>
    </row>
    <row r="436" ht="12.75" customHeight="1">
      <c r="A436" s="209"/>
      <c r="B436" s="209"/>
      <c r="C436" s="209"/>
      <c r="D436" s="209"/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  <c r="S436" s="209"/>
      <c r="T436" s="209"/>
      <c r="U436" s="209"/>
      <c r="V436" s="209"/>
      <c r="W436" s="209"/>
      <c r="X436" s="209"/>
      <c r="Y436" s="209"/>
      <c r="Z436" s="209"/>
    </row>
    <row r="437" ht="12.75" customHeight="1">
      <c r="A437" s="209"/>
      <c r="B437" s="209"/>
      <c r="C437" s="209"/>
      <c r="D437" s="209"/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  <c r="S437" s="209"/>
      <c r="T437" s="209"/>
      <c r="U437" s="209"/>
      <c r="V437" s="209"/>
      <c r="W437" s="209"/>
      <c r="X437" s="209"/>
      <c r="Y437" s="209"/>
      <c r="Z437" s="209"/>
    </row>
    <row r="438" ht="12.75" customHeight="1">
      <c r="A438" s="209"/>
      <c r="B438" s="209"/>
      <c r="C438" s="209"/>
      <c r="D438" s="209"/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  <c r="S438" s="209"/>
      <c r="T438" s="209"/>
      <c r="U438" s="209"/>
      <c r="V438" s="209"/>
      <c r="W438" s="209"/>
      <c r="X438" s="209"/>
      <c r="Y438" s="209"/>
      <c r="Z438" s="209"/>
    </row>
    <row r="439" ht="12.75" customHeight="1">
      <c r="A439" s="209"/>
      <c r="B439" s="209"/>
      <c r="C439" s="209"/>
      <c r="D439" s="209"/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  <c r="S439" s="209"/>
      <c r="T439" s="209"/>
      <c r="U439" s="209"/>
      <c r="V439" s="209"/>
      <c r="W439" s="209"/>
      <c r="X439" s="209"/>
      <c r="Y439" s="209"/>
      <c r="Z439" s="209"/>
    </row>
    <row r="440" ht="12.75" customHeight="1">
      <c r="A440" s="209"/>
      <c r="B440" s="209"/>
      <c r="C440" s="209"/>
      <c r="D440" s="209"/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  <c r="S440" s="209"/>
      <c r="T440" s="209"/>
      <c r="U440" s="209"/>
      <c r="V440" s="209"/>
      <c r="W440" s="209"/>
      <c r="X440" s="209"/>
      <c r="Y440" s="209"/>
      <c r="Z440" s="209"/>
    </row>
    <row r="441" ht="12.75" customHeight="1">
      <c r="A441" s="209"/>
      <c r="B441" s="209"/>
      <c r="C441" s="209"/>
      <c r="D441" s="209"/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  <c r="S441" s="209"/>
      <c r="T441" s="209"/>
      <c r="U441" s="209"/>
      <c r="V441" s="209"/>
      <c r="W441" s="209"/>
      <c r="X441" s="209"/>
      <c r="Y441" s="209"/>
      <c r="Z441" s="209"/>
    </row>
    <row r="442" ht="12.75" customHeight="1">
      <c r="A442" s="209"/>
      <c r="B442" s="209"/>
      <c r="C442" s="209"/>
      <c r="D442" s="209"/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  <c r="S442" s="209"/>
      <c r="T442" s="209"/>
      <c r="U442" s="209"/>
      <c r="V442" s="209"/>
      <c r="W442" s="209"/>
      <c r="X442" s="209"/>
      <c r="Y442" s="209"/>
      <c r="Z442" s="209"/>
    </row>
    <row r="443" ht="12.75" customHeight="1">
      <c r="A443" s="209"/>
      <c r="B443" s="209"/>
      <c r="C443" s="209"/>
      <c r="D443" s="209"/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  <c r="S443" s="209"/>
      <c r="T443" s="209"/>
      <c r="U443" s="209"/>
      <c r="V443" s="209"/>
      <c r="W443" s="209"/>
      <c r="X443" s="209"/>
      <c r="Y443" s="209"/>
      <c r="Z443" s="209"/>
    </row>
    <row r="444" ht="12.75" customHeight="1">
      <c r="A444" s="209"/>
      <c r="B444" s="209"/>
      <c r="C444" s="209"/>
      <c r="D444" s="209"/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  <c r="S444" s="209"/>
      <c r="T444" s="209"/>
      <c r="U444" s="209"/>
      <c r="V444" s="209"/>
      <c r="W444" s="209"/>
      <c r="X444" s="209"/>
      <c r="Y444" s="209"/>
      <c r="Z444" s="209"/>
    </row>
    <row r="445" ht="12.75" customHeight="1">
      <c r="A445" s="209"/>
      <c r="B445" s="209"/>
      <c r="C445" s="209"/>
      <c r="D445" s="209"/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  <c r="S445" s="209"/>
      <c r="T445" s="209"/>
      <c r="U445" s="209"/>
      <c r="V445" s="209"/>
      <c r="W445" s="209"/>
      <c r="X445" s="209"/>
      <c r="Y445" s="209"/>
      <c r="Z445" s="209"/>
    </row>
    <row r="446" ht="12.75" customHeight="1">
      <c r="A446" s="209"/>
      <c r="B446" s="209"/>
      <c r="C446" s="209"/>
      <c r="D446" s="209"/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  <c r="S446" s="209"/>
      <c r="T446" s="209"/>
      <c r="U446" s="209"/>
      <c r="V446" s="209"/>
      <c r="W446" s="209"/>
      <c r="X446" s="209"/>
      <c r="Y446" s="209"/>
      <c r="Z446" s="209"/>
    </row>
    <row r="447" ht="12.75" customHeight="1">
      <c r="A447" s="209"/>
      <c r="B447" s="209"/>
      <c r="C447" s="209"/>
      <c r="D447" s="209"/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  <c r="S447" s="209"/>
      <c r="T447" s="209"/>
      <c r="U447" s="209"/>
      <c r="V447" s="209"/>
      <c r="W447" s="209"/>
      <c r="X447" s="209"/>
      <c r="Y447" s="209"/>
      <c r="Z447" s="209"/>
    </row>
    <row r="448" ht="12.75" customHeight="1">
      <c r="A448" s="209"/>
      <c r="B448" s="209"/>
      <c r="C448" s="209"/>
      <c r="D448" s="209"/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  <c r="S448" s="209"/>
      <c r="T448" s="209"/>
      <c r="U448" s="209"/>
      <c r="V448" s="209"/>
      <c r="W448" s="209"/>
      <c r="X448" s="209"/>
      <c r="Y448" s="209"/>
      <c r="Z448" s="209"/>
    </row>
    <row r="449" ht="12.75" customHeight="1">
      <c r="A449" s="209"/>
      <c r="B449" s="209"/>
      <c r="C449" s="209"/>
      <c r="D449" s="209"/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  <c r="S449" s="209"/>
      <c r="T449" s="209"/>
      <c r="U449" s="209"/>
      <c r="V449" s="209"/>
      <c r="W449" s="209"/>
      <c r="X449" s="209"/>
      <c r="Y449" s="209"/>
      <c r="Z449" s="209"/>
    </row>
    <row r="450" ht="12.75" customHeight="1">
      <c r="A450" s="209"/>
      <c r="B450" s="209"/>
      <c r="C450" s="209"/>
      <c r="D450" s="209"/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  <c r="S450" s="209"/>
      <c r="T450" s="209"/>
      <c r="U450" s="209"/>
      <c r="V450" s="209"/>
      <c r="W450" s="209"/>
      <c r="X450" s="209"/>
      <c r="Y450" s="209"/>
      <c r="Z450" s="209"/>
    </row>
    <row r="451" ht="12.75" customHeight="1">
      <c r="A451" s="209"/>
      <c r="B451" s="209"/>
      <c r="C451" s="209"/>
      <c r="D451" s="209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  <c r="S451" s="209"/>
      <c r="T451" s="209"/>
      <c r="U451" s="209"/>
      <c r="V451" s="209"/>
      <c r="W451" s="209"/>
      <c r="X451" s="209"/>
      <c r="Y451" s="209"/>
      <c r="Z451" s="209"/>
    </row>
    <row r="452" ht="12.75" customHeight="1">
      <c r="A452" s="209"/>
      <c r="B452" s="209"/>
      <c r="C452" s="209"/>
      <c r="D452" s="209"/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  <c r="S452" s="209"/>
      <c r="T452" s="209"/>
      <c r="U452" s="209"/>
      <c r="V452" s="209"/>
      <c r="W452" s="209"/>
      <c r="X452" s="209"/>
      <c r="Y452" s="209"/>
      <c r="Z452" s="209"/>
    </row>
    <row r="453" ht="12.75" customHeight="1">
      <c r="A453" s="209"/>
      <c r="B453" s="209"/>
      <c r="C453" s="209"/>
      <c r="D453" s="209"/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  <c r="S453" s="209"/>
      <c r="T453" s="209"/>
      <c r="U453" s="209"/>
      <c r="V453" s="209"/>
      <c r="W453" s="209"/>
      <c r="X453" s="209"/>
      <c r="Y453" s="209"/>
      <c r="Z453" s="209"/>
    </row>
    <row r="454" ht="12.75" customHeight="1">
      <c r="A454" s="209"/>
      <c r="B454" s="209"/>
      <c r="C454" s="209"/>
      <c r="D454" s="209"/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  <c r="S454" s="209"/>
      <c r="T454" s="209"/>
      <c r="U454" s="209"/>
      <c r="V454" s="209"/>
      <c r="W454" s="209"/>
      <c r="X454" s="209"/>
      <c r="Y454" s="209"/>
      <c r="Z454" s="209"/>
    </row>
    <row r="455" ht="12.75" customHeight="1">
      <c r="A455" s="209"/>
      <c r="B455" s="209"/>
      <c r="C455" s="209"/>
      <c r="D455" s="209"/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  <c r="S455" s="209"/>
      <c r="T455" s="209"/>
      <c r="U455" s="209"/>
      <c r="V455" s="209"/>
      <c r="W455" s="209"/>
      <c r="X455" s="209"/>
      <c r="Y455" s="209"/>
      <c r="Z455" s="209"/>
    </row>
    <row r="456" ht="12.75" customHeight="1">
      <c r="A456" s="209"/>
      <c r="B456" s="209"/>
      <c r="C456" s="209"/>
      <c r="D456" s="209"/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  <c r="S456" s="209"/>
      <c r="T456" s="209"/>
      <c r="U456" s="209"/>
      <c r="V456" s="209"/>
      <c r="W456" s="209"/>
      <c r="X456" s="209"/>
      <c r="Y456" s="209"/>
      <c r="Z456" s="209"/>
    </row>
    <row r="457" ht="12.75" customHeight="1">
      <c r="A457" s="209"/>
      <c r="B457" s="209"/>
      <c r="C457" s="209"/>
      <c r="D457" s="209"/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  <c r="S457" s="209"/>
      <c r="T457" s="209"/>
      <c r="U457" s="209"/>
      <c r="V457" s="209"/>
      <c r="W457" s="209"/>
      <c r="X457" s="209"/>
      <c r="Y457" s="209"/>
      <c r="Z457" s="209"/>
    </row>
    <row r="458" ht="12.75" customHeight="1">
      <c r="A458" s="209"/>
      <c r="B458" s="209"/>
      <c r="C458" s="209"/>
      <c r="D458" s="209"/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  <c r="S458" s="209"/>
      <c r="T458" s="209"/>
      <c r="U458" s="209"/>
      <c r="V458" s="209"/>
      <c r="W458" s="209"/>
      <c r="X458" s="209"/>
      <c r="Y458" s="209"/>
      <c r="Z458" s="209"/>
    </row>
    <row r="459" ht="12.75" customHeight="1">
      <c r="A459" s="209"/>
      <c r="B459" s="209"/>
      <c r="C459" s="209"/>
      <c r="D459" s="209"/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  <c r="S459" s="209"/>
      <c r="T459" s="209"/>
      <c r="U459" s="209"/>
      <c r="V459" s="209"/>
      <c r="W459" s="209"/>
      <c r="X459" s="209"/>
      <c r="Y459" s="209"/>
      <c r="Z459" s="209"/>
    </row>
    <row r="460" ht="12.75" customHeight="1">
      <c r="A460" s="209"/>
      <c r="B460" s="209"/>
      <c r="C460" s="209"/>
      <c r="D460" s="209"/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  <c r="S460" s="209"/>
      <c r="T460" s="209"/>
      <c r="U460" s="209"/>
      <c r="V460" s="209"/>
      <c r="W460" s="209"/>
      <c r="X460" s="209"/>
      <c r="Y460" s="209"/>
      <c r="Z460" s="209"/>
    </row>
    <row r="461" ht="12.75" customHeight="1">
      <c r="A461" s="209"/>
      <c r="B461" s="209"/>
      <c r="C461" s="209"/>
      <c r="D461" s="209"/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  <c r="S461" s="209"/>
      <c r="T461" s="209"/>
      <c r="U461" s="209"/>
      <c r="V461" s="209"/>
      <c r="W461" s="209"/>
      <c r="X461" s="209"/>
      <c r="Y461" s="209"/>
      <c r="Z461" s="209"/>
    </row>
    <row r="462" ht="12.75" customHeight="1">
      <c r="A462" s="209"/>
      <c r="B462" s="209"/>
      <c r="C462" s="209"/>
      <c r="D462" s="209"/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  <c r="S462" s="209"/>
      <c r="T462" s="209"/>
      <c r="U462" s="209"/>
      <c r="V462" s="209"/>
      <c r="W462" s="209"/>
      <c r="X462" s="209"/>
      <c r="Y462" s="209"/>
      <c r="Z462" s="209"/>
    </row>
    <row r="463" ht="12.75" customHeight="1">
      <c r="A463" s="209"/>
      <c r="B463" s="209"/>
      <c r="C463" s="209"/>
      <c r="D463" s="209"/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  <c r="S463" s="209"/>
      <c r="T463" s="209"/>
      <c r="U463" s="209"/>
      <c r="V463" s="209"/>
      <c r="W463" s="209"/>
      <c r="X463" s="209"/>
      <c r="Y463" s="209"/>
      <c r="Z463" s="209"/>
    </row>
    <row r="464" ht="12.75" customHeight="1">
      <c r="A464" s="209"/>
      <c r="B464" s="209"/>
      <c r="C464" s="209"/>
      <c r="D464" s="209"/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  <c r="S464" s="209"/>
      <c r="T464" s="209"/>
      <c r="U464" s="209"/>
      <c r="V464" s="209"/>
      <c r="W464" s="209"/>
      <c r="X464" s="209"/>
      <c r="Y464" s="209"/>
      <c r="Z464" s="209"/>
    </row>
    <row r="465" ht="12.75" customHeight="1">
      <c r="A465" s="209"/>
      <c r="B465" s="209"/>
      <c r="C465" s="209"/>
      <c r="D465" s="209"/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  <c r="S465" s="209"/>
      <c r="T465" s="209"/>
      <c r="U465" s="209"/>
      <c r="V465" s="209"/>
      <c r="W465" s="209"/>
      <c r="X465" s="209"/>
      <c r="Y465" s="209"/>
      <c r="Z465" s="209"/>
    </row>
    <row r="466" ht="12.75" customHeight="1">
      <c r="A466" s="209"/>
      <c r="B466" s="209"/>
      <c r="C466" s="209"/>
      <c r="D466" s="209"/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  <c r="S466" s="209"/>
      <c r="T466" s="209"/>
      <c r="U466" s="209"/>
      <c r="V466" s="209"/>
      <c r="W466" s="209"/>
      <c r="X466" s="209"/>
      <c r="Y466" s="209"/>
      <c r="Z466" s="209"/>
    </row>
    <row r="467" ht="12.75" customHeight="1">
      <c r="A467" s="209"/>
      <c r="B467" s="209"/>
      <c r="C467" s="209"/>
      <c r="D467" s="209"/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  <c r="S467" s="209"/>
      <c r="T467" s="209"/>
      <c r="U467" s="209"/>
      <c r="V467" s="209"/>
      <c r="W467" s="209"/>
      <c r="X467" s="209"/>
      <c r="Y467" s="209"/>
      <c r="Z467" s="209"/>
    </row>
    <row r="468" ht="12.75" customHeight="1">
      <c r="A468" s="209"/>
      <c r="B468" s="209"/>
      <c r="C468" s="209"/>
      <c r="D468" s="209"/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  <c r="S468" s="209"/>
      <c r="T468" s="209"/>
      <c r="U468" s="209"/>
      <c r="V468" s="209"/>
      <c r="W468" s="209"/>
      <c r="X468" s="209"/>
      <c r="Y468" s="209"/>
      <c r="Z468" s="209"/>
    </row>
    <row r="469" ht="12.75" customHeight="1">
      <c r="A469" s="209"/>
      <c r="B469" s="209"/>
      <c r="C469" s="209"/>
      <c r="D469" s="209"/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  <c r="S469" s="209"/>
      <c r="T469" s="209"/>
      <c r="U469" s="209"/>
      <c r="V469" s="209"/>
      <c r="W469" s="209"/>
      <c r="X469" s="209"/>
      <c r="Y469" s="209"/>
      <c r="Z469" s="209"/>
    </row>
    <row r="470" ht="12.75" customHeight="1">
      <c r="A470" s="209"/>
      <c r="B470" s="209"/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09"/>
      <c r="Z470" s="209"/>
    </row>
    <row r="471" ht="12.75" customHeight="1">
      <c r="A471" s="209"/>
      <c r="B471" s="209"/>
      <c r="C471" s="209"/>
      <c r="D471" s="209"/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  <c r="S471" s="209"/>
      <c r="T471" s="209"/>
      <c r="U471" s="209"/>
      <c r="V471" s="209"/>
      <c r="W471" s="209"/>
      <c r="X471" s="209"/>
      <c r="Y471" s="209"/>
      <c r="Z471" s="209"/>
    </row>
    <row r="472" ht="12.75" customHeight="1">
      <c r="A472" s="209"/>
      <c r="B472" s="209"/>
      <c r="C472" s="209"/>
      <c r="D472" s="209"/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  <c r="S472" s="209"/>
      <c r="T472" s="209"/>
      <c r="U472" s="209"/>
      <c r="V472" s="209"/>
      <c r="W472" s="209"/>
      <c r="X472" s="209"/>
      <c r="Y472" s="209"/>
      <c r="Z472" s="209"/>
    </row>
    <row r="473" ht="12.75" customHeight="1">
      <c r="A473" s="209"/>
      <c r="B473" s="209"/>
      <c r="C473" s="209"/>
      <c r="D473" s="209"/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  <c r="S473" s="209"/>
      <c r="T473" s="209"/>
      <c r="U473" s="209"/>
      <c r="V473" s="209"/>
      <c r="W473" s="209"/>
      <c r="X473" s="209"/>
      <c r="Y473" s="209"/>
      <c r="Z473" s="209"/>
    </row>
    <row r="474" ht="12.75" customHeight="1">
      <c r="A474" s="209"/>
      <c r="B474" s="209"/>
      <c r="C474" s="209"/>
      <c r="D474" s="209"/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  <c r="S474" s="209"/>
      <c r="T474" s="209"/>
      <c r="U474" s="209"/>
      <c r="V474" s="209"/>
      <c r="W474" s="209"/>
      <c r="X474" s="209"/>
      <c r="Y474" s="209"/>
      <c r="Z474" s="209"/>
    </row>
    <row r="475" ht="12.75" customHeight="1">
      <c r="A475" s="209"/>
      <c r="B475" s="209"/>
      <c r="C475" s="209"/>
      <c r="D475" s="209"/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  <c r="S475" s="209"/>
      <c r="T475" s="209"/>
      <c r="U475" s="209"/>
      <c r="V475" s="209"/>
      <c r="W475" s="209"/>
      <c r="X475" s="209"/>
      <c r="Y475" s="209"/>
      <c r="Z475" s="209"/>
    </row>
    <row r="476" ht="12.75" customHeight="1">
      <c r="A476" s="209"/>
      <c r="B476" s="209"/>
      <c r="C476" s="209"/>
      <c r="D476" s="209"/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  <c r="S476" s="209"/>
      <c r="T476" s="209"/>
      <c r="U476" s="209"/>
      <c r="V476" s="209"/>
      <c r="W476" s="209"/>
      <c r="X476" s="209"/>
      <c r="Y476" s="209"/>
      <c r="Z476" s="209"/>
    </row>
    <row r="477" ht="12.75" customHeight="1">
      <c r="A477" s="209"/>
      <c r="B477" s="209"/>
      <c r="C477" s="209"/>
      <c r="D477" s="209"/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  <c r="S477" s="209"/>
      <c r="T477" s="209"/>
      <c r="U477" s="209"/>
      <c r="V477" s="209"/>
      <c r="W477" s="209"/>
      <c r="X477" s="209"/>
      <c r="Y477" s="209"/>
      <c r="Z477" s="209"/>
    </row>
    <row r="478" ht="12.75" customHeight="1">
      <c r="A478" s="209"/>
      <c r="B478" s="209"/>
      <c r="C478" s="209"/>
      <c r="D478" s="209"/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  <c r="S478" s="209"/>
      <c r="T478" s="209"/>
      <c r="U478" s="209"/>
      <c r="V478" s="209"/>
      <c r="W478" s="209"/>
      <c r="X478" s="209"/>
      <c r="Y478" s="209"/>
      <c r="Z478" s="209"/>
    </row>
    <row r="479" ht="12.75" customHeight="1">
      <c r="A479" s="209"/>
      <c r="B479" s="209"/>
      <c r="C479" s="209"/>
      <c r="D479" s="209"/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  <c r="S479" s="209"/>
      <c r="T479" s="209"/>
      <c r="U479" s="209"/>
      <c r="V479" s="209"/>
      <c r="W479" s="209"/>
      <c r="X479" s="209"/>
      <c r="Y479" s="209"/>
      <c r="Z479" s="209"/>
    </row>
    <row r="480" ht="12.75" customHeight="1">
      <c r="A480" s="209"/>
      <c r="B480" s="209"/>
      <c r="C480" s="209"/>
      <c r="D480" s="209"/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  <c r="S480" s="209"/>
      <c r="T480" s="209"/>
      <c r="U480" s="209"/>
      <c r="V480" s="209"/>
      <c r="W480" s="209"/>
      <c r="X480" s="209"/>
      <c r="Y480" s="209"/>
      <c r="Z480" s="209"/>
    </row>
    <row r="481" ht="12.75" customHeight="1">
      <c r="A481" s="209"/>
      <c r="B481" s="209"/>
      <c r="C481" s="209"/>
      <c r="D481" s="209"/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  <c r="S481" s="209"/>
      <c r="T481" s="209"/>
      <c r="U481" s="209"/>
      <c r="V481" s="209"/>
      <c r="W481" s="209"/>
      <c r="X481" s="209"/>
      <c r="Y481" s="209"/>
      <c r="Z481" s="209"/>
    </row>
    <row r="482" ht="12.75" customHeight="1">
      <c r="A482" s="209"/>
      <c r="B482" s="209"/>
      <c r="C482" s="209"/>
      <c r="D482" s="209"/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  <c r="S482" s="209"/>
      <c r="T482" s="209"/>
      <c r="U482" s="209"/>
      <c r="V482" s="209"/>
      <c r="W482" s="209"/>
      <c r="X482" s="209"/>
      <c r="Y482" s="209"/>
      <c r="Z482" s="209"/>
    </row>
    <row r="483" ht="12.75" customHeight="1">
      <c r="A483" s="209"/>
      <c r="B483" s="209"/>
      <c r="C483" s="209"/>
      <c r="D483" s="209"/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  <c r="S483" s="209"/>
      <c r="T483" s="209"/>
      <c r="U483" s="209"/>
      <c r="V483" s="209"/>
      <c r="W483" s="209"/>
      <c r="X483" s="209"/>
      <c r="Y483" s="209"/>
      <c r="Z483" s="209"/>
    </row>
    <row r="484" ht="12.75" customHeight="1">
      <c r="A484" s="209"/>
      <c r="B484" s="209"/>
      <c r="C484" s="209"/>
      <c r="D484" s="209"/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  <c r="S484" s="209"/>
      <c r="T484" s="209"/>
      <c r="U484" s="209"/>
      <c r="V484" s="209"/>
      <c r="W484" s="209"/>
      <c r="X484" s="209"/>
      <c r="Y484" s="209"/>
      <c r="Z484" s="209"/>
    </row>
    <row r="485" ht="12.75" customHeight="1">
      <c r="A485" s="209"/>
      <c r="B485" s="209"/>
      <c r="C485" s="209"/>
      <c r="D485" s="209"/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  <c r="S485" s="209"/>
      <c r="T485" s="209"/>
      <c r="U485" s="209"/>
      <c r="V485" s="209"/>
      <c r="W485" s="209"/>
      <c r="X485" s="209"/>
      <c r="Y485" s="209"/>
      <c r="Z485" s="209"/>
    </row>
    <row r="486" ht="12.75" customHeight="1">
      <c r="A486" s="209"/>
      <c r="B486" s="209"/>
      <c r="C486" s="209"/>
      <c r="D486" s="209"/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  <c r="S486" s="209"/>
      <c r="T486" s="209"/>
      <c r="U486" s="209"/>
      <c r="V486" s="209"/>
      <c r="W486" s="209"/>
      <c r="X486" s="209"/>
      <c r="Y486" s="209"/>
      <c r="Z486" s="209"/>
    </row>
    <row r="487" ht="12.75" customHeight="1">
      <c r="A487" s="209"/>
      <c r="B487" s="209"/>
      <c r="C487" s="209"/>
      <c r="D487" s="209"/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  <c r="S487" s="209"/>
      <c r="T487" s="209"/>
      <c r="U487" s="209"/>
      <c r="V487" s="209"/>
      <c r="W487" s="209"/>
      <c r="X487" s="209"/>
      <c r="Y487" s="209"/>
      <c r="Z487" s="209"/>
    </row>
    <row r="488" ht="12.75" customHeight="1">
      <c r="A488" s="209"/>
      <c r="B488" s="209"/>
      <c r="C488" s="209"/>
      <c r="D488" s="209"/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  <c r="S488" s="209"/>
      <c r="T488" s="209"/>
      <c r="U488" s="209"/>
      <c r="V488" s="209"/>
      <c r="W488" s="209"/>
      <c r="X488" s="209"/>
      <c r="Y488" s="209"/>
      <c r="Z488" s="209"/>
    </row>
    <row r="489" ht="12.75" customHeight="1">
      <c r="A489" s="209"/>
      <c r="B489" s="209"/>
      <c r="C489" s="209"/>
      <c r="D489" s="209"/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  <c r="S489" s="209"/>
      <c r="T489" s="209"/>
      <c r="U489" s="209"/>
      <c r="V489" s="209"/>
      <c r="W489" s="209"/>
      <c r="X489" s="209"/>
      <c r="Y489" s="209"/>
      <c r="Z489" s="209"/>
    </row>
    <row r="490" ht="12.75" customHeight="1">
      <c r="A490" s="209"/>
      <c r="B490" s="209"/>
      <c r="C490" s="209"/>
      <c r="D490" s="209"/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  <c r="S490" s="209"/>
      <c r="T490" s="209"/>
      <c r="U490" s="209"/>
      <c r="V490" s="209"/>
      <c r="W490" s="209"/>
      <c r="X490" s="209"/>
      <c r="Y490" s="209"/>
      <c r="Z490" s="209"/>
    </row>
    <row r="491" ht="12.75" customHeight="1">
      <c r="A491" s="209"/>
      <c r="B491" s="209"/>
      <c r="C491" s="209"/>
      <c r="D491" s="209"/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  <c r="S491" s="209"/>
      <c r="T491" s="209"/>
      <c r="U491" s="209"/>
      <c r="V491" s="209"/>
      <c r="W491" s="209"/>
      <c r="X491" s="209"/>
      <c r="Y491" s="209"/>
      <c r="Z491" s="209"/>
    </row>
    <row r="492" ht="12.75" customHeight="1">
      <c r="A492" s="209"/>
      <c r="B492" s="209"/>
      <c r="C492" s="209"/>
      <c r="D492" s="209"/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  <c r="S492" s="209"/>
      <c r="T492" s="209"/>
      <c r="U492" s="209"/>
      <c r="V492" s="209"/>
      <c r="W492" s="209"/>
      <c r="X492" s="209"/>
      <c r="Y492" s="209"/>
      <c r="Z492" s="209"/>
    </row>
    <row r="493" ht="12.75" customHeight="1">
      <c r="A493" s="209"/>
      <c r="B493" s="209"/>
      <c r="C493" s="209"/>
      <c r="D493" s="209"/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  <c r="S493" s="209"/>
      <c r="T493" s="209"/>
      <c r="U493" s="209"/>
      <c r="V493" s="209"/>
      <c r="W493" s="209"/>
      <c r="X493" s="209"/>
      <c r="Y493" s="209"/>
      <c r="Z493" s="209"/>
    </row>
    <row r="494" ht="12.75" customHeight="1">
      <c r="A494" s="209"/>
      <c r="B494" s="209"/>
      <c r="C494" s="209"/>
      <c r="D494" s="209"/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  <c r="S494" s="209"/>
      <c r="T494" s="209"/>
      <c r="U494" s="209"/>
      <c r="V494" s="209"/>
      <c r="W494" s="209"/>
      <c r="X494" s="209"/>
      <c r="Y494" s="209"/>
      <c r="Z494" s="209"/>
    </row>
    <row r="495" ht="12.75" customHeight="1">
      <c r="A495" s="209"/>
      <c r="B495" s="209"/>
      <c r="C495" s="209"/>
      <c r="D495" s="209"/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  <c r="S495" s="209"/>
      <c r="T495" s="209"/>
      <c r="U495" s="209"/>
      <c r="V495" s="209"/>
      <c r="W495" s="209"/>
      <c r="X495" s="209"/>
      <c r="Y495" s="209"/>
      <c r="Z495" s="209"/>
    </row>
    <row r="496" ht="12.75" customHeight="1">
      <c r="A496" s="209"/>
      <c r="B496" s="209"/>
      <c r="C496" s="209"/>
      <c r="D496" s="209"/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  <c r="S496" s="209"/>
      <c r="T496" s="209"/>
      <c r="U496" s="209"/>
      <c r="V496" s="209"/>
      <c r="W496" s="209"/>
      <c r="X496" s="209"/>
      <c r="Y496" s="209"/>
      <c r="Z496" s="209"/>
    </row>
    <row r="497" ht="12.75" customHeight="1">
      <c r="A497" s="209"/>
      <c r="B497" s="209"/>
      <c r="C497" s="209"/>
      <c r="D497" s="209"/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  <c r="S497" s="209"/>
      <c r="T497" s="209"/>
      <c r="U497" s="209"/>
      <c r="V497" s="209"/>
      <c r="W497" s="209"/>
      <c r="X497" s="209"/>
      <c r="Y497" s="209"/>
      <c r="Z497" s="209"/>
    </row>
    <row r="498" ht="12.75" customHeight="1">
      <c r="A498" s="209"/>
      <c r="B498" s="209"/>
      <c r="C498" s="209"/>
      <c r="D498" s="209"/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  <c r="S498" s="209"/>
      <c r="T498" s="209"/>
      <c r="U498" s="209"/>
      <c r="V498" s="209"/>
      <c r="W498" s="209"/>
      <c r="X498" s="209"/>
      <c r="Y498" s="209"/>
      <c r="Z498" s="209"/>
    </row>
    <row r="499" ht="12.75" customHeight="1">
      <c r="A499" s="209"/>
      <c r="B499" s="209"/>
      <c r="C499" s="209"/>
      <c r="D499" s="209"/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  <c r="S499" s="209"/>
      <c r="T499" s="209"/>
      <c r="U499" s="209"/>
      <c r="V499" s="209"/>
      <c r="W499" s="209"/>
      <c r="X499" s="209"/>
      <c r="Y499" s="209"/>
      <c r="Z499" s="209"/>
    </row>
    <row r="500" ht="12.75" customHeight="1">
      <c r="A500" s="209"/>
      <c r="B500" s="209"/>
      <c r="C500" s="209"/>
      <c r="D500" s="209"/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  <c r="S500" s="209"/>
      <c r="T500" s="209"/>
      <c r="U500" s="209"/>
      <c r="V500" s="209"/>
      <c r="W500" s="209"/>
      <c r="X500" s="209"/>
      <c r="Y500" s="209"/>
      <c r="Z500" s="209"/>
    </row>
    <row r="501" ht="12.75" customHeight="1">
      <c r="A501" s="209"/>
      <c r="B501" s="209"/>
      <c r="C501" s="209"/>
      <c r="D501" s="209"/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  <c r="S501" s="209"/>
      <c r="T501" s="209"/>
      <c r="U501" s="209"/>
      <c r="V501" s="209"/>
      <c r="W501" s="209"/>
      <c r="X501" s="209"/>
      <c r="Y501" s="209"/>
      <c r="Z501" s="209"/>
    </row>
    <row r="502" ht="12.75" customHeight="1">
      <c r="A502" s="209"/>
      <c r="B502" s="209"/>
      <c r="C502" s="209"/>
      <c r="D502" s="209"/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  <c r="S502" s="209"/>
      <c r="T502" s="209"/>
      <c r="U502" s="209"/>
      <c r="V502" s="209"/>
      <c r="W502" s="209"/>
      <c r="X502" s="209"/>
      <c r="Y502" s="209"/>
      <c r="Z502" s="209"/>
    </row>
    <row r="503" ht="12.75" customHeight="1">
      <c r="A503" s="209"/>
      <c r="B503" s="209"/>
      <c r="C503" s="209"/>
      <c r="D503" s="209"/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  <c r="S503" s="209"/>
      <c r="T503" s="209"/>
      <c r="U503" s="209"/>
      <c r="V503" s="209"/>
      <c r="W503" s="209"/>
      <c r="X503" s="209"/>
      <c r="Y503" s="209"/>
      <c r="Z503" s="209"/>
    </row>
    <row r="504" ht="12.75" customHeight="1">
      <c r="A504" s="209"/>
      <c r="B504" s="209"/>
      <c r="C504" s="209"/>
      <c r="D504" s="209"/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  <c r="S504" s="209"/>
      <c r="T504" s="209"/>
      <c r="U504" s="209"/>
      <c r="V504" s="209"/>
      <c r="W504" s="209"/>
      <c r="X504" s="209"/>
      <c r="Y504" s="209"/>
      <c r="Z504" s="209"/>
    </row>
    <row r="505" ht="12.75" customHeight="1">
      <c r="A505" s="209"/>
      <c r="B505" s="209"/>
      <c r="C505" s="209"/>
      <c r="D505" s="209"/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  <c r="S505" s="209"/>
      <c r="T505" s="209"/>
      <c r="U505" s="209"/>
      <c r="V505" s="209"/>
      <c r="W505" s="209"/>
      <c r="X505" s="209"/>
      <c r="Y505" s="209"/>
      <c r="Z505" s="209"/>
    </row>
    <row r="506" ht="12.75" customHeight="1">
      <c r="A506" s="209"/>
      <c r="B506" s="209"/>
      <c r="C506" s="209"/>
      <c r="D506" s="209"/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  <c r="S506" s="209"/>
      <c r="T506" s="209"/>
      <c r="U506" s="209"/>
      <c r="V506" s="209"/>
      <c r="W506" s="209"/>
      <c r="X506" s="209"/>
      <c r="Y506" s="209"/>
      <c r="Z506" s="209"/>
    </row>
    <row r="507" ht="12.75" customHeight="1">
      <c r="A507" s="209"/>
      <c r="B507" s="209"/>
      <c r="C507" s="209"/>
      <c r="D507" s="209"/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  <c r="S507" s="209"/>
      <c r="T507" s="209"/>
      <c r="U507" s="209"/>
      <c r="V507" s="209"/>
      <c r="W507" s="209"/>
      <c r="X507" s="209"/>
      <c r="Y507" s="209"/>
      <c r="Z507" s="209"/>
    </row>
    <row r="508" ht="12.75" customHeight="1">
      <c r="A508" s="209"/>
      <c r="B508" s="209"/>
      <c r="C508" s="209"/>
      <c r="D508" s="209"/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  <c r="S508" s="209"/>
      <c r="T508" s="209"/>
      <c r="U508" s="209"/>
      <c r="V508" s="209"/>
      <c r="W508" s="209"/>
      <c r="X508" s="209"/>
      <c r="Y508" s="209"/>
      <c r="Z508" s="209"/>
    </row>
    <row r="509" ht="12.75" customHeight="1">
      <c r="A509" s="209"/>
      <c r="B509" s="209"/>
      <c r="C509" s="209"/>
      <c r="D509" s="209"/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  <c r="S509" s="209"/>
      <c r="T509" s="209"/>
      <c r="U509" s="209"/>
      <c r="V509" s="209"/>
      <c r="W509" s="209"/>
      <c r="X509" s="209"/>
      <c r="Y509" s="209"/>
      <c r="Z509" s="209"/>
    </row>
    <row r="510" ht="12.75" customHeight="1">
      <c r="A510" s="209"/>
      <c r="B510" s="209"/>
      <c r="C510" s="209"/>
      <c r="D510" s="209"/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  <c r="S510" s="209"/>
      <c r="T510" s="209"/>
      <c r="U510" s="209"/>
      <c r="V510" s="209"/>
      <c r="W510" s="209"/>
      <c r="X510" s="209"/>
      <c r="Y510" s="209"/>
      <c r="Z510" s="209"/>
    </row>
    <row r="511" ht="12.75" customHeight="1">
      <c r="A511" s="209"/>
      <c r="B511" s="209"/>
      <c r="C511" s="209"/>
      <c r="D511" s="209"/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  <c r="S511" s="209"/>
      <c r="T511" s="209"/>
      <c r="U511" s="209"/>
      <c r="V511" s="209"/>
      <c r="W511" s="209"/>
      <c r="X511" s="209"/>
      <c r="Y511" s="209"/>
      <c r="Z511" s="209"/>
    </row>
    <row r="512" ht="12.75" customHeight="1">
      <c r="A512" s="209"/>
      <c r="B512" s="209"/>
      <c r="C512" s="209"/>
      <c r="D512" s="209"/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  <c r="S512" s="209"/>
      <c r="T512" s="209"/>
      <c r="U512" s="209"/>
      <c r="V512" s="209"/>
      <c r="W512" s="209"/>
      <c r="X512" s="209"/>
      <c r="Y512" s="209"/>
      <c r="Z512" s="209"/>
    </row>
    <row r="513" ht="12.75" customHeight="1">
      <c r="A513" s="209"/>
      <c r="B513" s="209"/>
      <c r="C513" s="209"/>
      <c r="D513" s="209"/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  <c r="S513" s="209"/>
      <c r="T513" s="209"/>
      <c r="U513" s="209"/>
      <c r="V513" s="209"/>
      <c r="W513" s="209"/>
      <c r="X513" s="209"/>
      <c r="Y513" s="209"/>
      <c r="Z513" s="209"/>
    </row>
    <row r="514" ht="12.75" customHeight="1">
      <c r="A514" s="209"/>
      <c r="B514" s="209"/>
      <c r="C514" s="209"/>
      <c r="D514" s="209"/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  <c r="S514" s="209"/>
      <c r="T514" s="209"/>
      <c r="U514" s="209"/>
      <c r="V514" s="209"/>
      <c r="W514" s="209"/>
      <c r="X514" s="209"/>
      <c r="Y514" s="209"/>
      <c r="Z514" s="209"/>
    </row>
    <row r="515" ht="12.75" customHeight="1">
      <c r="A515" s="209"/>
      <c r="B515" s="209"/>
      <c r="C515" s="209"/>
      <c r="D515" s="209"/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  <c r="S515" s="209"/>
      <c r="T515" s="209"/>
      <c r="U515" s="209"/>
      <c r="V515" s="209"/>
      <c r="W515" s="209"/>
      <c r="X515" s="209"/>
      <c r="Y515" s="209"/>
      <c r="Z515" s="209"/>
    </row>
    <row r="516" ht="12.75" customHeight="1">
      <c r="A516" s="209"/>
      <c r="B516" s="209"/>
      <c r="C516" s="209"/>
      <c r="D516" s="209"/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  <c r="S516" s="209"/>
      <c r="T516" s="209"/>
      <c r="U516" s="209"/>
      <c r="V516" s="209"/>
      <c r="W516" s="209"/>
      <c r="X516" s="209"/>
      <c r="Y516" s="209"/>
      <c r="Z516" s="209"/>
    </row>
    <row r="517" ht="12.75" customHeight="1">
      <c r="A517" s="209"/>
      <c r="B517" s="209"/>
      <c r="C517" s="209"/>
      <c r="D517" s="209"/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  <c r="S517" s="209"/>
      <c r="T517" s="209"/>
      <c r="U517" s="209"/>
      <c r="V517" s="209"/>
      <c r="W517" s="209"/>
      <c r="X517" s="209"/>
      <c r="Y517" s="209"/>
      <c r="Z517" s="209"/>
    </row>
    <row r="518" ht="12.75" customHeight="1">
      <c r="A518" s="209"/>
      <c r="B518" s="209"/>
      <c r="C518" s="209"/>
      <c r="D518" s="209"/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  <c r="S518" s="209"/>
      <c r="T518" s="209"/>
      <c r="U518" s="209"/>
      <c r="V518" s="209"/>
      <c r="W518" s="209"/>
      <c r="X518" s="209"/>
      <c r="Y518" s="209"/>
      <c r="Z518" s="209"/>
    </row>
    <row r="519" ht="12.75" customHeight="1">
      <c r="A519" s="209"/>
      <c r="B519" s="209"/>
      <c r="C519" s="209"/>
      <c r="D519" s="209"/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  <c r="S519" s="209"/>
      <c r="T519" s="209"/>
      <c r="U519" s="209"/>
      <c r="V519" s="209"/>
      <c r="W519" s="209"/>
      <c r="X519" s="209"/>
      <c r="Y519" s="209"/>
      <c r="Z519" s="209"/>
    </row>
    <row r="520" ht="12.75" customHeight="1">
      <c r="A520" s="209"/>
      <c r="B520" s="209"/>
      <c r="C520" s="209"/>
      <c r="D520" s="209"/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  <c r="S520" s="209"/>
      <c r="T520" s="209"/>
      <c r="U520" s="209"/>
      <c r="V520" s="209"/>
      <c r="W520" s="209"/>
      <c r="X520" s="209"/>
      <c r="Y520" s="209"/>
      <c r="Z520" s="209"/>
    </row>
    <row r="521" ht="12.75" customHeight="1">
      <c r="A521" s="209"/>
      <c r="B521" s="209"/>
      <c r="C521" s="209"/>
      <c r="D521" s="209"/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  <c r="S521" s="209"/>
      <c r="T521" s="209"/>
      <c r="U521" s="209"/>
      <c r="V521" s="209"/>
      <c r="W521" s="209"/>
      <c r="X521" s="209"/>
      <c r="Y521" s="209"/>
      <c r="Z521" s="209"/>
    </row>
    <row r="522" ht="12.75" customHeight="1">
      <c r="A522" s="209"/>
      <c r="B522" s="209"/>
      <c r="C522" s="209"/>
      <c r="D522" s="209"/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  <c r="S522" s="209"/>
      <c r="T522" s="209"/>
      <c r="U522" s="209"/>
      <c r="V522" s="209"/>
      <c r="W522" s="209"/>
      <c r="X522" s="209"/>
      <c r="Y522" s="209"/>
      <c r="Z522" s="209"/>
    </row>
    <row r="523" ht="12.75" customHeight="1">
      <c r="A523" s="209"/>
      <c r="B523" s="209"/>
      <c r="C523" s="209"/>
      <c r="D523" s="209"/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  <c r="S523" s="209"/>
      <c r="T523" s="209"/>
      <c r="U523" s="209"/>
      <c r="V523" s="209"/>
      <c r="W523" s="209"/>
      <c r="X523" s="209"/>
      <c r="Y523" s="209"/>
      <c r="Z523" s="209"/>
    </row>
    <row r="524" ht="12.75" customHeight="1">
      <c r="A524" s="209"/>
      <c r="B524" s="209"/>
      <c r="C524" s="209"/>
      <c r="D524" s="209"/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  <c r="S524" s="209"/>
      <c r="T524" s="209"/>
      <c r="U524" s="209"/>
      <c r="V524" s="209"/>
      <c r="W524" s="209"/>
      <c r="X524" s="209"/>
      <c r="Y524" s="209"/>
      <c r="Z524" s="209"/>
    </row>
    <row r="525" ht="12.75" customHeight="1">
      <c r="A525" s="209"/>
      <c r="B525" s="209"/>
      <c r="C525" s="209"/>
      <c r="D525" s="209"/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  <c r="S525" s="209"/>
      <c r="T525" s="209"/>
      <c r="U525" s="209"/>
      <c r="V525" s="209"/>
      <c r="W525" s="209"/>
      <c r="X525" s="209"/>
      <c r="Y525" s="209"/>
      <c r="Z525" s="209"/>
    </row>
    <row r="526" ht="12.75" customHeight="1">
      <c r="A526" s="209"/>
      <c r="B526" s="209"/>
      <c r="C526" s="209"/>
      <c r="D526" s="209"/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  <c r="S526" s="209"/>
      <c r="T526" s="209"/>
      <c r="U526" s="209"/>
      <c r="V526" s="209"/>
      <c r="W526" s="209"/>
      <c r="X526" s="209"/>
      <c r="Y526" s="209"/>
      <c r="Z526" s="209"/>
    </row>
    <row r="527" ht="12.75" customHeight="1">
      <c r="A527" s="209"/>
      <c r="B527" s="209"/>
      <c r="C527" s="209"/>
      <c r="D527" s="209"/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  <c r="S527" s="209"/>
      <c r="T527" s="209"/>
      <c r="U527" s="209"/>
      <c r="V527" s="209"/>
      <c r="W527" s="209"/>
      <c r="X527" s="209"/>
      <c r="Y527" s="209"/>
      <c r="Z527" s="209"/>
    </row>
    <row r="528" ht="12.75" customHeight="1">
      <c r="A528" s="209"/>
      <c r="B528" s="209"/>
      <c r="C528" s="209"/>
      <c r="D528" s="209"/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  <c r="S528" s="209"/>
      <c r="T528" s="209"/>
      <c r="U528" s="209"/>
      <c r="V528" s="209"/>
      <c r="W528" s="209"/>
      <c r="X528" s="209"/>
      <c r="Y528" s="209"/>
      <c r="Z528" s="209"/>
    </row>
    <row r="529" ht="12.75" customHeight="1">
      <c r="A529" s="209"/>
      <c r="B529" s="209"/>
      <c r="C529" s="209"/>
      <c r="D529" s="209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  <c r="S529" s="209"/>
      <c r="T529" s="209"/>
      <c r="U529" s="209"/>
      <c r="V529" s="209"/>
      <c r="W529" s="209"/>
      <c r="X529" s="209"/>
      <c r="Y529" s="209"/>
      <c r="Z529" s="209"/>
    </row>
    <row r="530" ht="12.75" customHeight="1">
      <c r="A530" s="209"/>
      <c r="B530" s="209"/>
      <c r="C530" s="209"/>
      <c r="D530" s="20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  <c r="S530" s="209"/>
      <c r="T530" s="209"/>
      <c r="U530" s="209"/>
      <c r="V530" s="209"/>
      <c r="W530" s="209"/>
      <c r="X530" s="209"/>
      <c r="Y530" s="209"/>
      <c r="Z530" s="209"/>
    </row>
    <row r="531" ht="12.75" customHeight="1">
      <c r="A531" s="209"/>
      <c r="B531" s="209"/>
      <c r="C531" s="209"/>
      <c r="D531" s="209"/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  <c r="S531" s="209"/>
      <c r="T531" s="209"/>
      <c r="U531" s="209"/>
      <c r="V531" s="209"/>
      <c r="W531" s="209"/>
      <c r="X531" s="209"/>
      <c r="Y531" s="209"/>
      <c r="Z531" s="209"/>
    </row>
    <row r="532" ht="12.75" customHeight="1">
      <c r="A532" s="209"/>
      <c r="B532" s="209"/>
      <c r="C532" s="209"/>
      <c r="D532" s="209"/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  <c r="S532" s="209"/>
      <c r="T532" s="209"/>
      <c r="U532" s="209"/>
      <c r="V532" s="209"/>
      <c r="W532" s="209"/>
      <c r="X532" s="209"/>
      <c r="Y532" s="209"/>
      <c r="Z532" s="209"/>
    </row>
    <row r="533" ht="12.75" customHeight="1">
      <c r="A533" s="209"/>
      <c r="B533" s="209"/>
      <c r="C533" s="209"/>
      <c r="D533" s="209"/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  <c r="S533" s="209"/>
      <c r="T533" s="209"/>
      <c r="U533" s="209"/>
      <c r="V533" s="209"/>
      <c r="W533" s="209"/>
      <c r="X533" s="209"/>
      <c r="Y533" s="209"/>
      <c r="Z533" s="209"/>
    </row>
    <row r="534" ht="12.75" customHeight="1">
      <c r="A534" s="209"/>
      <c r="B534" s="209"/>
      <c r="C534" s="209"/>
      <c r="D534" s="209"/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  <c r="S534" s="209"/>
      <c r="T534" s="209"/>
      <c r="U534" s="209"/>
      <c r="V534" s="209"/>
      <c r="W534" s="209"/>
      <c r="X534" s="209"/>
      <c r="Y534" s="209"/>
      <c r="Z534" s="209"/>
    </row>
    <row r="535" ht="12.75" customHeight="1">
      <c r="A535" s="209"/>
      <c r="B535" s="209"/>
      <c r="C535" s="209"/>
      <c r="D535" s="209"/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  <c r="S535" s="209"/>
      <c r="T535" s="209"/>
      <c r="U535" s="209"/>
      <c r="V535" s="209"/>
      <c r="W535" s="209"/>
      <c r="X535" s="209"/>
      <c r="Y535" s="209"/>
      <c r="Z535" s="209"/>
    </row>
    <row r="536" ht="12.75" customHeight="1">
      <c r="A536" s="209"/>
      <c r="B536" s="209"/>
      <c r="C536" s="209"/>
      <c r="D536" s="209"/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  <c r="S536" s="209"/>
      <c r="T536" s="209"/>
      <c r="U536" s="209"/>
      <c r="V536" s="209"/>
      <c r="W536" s="209"/>
      <c r="X536" s="209"/>
      <c r="Y536" s="209"/>
      <c r="Z536" s="209"/>
    </row>
    <row r="537" ht="12.75" customHeight="1">
      <c r="A537" s="209"/>
      <c r="B537" s="209"/>
      <c r="C537" s="209"/>
      <c r="D537" s="209"/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  <c r="S537" s="209"/>
      <c r="T537" s="209"/>
      <c r="U537" s="209"/>
      <c r="V537" s="209"/>
      <c r="W537" s="209"/>
      <c r="X537" s="209"/>
      <c r="Y537" s="209"/>
      <c r="Z537" s="209"/>
    </row>
    <row r="538" ht="12.75" customHeight="1">
      <c r="A538" s="209"/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  <c r="X538" s="209"/>
      <c r="Y538" s="209"/>
      <c r="Z538" s="209"/>
    </row>
    <row r="539" ht="12.75" customHeight="1">
      <c r="A539" s="209"/>
      <c r="B539" s="209"/>
      <c r="C539" s="209"/>
      <c r="D539" s="209"/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  <c r="S539" s="209"/>
      <c r="T539" s="209"/>
      <c r="U539" s="209"/>
      <c r="V539" s="209"/>
      <c r="W539" s="209"/>
      <c r="X539" s="209"/>
      <c r="Y539" s="209"/>
      <c r="Z539" s="209"/>
    </row>
    <row r="540" ht="12.75" customHeight="1">
      <c r="A540" s="209"/>
      <c r="B540" s="209"/>
      <c r="C540" s="209"/>
      <c r="D540" s="209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  <c r="S540" s="209"/>
      <c r="T540" s="209"/>
      <c r="U540" s="209"/>
      <c r="V540" s="209"/>
      <c r="W540" s="209"/>
      <c r="X540" s="209"/>
      <c r="Y540" s="209"/>
      <c r="Z540" s="209"/>
    </row>
    <row r="541" ht="12.75" customHeight="1">
      <c r="A541" s="209"/>
      <c r="B541" s="209"/>
      <c r="C541" s="209"/>
      <c r="D541" s="209"/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  <c r="S541" s="209"/>
      <c r="T541" s="209"/>
      <c r="U541" s="209"/>
      <c r="V541" s="209"/>
      <c r="W541" s="209"/>
      <c r="X541" s="209"/>
      <c r="Y541" s="209"/>
      <c r="Z541" s="209"/>
    </row>
    <row r="542" ht="12.75" customHeight="1">
      <c r="A542" s="209"/>
      <c r="B542" s="209"/>
      <c r="C542" s="209"/>
      <c r="D542" s="209"/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  <c r="S542" s="209"/>
      <c r="T542" s="209"/>
      <c r="U542" s="209"/>
      <c r="V542" s="209"/>
      <c r="W542" s="209"/>
      <c r="X542" s="209"/>
      <c r="Y542" s="209"/>
      <c r="Z542" s="209"/>
    </row>
    <row r="543" ht="12.75" customHeight="1">
      <c r="A543" s="209"/>
      <c r="B543" s="209"/>
      <c r="C543" s="209"/>
      <c r="D543" s="209"/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  <c r="S543" s="209"/>
      <c r="T543" s="209"/>
      <c r="U543" s="209"/>
      <c r="V543" s="209"/>
      <c r="W543" s="209"/>
      <c r="X543" s="209"/>
      <c r="Y543" s="209"/>
      <c r="Z543" s="209"/>
    </row>
    <row r="544" ht="12.75" customHeight="1">
      <c r="A544" s="209"/>
      <c r="B544" s="209"/>
      <c r="C544" s="209"/>
      <c r="D544" s="209"/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  <c r="S544" s="209"/>
      <c r="T544" s="209"/>
      <c r="U544" s="209"/>
      <c r="V544" s="209"/>
      <c r="W544" s="209"/>
      <c r="X544" s="209"/>
      <c r="Y544" s="209"/>
      <c r="Z544" s="209"/>
    </row>
    <row r="545" ht="12.75" customHeight="1">
      <c r="A545" s="209"/>
      <c r="B545" s="209"/>
      <c r="C545" s="209"/>
      <c r="D545" s="209"/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  <c r="S545" s="209"/>
      <c r="T545" s="209"/>
      <c r="U545" s="209"/>
      <c r="V545" s="209"/>
      <c r="W545" s="209"/>
      <c r="X545" s="209"/>
      <c r="Y545" s="209"/>
      <c r="Z545" s="209"/>
    </row>
    <row r="546" ht="12.75" customHeight="1">
      <c r="A546" s="209"/>
      <c r="B546" s="209"/>
      <c r="C546" s="209"/>
      <c r="D546" s="209"/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  <c r="S546" s="209"/>
      <c r="T546" s="209"/>
      <c r="U546" s="209"/>
      <c r="V546" s="209"/>
      <c r="W546" s="209"/>
      <c r="X546" s="209"/>
      <c r="Y546" s="209"/>
      <c r="Z546" s="209"/>
    </row>
    <row r="547" ht="12.75" customHeight="1">
      <c r="A547" s="209"/>
      <c r="B547" s="209"/>
      <c r="C547" s="209"/>
      <c r="D547" s="209"/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  <c r="S547" s="209"/>
      <c r="T547" s="209"/>
      <c r="U547" s="209"/>
      <c r="V547" s="209"/>
      <c r="W547" s="209"/>
      <c r="X547" s="209"/>
      <c r="Y547" s="209"/>
      <c r="Z547" s="209"/>
    </row>
    <row r="548" ht="12.75" customHeight="1">
      <c r="A548" s="209"/>
      <c r="B548" s="209"/>
      <c r="C548" s="209"/>
      <c r="D548" s="209"/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  <c r="S548" s="209"/>
      <c r="T548" s="209"/>
      <c r="U548" s="209"/>
      <c r="V548" s="209"/>
      <c r="W548" s="209"/>
      <c r="X548" s="209"/>
      <c r="Y548" s="209"/>
      <c r="Z548" s="209"/>
    </row>
    <row r="549" ht="12.75" customHeight="1">
      <c r="A549" s="209"/>
      <c r="B549" s="209"/>
      <c r="C549" s="209"/>
      <c r="D549" s="209"/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  <c r="S549" s="209"/>
      <c r="T549" s="209"/>
      <c r="U549" s="209"/>
      <c r="V549" s="209"/>
      <c r="W549" s="209"/>
      <c r="X549" s="209"/>
      <c r="Y549" s="209"/>
      <c r="Z549" s="209"/>
    </row>
    <row r="550" ht="12.75" customHeight="1">
      <c r="A550" s="209"/>
      <c r="B550" s="209"/>
      <c r="C550" s="209"/>
      <c r="D550" s="209"/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  <c r="S550" s="209"/>
      <c r="T550" s="209"/>
      <c r="U550" s="209"/>
      <c r="V550" s="209"/>
      <c r="W550" s="209"/>
      <c r="X550" s="209"/>
      <c r="Y550" s="209"/>
      <c r="Z550" s="209"/>
    </row>
    <row r="551" ht="12.75" customHeight="1">
      <c r="A551" s="209"/>
      <c r="B551" s="209"/>
      <c r="C551" s="209"/>
      <c r="D551" s="209"/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  <c r="S551" s="209"/>
      <c r="T551" s="209"/>
      <c r="U551" s="209"/>
      <c r="V551" s="209"/>
      <c r="W551" s="209"/>
      <c r="X551" s="209"/>
      <c r="Y551" s="209"/>
      <c r="Z551" s="209"/>
    </row>
    <row r="552" ht="12.75" customHeight="1">
      <c r="A552" s="209"/>
      <c r="B552" s="209"/>
      <c r="C552" s="209"/>
      <c r="D552" s="209"/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  <c r="S552" s="209"/>
      <c r="T552" s="209"/>
      <c r="U552" s="209"/>
      <c r="V552" s="209"/>
      <c r="W552" s="209"/>
      <c r="X552" s="209"/>
      <c r="Y552" s="209"/>
      <c r="Z552" s="209"/>
    </row>
    <row r="553" ht="12.75" customHeight="1">
      <c r="A553" s="209"/>
      <c r="B553" s="209"/>
      <c r="C553" s="209"/>
      <c r="D553" s="209"/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  <c r="S553" s="209"/>
      <c r="T553" s="209"/>
      <c r="U553" s="209"/>
      <c r="V553" s="209"/>
      <c r="W553" s="209"/>
      <c r="X553" s="209"/>
      <c r="Y553" s="209"/>
      <c r="Z553" s="209"/>
    </row>
    <row r="554" ht="12.75" customHeight="1">
      <c r="A554" s="209"/>
      <c r="B554" s="209"/>
      <c r="C554" s="209"/>
      <c r="D554" s="209"/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  <c r="S554" s="209"/>
      <c r="T554" s="209"/>
      <c r="U554" s="209"/>
      <c r="V554" s="209"/>
      <c r="W554" s="209"/>
      <c r="X554" s="209"/>
      <c r="Y554" s="209"/>
      <c r="Z554" s="209"/>
    </row>
    <row r="555" ht="12.75" customHeight="1">
      <c r="A555" s="209"/>
      <c r="B555" s="209"/>
      <c r="C555" s="209"/>
      <c r="D555" s="209"/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  <c r="S555" s="209"/>
      <c r="T555" s="209"/>
      <c r="U555" s="209"/>
      <c r="V555" s="209"/>
      <c r="W555" s="209"/>
      <c r="X555" s="209"/>
      <c r="Y555" s="209"/>
      <c r="Z555" s="209"/>
    </row>
    <row r="556" ht="12.75" customHeight="1">
      <c r="A556" s="209"/>
      <c r="B556" s="209"/>
      <c r="C556" s="209"/>
      <c r="D556" s="209"/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  <c r="S556" s="209"/>
      <c r="T556" s="209"/>
      <c r="U556" s="209"/>
      <c r="V556" s="209"/>
      <c r="W556" s="209"/>
      <c r="X556" s="209"/>
      <c r="Y556" s="209"/>
      <c r="Z556" s="209"/>
    </row>
    <row r="557" ht="12.75" customHeight="1">
      <c r="A557" s="209"/>
      <c r="B557" s="209"/>
      <c r="C557" s="209"/>
      <c r="D557" s="209"/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  <c r="S557" s="209"/>
      <c r="T557" s="209"/>
      <c r="U557" s="209"/>
      <c r="V557" s="209"/>
      <c r="W557" s="209"/>
      <c r="X557" s="209"/>
      <c r="Y557" s="209"/>
      <c r="Z557" s="209"/>
    </row>
    <row r="558" ht="12.75" customHeight="1">
      <c r="A558" s="209"/>
      <c r="B558" s="209"/>
      <c r="C558" s="209"/>
      <c r="D558" s="209"/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  <c r="S558" s="209"/>
      <c r="T558" s="209"/>
      <c r="U558" s="209"/>
      <c r="V558" s="209"/>
      <c r="W558" s="209"/>
      <c r="X558" s="209"/>
      <c r="Y558" s="209"/>
      <c r="Z558" s="209"/>
    </row>
    <row r="559" ht="12.75" customHeight="1">
      <c r="A559" s="209"/>
      <c r="B559" s="209"/>
      <c r="C559" s="209"/>
      <c r="D559" s="209"/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  <c r="S559" s="209"/>
      <c r="T559" s="209"/>
      <c r="U559" s="209"/>
      <c r="V559" s="209"/>
      <c r="W559" s="209"/>
      <c r="X559" s="209"/>
      <c r="Y559" s="209"/>
      <c r="Z559" s="209"/>
    </row>
    <row r="560" ht="12.75" customHeight="1">
      <c r="A560" s="209"/>
      <c r="B560" s="209"/>
      <c r="C560" s="209"/>
      <c r="D560" s="209"/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  <c r="S560" s="209"/>
      <c r="T560" s="209"/>
      <c r="U560" s="209"/>
      <c r="V560" s="209"/>
      <c r="W560" s="209"/>
      <c r="X560" s="209"/>
      <c r="Y560" s="209"/>
      <c r="Z560" s="209"/>
    </row>
    <row r="561" ht="12.75" customHeight="1">
      <c r="A561" s="209"/>
      <c r="B561" s="209"/>
      <c r="C561" s="209"/>
      <c r="D561" s="209"/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  <c r="S561" s="209"/>
      <c r="T561" s="209"/>
      <c r="U561" s="209"/>
      <c r="V561" s="209"/>
      <c r="W561" s="209"/>
      <c r="X561" s="209"/>
      <c r="Y561" s="209"/>
      <c r="Z561" s="209"/>
    </row>
    <row r="562" ht="12.75" customHeight="1">
      <c r="A562" s="209"/>
      <c r="B562" s="209"/>
      <c r="C562" s="209"/>
      <c r="D562" s="209"/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  <c r="S562" s="209"/>
      <c r="T562" s="209"/>
      <c r="U562" s="209"/>
      <c r="V562" s="209"/>
      <c r="W562" s="209"/>
      <c r="X562" s="209"/>
      <c r="Y562" s="209"/>
      <c r="Z562" s="209"/>
    </row>
    <row r="563" ht="12.75" customHeight="1">
      <c r="A563" s="209"/>
      <c r="B563" s="209"/>
      <c r="C563" s="209"/>
      <c r="D563" s="209"/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  <c r="S563" s="209"/>
      <c r="T563" s="209"/>
      <c r="U563" s="209"/>
      <c r="V563" s="209"/>
      <c r="W563" s="209"/>
      <c r="X563" s="209"/>
      <c r="Y563" s="209"/>
      <c r="Z563" s="209"/>
    </row>
    <row r="564" ht="12.75" customHeight="1">
      <c r="A564" s="209"/>
      <c r="B564" s="209"/>
      <c r="C564" s="209"/>
      <c r="D564" s="209"/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  <c r="S564" s="209"/>
      <c r="T564" s="209"/>
      <c r="U564" s="209"/>
      <c r="V564" s="209"/>
      <c r="W564" s="209"/>
      <c r="X564" s="209"/>
      <c r="Y564" s="209"/>
      <c r="Z564" s="209"/>
    </row>
    <row r="565" ht="12.75" customHeight="1">
      <c r="A565" s="209"/>
      <c r="B565" s="209"/>
      <c r="C565" s="209"/>
      <c r="D565" s="209"/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  <c r="S565" s="209"/>
      <c r="T565" s="209"/>
      <c r="U565" s="209"/>
      <c r="V565" s="209"/>
      <c r="W565" s="209"/>
      <c r="X565" s="209"/>
      <c r="Y565" s="209"/>
      <c r="Z565" s="209"/>
    </row>
    <row r="566" ht="12.75" customHeight="1">
      <c r="A566" s="209"/>
      <c r="B566" s="209"/>
      <c r="C566" s="209"/>
      <c r="D566" s="209"/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  <c r="S566" s="209"/>
      <c r="T566" s="209"/>
      <c r="U566" s="209"/>
      <c r="V566" s="209"/>
      <c r="W566" s="209"/>
      <c r="X566" s="209"/>
      <c r="Y566" s="209"/>
      <c r="Z566" s="209"/>
    </row>
    <row r="567" ht="12.75" customHeight="1">
      <c r="A567" s="209"/>
      <c r="B567" s="209"/>
      <c r="C567" s="209"/>
      <c r="D567" s="209"/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  <c r="S567" s="209"/>
      <c r="T567" s="209"/>
      <c r="U567" s="209"/>
      <c r="V567" s="209"/>
      <c r="W567" s="209"/>
      <c r="X567" s="209"/>
      <c r="Y567" s="209"/>
      <c r="Z567" s="209"/>
    </row>
    <row r="568" ht="12.75" customHeight="1">
      <c r="A568" s="209"/>
      <c r="B568" s="209"/>
      <c r="C568" s="209"/>
      <c r="D568" s="209"/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  <c r="S568" s="209"/>
      <c r="T568" s="209"/>
      <c r="U568" s="209"/>
      <c r="V568" s="209"/>
      <c r="W568" s="209"/>
      <c r="X568" s="209"/>
      <c r="Y568" s="209"/>
      <c r="Z568" s="209"/>
    </row>
    <row r="569" ht="12.75" customHeight="1">
      <c r="A569" s="209"/>
      <c r="B569" s="209"/>
      <c r="C569" s="209"/>
      <c r="D569" s="209"/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  <c r="S569" s="209"/>
      <c r="T569" s="209"/>
      <c r="U569" s="209"/>
      <c r="V569" s="209"/>
      <c r="W569" s="209"/>
      <c r="X569" s="209"/>
      <c r="Y569" s="209"/>
      <c r="Z569" s="209"/>
    </row>
    <row r="570" ht="12.75" customHeight="1">
      <c r="A570" s="209"/>
      <c r="B570" s="209"/>
      <c r="C570" s="209"/>
      <c r="D570" s="209"/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  <c r="S570" s="209"/>
      <c r="T570" s="209"/>
      <c r="U570" s="209"/>
      <c r="V570" s="209"/>
      <c r="W570" s="209"/>
      <c r="X570" s="209"/>
      <c r="Y570" s="209"/>
      <c r="Z570" s="209"/>
    </row>
    <row r="571" ht="12.75" customHeight="1">
      <c r="A571" s="209"/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</row>
    <row r="572" ht="12.75" customHeight="1">
      <c r="A572" s="209"/>
      <c r="B572" s="209"/>
      <c r="C572" s="209"/>
      <c r="D572" s="209"/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  <c r="S572" s="209"/>
      <c r="T572" s="209"/>
      <c r="U572" s="209"/>
      <c r="V572" s="209"/>
      <c r="W572" s="209"/>
      <c r="X572" s="209"/>
      <c r="Y572" s="209"/>
      <c r="Z572" s="209"/>
    </row>
    <row r="573" ht="12.75" customHeight="1">
      <c r="A573" s="209"/>
      <c r="B573" s="209"/>
      <c r="C573" s="209"/>
      <c r="D573" s="209"/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  <c r="S573" s="209"/>
      <c r="T573" s="209"/>
      <c r="U573" s="209"/>
      <c r="V573" s="209"/>
      <c r="W573" s="209"/>
      <c r="X573" s="209"/>
      <c r="Y573" s="209"/>
      <c r="Z573" s="209"/>
    </row>
    <row r="574" ht="12.75" customHeight="1">
      <c r="A574" s="209"/>
      <c r="B574" s="209"/>
      <c r="C574" s="209"/>
      <c r="D574" s="209"/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  <c r="S574" s="209"/>
      <c r="T574" s="209"/>
      <c r="U574" s="209"/>
      <c r="V574" s="209"/>
      <c r="W574" s="209"/>
      <c r="X574" s="209"/>
      <c r="Y574" s="209"/>
      <c r="Z574" s="209"/>
    </row>
    <row r="575" ht="12.75" customHeight="1">
      <c r="A575" s="209"/>
      <c r="B575" s="209"/>
      <c r="C575" s="209"/>
      <c r="D575" s="209"/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  <c r="S575" s="209"/>
      <c r="T575" s="209"/>
      <c r="U575" s="209"/>
      <c r="V575" s="209"/>
      <c r="W575" s="209"/>
      <c r="X575" s="209"/>
      <c r="Y575" s="209"/>
      <c r="Z575" s="209"/>
    </row>
    <row r="576" ht="12.75" customHeight="1">
      <c r="A576" s="209"/>
      <c r="B576" s="209"/>
      <c r="C576" s="209"/>
      <c r="D576" s="209"/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  <c r="S576" s="209"/>
      <c r="T576" s="209"/>
      <c r="U576" s="209"/>
      <c r="V576" s="209"/>
      <c r="W576" s="209"/>
      <c r="X576" s="209"/>
      <c r="Y576" s="209"/>
      <c r="Z576" s="209"/>
    </row>
    <row r="577" ht="12.75" customHeight="1">
      <c r="A577" s="209"/>
      <c r="B577" s="209"/>
      <c r="C577" s="209"/>
      <c r="D577" s="209"/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  <c r="S577" s="209"/>
      <c r="T577" s="209"/>
      <c r="U577" s="209"/>
      <c r="V577" s="209"/>
      <c r="W577" s="209"/>
      <c r="X577" s="209"/>
      <c r="Y577" s="209"/>
      <c r="Z577" s="209"/>
    </row>
    <row r="578" ht="12.75" customHeight="1">
      <c r="A578" s="209"/>
      <c r="B578" s="209"/>
      <c r="C578" s="209"/>
      <c r="D578" s="209"/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  <c r="S578" s="209"/>
      <c r="T578" s="209"/>
      <c r="U578" s="209"/>
      <c r="V578" s="209"/>
      <c r="W578" s="209"/>
      <c r="X578" s="209"/>
      <c r="Y578" s="209"/>
      <c r="Z578" s="209"/>
    </row>
    <row r="579" ht="12.75" customHeight="1">
      <c r="A579" s="209"/>
      <c r="B579" s="209"/>
      <c r="C579" s="209"/>
      <c r="D579" s="209"/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  <c r="S579" s="209"/>
      <c r="T579" s="209"/>
      <c r="U579" s="209"/>
      <c r="V579" s="209"/>
      <c r="W579" s="209"/>
      <c r="X579" s="209"/>
      <c r="Y579" s="209"/>
      <c r="Z579" s="209"/>
    </row>
    <row r="580" ht="12.75" customHeight="1">
      <c r="A580" s="209"/>
      <c r="B580" s="209"/>
      <c r="C580" s="209"/>
      <c r="D580" s="209"/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  <c r="S580" s="209"/>
      <c r="T580" s="209"/>
      <c r="U580" s="209"/>
      <c r="V580" s="209"/>
      <c r="W580" s="209"/>
      <c r="X580" s="209"/>
      <c r="Y580" s="209"/>
      <c r="Z580" s="209"/>
    </row>
    <row r="581" ht="12.75" customHeight="1">
      <c r="A581" s="209"/>
      <c r="B581" s="209"/>
      <c r="C581" s="209"/>
      <c r="D581" s="209"/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  <c r="S581" s="209"/>
      <c r="T581" s="209"/>
      <c r="U581" s="209"/>
      <c r="V581" s="209"/>
      <c r="W581" s="209"/>
      <c r="X581" s="209"/>
      <c r="Y581" s="209"/>
      <c r="Z581" s="209"/>
    </row>
    <row r="582" ht="12.75" customHeight="1">
      <c r="A582" s="209"/>
      <c r="B582" s="209"/>
      <c r="C582" s="209"/>
      <c r="D582" s="209"/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  <c r="S582" s="209"/>
      <c r="T582" s="209"/>
      <c r="U582" s="209"/>
      <c r="V582" s="209"/>
      <c r="W582" s="209"/>
      <c r="X582" s="209"/>
      <c r="Y582" s="209"/>
      <c r="Z582" s="209"/>
    </row>
    <row r="583" ht="12.75" customHeight="1">
      <c r="A583" s="209"/>
      <c r="B583" s="209"/>
      <c r="C583" s="209"/>
      <c r="D583" s="209"/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  <c r="S583" s="209"/>
      <c r="T583" s="209"/>
      <c r="U583" s="209"/>
      <c r="V583" s="209"/>
      <c r="W583" s="209"/>
      <c r="X583" s="209"/>
      <c r="Y583" s="209"/>
      <c r="Z583" s="209"/>
    </row>
    <row r="584" ht="12.75" customHeight="1">
      <c r="A584" s="209"/>
      <c r="B584" s="209"/>
      <c r="C584" s="209"/>
      <c r="D584" s="209"/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  <c r="S584" s="209"/>
      <c r="T584" s="209"/>
      <c r="U584" s="209"/>
      <c r="V584" s="209"/>
      <c r="W584" s="209"/>
      <c r="X584" s="209"/>
      <c r="Y584" s="209"/>
      <c r="Z584" s="209"/>
    </row>
    <row r="585" ht="12.75" customHeight="1">
      <c r="A585" s="209"/>
      <c r="B585" s="209"/>
      <c r="C585" s="209"/>
      <c r="D585" s="209"/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  <c r="S585" s="209"/>
      <c r="T585" s="209"/>
      <c r="U585" s="209"/>
      <c r="V585" s="209"/>
      <c r="W585" s="209"/>
      <c r="X585" s="209"/>
      <c r="Y585" s="209"/>
      <c r="Z585" s="209"/>
    </row>
    <row r="586" ht="12.75" customHeight="1">
      <c r="A586" s="209"/>
      <c r="B586" s="209"/>
      <c r="C586" s="209"/>
      <c r="D586" s="209"/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  <c r="S586" s="209"/>
      <c r="T586" s="209"/>
      <c r="U586" s="209"/>
      <c r="V586" s="209"/>
      <c r="W586" s="209"/>
      <c r="X586" s="209"/>
      <c r="Y586" s="209"/>
      <c r="Z586" s="209"/>
    </row>
    <row r="587" ht="12.75" customHeight="1">
      <c r="A587" s="209"/>
      <c r="B587" s="209"/>
      <c r="C587" s="209"/>
      <c r="D587" s="209"/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  <c r="S587" s="209"/>
      <c r="T587" s="209"/>
      <c r="U587" s="209"/>
      <c r="V587" s="209"/>
      <c r="W587" s="209"/>
      <c r="X587" s="209"/>
      <c r="Y587" s="209"/>
      <c r="Z587" s="209"/>
    </row>
    <row r="588" ht="12.75" customHeight="1">
      <c r="A588" s="209"/>
      <c r="B588" s="209"/>
      <c r="C588" s="209"/>
      <c r="D588" s="209"/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  <c r="S588" s="209"/>
      <c r="T588" s="209"/>
      <c r="U588" s="209"/>
      <c r="V588" s="209"/>
      <c r="W588" s="209"/>
      <c r="X588" s="209"/>
      <c r="Y588" s="209"/>
      <c r="Z588" s="209"/>
    </row>
    <row r="589" ht="12.75" customHeight="1">
      <c r="A589" s="209"/>
      <c r="B589" s="209"/>
      <c r="C589" s="209"/>
      <c r="D589" s="209"/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  <c r="S589" s="209"/>
      <c r="T589" s="209"/>
      <c r="U589" s="209"/>
      <c r="V589" s="209"/>
      <c r="W589" s="209"/>
      <c r="X589" s="209"/>
      <c r="Y589" s="209"/>
      <c r="Z589" s="209"/>
    </row>
    <row r="590" ht="12.75" customHeight="1">
      <c r="A590" s="209"/>
      <c r="B590" s="209"/>
      <c r="C590" s="209"/>
      <c r="D590" s="209"/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  <c r="S590" s="209"/>
      <c r="T590" s="209"/>
      <c r="U590" s="209"/>
      <c r="V590" s="209"/>
      <c r="W590" s="209"/>
      <c r="X590" s="209"/>
      <c r="Y590" s="209"/>
      <c r="Z590" s="209"/>
    </row>
    <row r="591" ht="12.75" customHeight="1">
      <c r="A591" s="209"/>
      <c r="B591" s="209"/>
      <c r="C591" s="209"/>
      <c r="D591" s="209"/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  <c r="S591" s="209"/>
      <c r="T591" s="209"/>
      <c r="U591" s="209"/>
      <c r="V591" s="209"/>
      <c r="W591" s="209"/>
      <c r="X591" s="209"/>
      <c r="Y591" s="209"/>
      <c r="Z591" s="209"/>
    </row>
    <row r="592" ht="12.75" customHeight="1">
      <c r="A592" s="209"/>
      <c r="B592" s="209"/>
      <c r="C592" s="209"/>
      <c r="D592" s="209"/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  <c r="S592" s="209"/>
      <c r="T592" s="209"/>
      <c r="U592" s="209"/>
      <c r="V592" s="209"/>
      <c r="W592" s="209"/>
      <c r="X592" s="209"/>
      <c r="Y592" s="209"/>
      <c r="Z592" s="209"/>
    </row>
    <row r="593" ht="12.75" customHeight="1">
      <c r="A593" s="209"/>
      <c r="B593" s="209"/>
      <c r="C593" s="209"/>
      <c r="D593" s="209"/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  <c r="S593" s="209"/>
      <c r="T593" s="209"/>
      <c r="U593" s="209"/>
      <c r="V593" s="209"/>
      <c r="W593" s="209"/>
      <c r="X593" s="209"/>
      <c r="Y593" s="209"/>
      <c r="Z593" s="209"/>
    </row>
    <row r="594" ht="12.75" customHeight="1">
      <c r="A594" s="209"/>
      <c r="B594" s="209"/>
      <c r="C594" s="209"/>
      <c r="D594" s="209"/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  <c r="S594" s="209"/>
      <c r="T594" s="209"/>
      <c r="U594" s="209"/>
      <c r="V594" s="209"/>
      <c r="W594" s="209"/>
      <c r="X594" s="209"/>
      <c r="Y594" s="209"/>
      <c r="Z594" s="209"/>
    </row>
    <row r="595" ht="12.75" customHeight="1">
      <c r="A595" s="209"/>
      <c r="B595" s="209"/>
      <c r="C595" s="209"/>
      <c r="D595" s="209"/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  <c r="S595" s="209"/>
      <c r="T595" s="209"/>
      <c r="U595" s="209"/>
      <c r="V595" s="209"/>
      <c r="W595" s="209"/>
      <c r="X595" s="209"/>
      <c r="Y595" s="209"/>
      <c r="Z595" s="209"/>
    </row>
    <row r="596" ht="12.75" customHeight="1">
      <c r="A596" s="209"/>
      <c r="B596" s="209"/>
      <c r="C596" s="209"/>
      <c r="D596" s="209"/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  <c r="S596" s="209"/>
      <c r="T596" s="209"/>
      <c r="U596" s="209"/>
      <c r="V596" s="209"/>
      <c r="W596" s="209"/>
      <c r="X596" s="209"/>
      <c r="Y596" s="209"/>
      <c r="Z596" s="209"/>
    </row>
    <row r="597" ht="12.75" customHeight="1">
      <c r="A597" s="209"/>
      <c r="B597" s="209"/>
      <c r="C597" s="209"/>
      <c r="D597" s="209"/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  <c r="S597" s="209"/>
      <c r="T597" s="209"/>
      <c r="U597" s="209"/>
      <c r="V597" s="209"/>
      <c r="W597" s="209"/>
      <c r="X597" s="209"/>
      <c r="Y597" s="209"/>
      <c r="Z597" s="209"/>
    </row>
    <row r="598" ht="12.75" customHeight="1">
      <c r="A598" s="209"/>
      <c r="B598" s="209"/>
      <c r="C598" s="209"/>
      <c r="D598" s="209"/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  <c r="S598" s="209"/>
      <c r="T598" s="209"/>
      <c r="U598" s="209"/>
      <c r="V598" s="209"/>
      <c r="W598" s="209"/>
      <c r="X598" s="209"/>
      <c r="Y598" s="209"/>
      <c r="Z598" s="209"/>
    </row>
    <row r="599" ht="12.75" customHeight="1">
      <c r="A599" s="209"/>
      <c r="B599" s="209"/>
      <c r="C599" s="209"/>
      <c r="D599" s="209"/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  <c r="S599" s="209"/>
      <c r="T599" s="209"/>
      <c r="U599" s="209"/>
      <c r="V599" s="209"/>
      <c r="W599" s="209"/>
      <c r="X599" s="209"/>
      <c r="Y599" s="209"/>
      <c r="Z599" s="209"/>
    </row>
    <row r="600" ht="12.75" customHeight="1">
      <c r="A600" s="209"/>
      <c r="B600" s="209"/>
      <c r="C600" s="209"/>
      <c r="D600" s="209"/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  <c r="S600" s="209"/>
      <c r="T600" s="209"/>
      <c r="U600" s="209"/>
      <c r="V600" s="209"/>
      <c r="W600" s="209"/>
      <c r="X600" s="209"/>
      <c r="Y600" s="209"/>
      <c r="Z600" s="209"/>
    </row>
    <row r="601" ht="12.75" customHeight="1">
      <c r="A601" s="209"/>
      <c r="B601" s="209"/>
      <c r="C601" s="209"/>
      <c r="D601" s="209"/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  <c r="S601" s="209"/>
      <c r="T601" s="209"/>
      <c r="U601" s="209"/>
      <c r="V601" s="209"/>
      <c r="W601" s="209"/>
      <c r="X601" s="209"/>
      <c r="Y601" s="209"/>
      <c r="Z601" s="209"/>
    </row>
    <row r="602" ht="12.75" customHeight="1">
      <c r="A602" s="209"/>
      <c r="B602" s="209"/>
      <c r="C602" s="209"/>
      <c r="D602" s="209"/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  <c r="S602" s="209"/>
      <c r="T602" s="209"/>
      <c r="U602" s="209"/>
      <c r="V602" s="209"/>
      <c r="W602" s="209"/>
      <c r="X602" s="209"/>
      <c r="Y602" s="209"/>
      <c r="Z602" s="209"/>
    </row>
    <row r="603" ht="12.75" customHeight="1">
      <c r="A603" s="209"/>
      <c r="B603" s="209"/>
      <c r="C603" s="209"/>
      <c r="D603" s="209"/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  <c r="S603" s="209"/>
      <c r="T603" s="209"/>
      <c r="U603" s="209"/>
      <c r="V603" s="209"/>
      <c r="W603" s="209"/>
      <c r="X603" s="209"/>
      <c r="Y603" s="209"/>
      <c r="Z603" s="209"/>
    </row>
    <row r="604" ht="12.75" customHeight="1">
      <c r="A604" s="209"/>
      <c r="B604" s="209"/>
      <c r="C604" s="209"/>
      <c r="D604" s="209"/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  <c r="S604" s="209"/>
      <c r="T604" s="209"/>
      <c r="U604" s="209"/>
      <c r="V604" s="209"/>
      <c r="W604" s="209"/>
      <c r="X604" s="209"/>
      <c r="Y604" s="209"/>
      <c r="Z604" s="209"/>
    </row>
    <row r="605" ht="12.75" customHeight="1">
      <c r="A605" s="209"/>
      <c r="B605" s="209"/>
      <c r="C605" s="209"/>
      <c r="D605" s="209"/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  <c r="S605" s="209"/>
      <c r="T605" s="209"/>
      <c r="U605" s="209"/>
      <c r="V605" s="209"/>
      <c r="W605" s="209"/>
      <c r="X605" s="209"/>
      <c r="Y605" s="209"/>
      <c r="Z605" s="209"/>
    </row>
    <row r="606" ht="12.75" customHeight="1">
      <c r="A606" s="209"/>
      <c r="B606" s="209"/>
      <c r="C606" s="209"/>
      <c r="D606" s="209"/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  <c r="S606" s="209"/>
      <c r="T606" s="209"/>
      <c r="U606" s="209"/>
      <c r="V606" s="209"/>
      <c r="W606" s="209"/>
      <c r="X606" s="209"/>
      <c r="Y606" s="209"/>
      <c r="Z606" s="209"/>
    </row>
    <row r="607" ht="12.75" customHeight="1">
      <c r="A607" s="209"/>
      <c r="B607" s="209"/>
      <c r="C607" s="209"/>
      <c r="D607" s="209"/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  <c r="S607" s="209"/>
      <c r="T607" s="209"/>
      <c r="U607" s="209"/>
      <c r="V607" s="209"/>
      <c r="W607" s="209"/>
      <c r="X607" s="209"/>
      <c r="Y607" s="209"/>
      <c r="Z607" s="209"/>
    </row>
    <row r="608" ht="12.75" customHeight="1">
      <c r="A608" s="209"/>
      <c r="B608" s="209"/>
      <c r="C608" s="209"/>
      <c r="D608" s="209"/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  <c r="S608" s="209"/>
      <c r="T608" s="209"/>
      <c r="U608" s="209"/>
      <c r="V608" s="209"/>
      <c r="W608" s="209"/>
      <c r="X608" s="209"/>
      <c r="Y608" s="209"/>
      <c r="Z608" s="209"/>
    </row>
    <row r="609" ht="12.75" customHeight="1">
      <c r="A609" s="209"/>
      <c r="B609" s="209"/>
      <c r="C609" s="209"/>
      <c r="D609" s="209"/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  <c r="S609" s="209"/>
      <c r="T609" s="209"/>
      <c r="U609" s="209"/>
      <c r="V609" s="209"/>
      <c r="W609" s="209"/>
      <c r="X609" s="209"/>
      <c r="Y609" s="209"/>
      <c r="Z609" s="209"/>
    </row>
    <row r="610" ht="12.75" customHeight="1">
      <c r="A610" s="209"/>
      <c r="B610" s="209"/>
      <c r="C610" s="209"/>
      <c r="D610" s="209"/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  <c r="S610" s="209"/>
      <c r="T610" s="209"/>
      <c r="U610" s="209"/>
      <c r="V610" s="209"/>
      <c r="W610" s="209"/>
      <c r="X610" s="209"/>
      <c r="Y610" s="209"/>
      <c r="Z610" s="209"/>
    </row>
    <row r="611" ht="12.75" customHeight="1">
      <c r="A611" s="209"/>
      <c r="B611" s="209"/>
      <c r="C611" s="209"/>
      <c r="D611" s="209"/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  <c r="S611" s="209"/>
      <c r="T611" s="209"/>
      <c r="U611" s="209"/>
      <c r="V611" s="209"/>
      <c r="W611" s="209"/>
      <c r="X611" s="209"/>
      <c r="Y611" s="209"/>
      <c r="Z611" s="209"/>
    </row>
    <row r="612" ht="12.75" customHeight="1">
      <c r="A612" s="209"/>
      <c r="B612" s="209"/>
      <c r="C612" s="209"/>
      <c r="D612" s="209"/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  <c r="S612" s="209"/>
      <c r="T612" s="209"/>
      <c r="U612" s="209"/>
      <c r="V612" s="209"/>
      <c r="W612" s="209"/>
      <c r="X612" s="209"/>
      <c r="Y612" s="209"/>
      <c r="Z612" s="209"/>
    </row>
    <row r="613" ht="12.75" customHeight="1">
      <c r="A613" s="209"/>
      <c r="B613" s="209"/>
      <c r="C613" s="209"/>
      <c r="D613" s="209"/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  <c r="S613" s="209"/>
      <c r="T613" s="209"/>
      <c r="U613" s="209"/>
      <c r="V613" s="209"/>
      <c r="W613" s="209"/>
      <c r="X613" s="209"/>
      <c r="Y613" s="209"/>
      <c r="Z613" s="209"/>
    </row>
    <row r="614" ht="12.75" customHeight="1">
      <c r="A614" s="209"/>
      <c r="B614" s="209"/>
      <c r="C614" s="209"/>
      <c r="D614" s="209"/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  <c r="S614" s="209"/>
      <c r="T614" s="209"/>
      <c r="U614" s="209"/>
      <c r="V614" s="209"/>
      <c r="W614" s="209"/>
      <c r="X614" s="209"/>
      <c r="Y614" s="209"/>
      <c r="Z614" s="209"/>
    </row>
    <row r="615" ht="12.75" customHeight="1">
      <c r="A615" s="209"/>
      <c r="B615" s="209"/>
      <c r="C615" s="209"/>
      <c r="D615" s="209"/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  <c r="S615" s="209"/>
      <c r="T615" s="209"/>
      <c r="U615" s="209"/>
      <c r="V615" s="209"/>
      <c r="W615" s="209"/>
      <c r="X615" s="209"/>
      <c r="Y615" s="209"/>
      <c r="Z615" s="209"/>
    </row>
    <row r="616" ht="12.75" customHeight="1">
      <c r="A616" s="209"/>
      <c r="B616" s="209"/>
      <c r="C616" s="209"/>
      <c r="D616" s="209"/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  <c r="S616" s="209"/>
      <c r="T616" s="209"/>
      <c r="U616" s="209"/>
      <c r="V616" s="209"/>
      <c r="W616" s="209"/>
      <c r="X616" s="209"/>
      <c r="Y616" s="209"/>
      <c r="Z616" s="209"/>
    </row>
    <row r="617" ht="12.75" customHeight="1">
      <c r="A617" s="209"/>
      <c r="B617" s="209"/>
      <c r="C617" s="209"/>
      <c r="D617" s="209"/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  <c r="S617" s="209"/>
      <c r="T617" s="209"/>
      <c r="U617" s="209"/>
      <c r="V617" s="209"/>
      <c r="W617" s="209"/>
      <c r="X617" s="209"/>
      <c r="Y617" s="209"/>
      <c r="Z617" s="209"/>
    </row>
    <row r="618" ht="12.75" customHeight="1">
      <c r="A618" s="209"/>
      <c r="B618" s="209"/>
      <c r="C618" s="209"/>
      <c r="D618" s="209"/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  <c r="S618" s="209"/>
      <c r="T618" s="209"/>
      <c r="U618" s="209"/>
      <c r="V618" s="209"/>
      <c r="W618" s="209"/>
      <c r="X618" s="209"/>
      <c r="Y618" s="209"/>
      <c r="Z618" s="209"/>
    </row>
    <row r="619" ht="12.75" customHeight="1">
      <c r="A619" s="209"/>
      <c r="B619" s="209"/>
      <c r="C619" s="209"/>
      <c r="D619" s="209"/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  <c r="S619" s="209"/>
      <c r="T619" s="209"/>
      <c r="U619" s="209"/>
      <c r="V619" s="209"/>
      <c r="W619" s="209"/>
      <c r="X619" s="209"/>
      <c r="Y619" s="209"/>
      <c r="Z619" s="209"/>
    </row>
    <row r="620" ht="12.75" customHeight="1">
      <c r="A620" s="209"/>
      <c r="B620" s="209"/>
      <c r="C620" s="209"/>
      <c r="D620" s="209"/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  <c r="S620" s="209"/>
      <c r="T620" s="209"/>
      <c r="U620" s="209"/>
      <c r="V620" s="209"/>
      <c r="W620" s="209"/>
      <c r="X620" s="209"/>
      <c r="Y620" s="209"/>
      <c r="Z620" s="209"/>
    </row>
    <row r="621" ht="12.75" customHeight="1">
      <c r="A621" s="209"/>
      <c r="B621" s="209"/>
      <c r="C621" s="209"/>
      <c r="D621" s="209"/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  <c r="S621" s="209"/>
      <c r="T621" s="209"/>
      <c r="U621" s="209"/>
      <c r="V621" s="209"/>
      <c r="W621" s="209"/>
      <c r="X621" s="209"/>
      <c r="Y621" s="209"/>
      <c r="Z621" s="209"/>
    </row>
    <row r="622" ht="12.75" customHeight="1">
      <c r="A622" s="209"/>
      <c r="B622" s="209"/>
      <c r="C622" s="209"/>
      <c r="D622" s="209"/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  <c r="S622" s="209"/>
      <c r="T622" s="209"/>
      <c r="U622" s="209"/>
      <c r="V622" s="209"/>
      <c r="W622" s="209"/>
      <c r="X622" s="209"/>
      <c r="Y622" s="209"/>
      <c r="Z622" s="209"/>
    </row>
    <row r="623" ht="12.75" customHeight="1">
      <c r="A623" s="209"/>
      <c r="B623" s="209"/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09"/>
      <c r="Z623" s="209"/>
    </row>
    <row r="624" ht="12.75" customHeight="1">
      <c r="A624" s="209"/>
      <c r="B624" s="209"/>
      <c r="C624" s="209"/>
      <c r="D624" s="209"/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  <c r="S624" s="209"/>
      <c r="T624" s="209"/>
      <c r="U624" s="209"/>
      <c r="V624" s="209"/>
      <c r="W624" s="209"/>
      <c r="X624" s="209"/>
      <c r="Y624" s="209"/>
      <c r="Z624" s="209"/>
    </row>
    <row r="625" ht="12.75" customHeight="1">
      <c r="A625" s="209"/>
      <c r="B625" s="209"/>
      <c r="C625" s="209"/>
      <c r="D625" s="209"/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  <c r="S625" s="209"/>
      <c r="T625" s="209"/>
      <c r="U625" s="209"/>
      <c r="V625" s="209"/>
      <c r="W625" s="209"/>
      <c r="X625" s="209"/>
      <c r="Y625" s="209"/>
      <c r="Z625" s="209"/>
    </row>
    <row r="626" ht="12.75" customHeight="1">
      <c r="A626" s="209"/>
      <c r="B626" s="209"/>
      <c r="C626" s="209"/>
      <c r="D626" s="209"/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  <c r="S626" s="209"/>
      <c r="T626" s="209"/>
      <c r="U626" s="209"/>
      <c r="V626" s="209"/>
      <c r="W626" s="209"/>
      <c r="X626" s="209"/>
      <c r="Y626" s="209"/>
      <c r="Z626" s="209"/>
    </row>
    <row r="627" ht="12.75" customHeight="1">
      <c r="A627" s="209"/>
      <c r="B627" s="209"/>
      <c r="C627" s="209"/>
      <c r="D627" s="209"/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  <c r="S627" s="209"/>
      <c r="T627" s="209"/>
      <c r="U627" s="209"/>
      <c r="V627" s="209"/>
      <c r="W627" s="209"/>
      <c r="X627" s="209"/>
      <c r="Y627" s="209"/>
      <c r="Z627" s="209"/>
    </row>
    <row r="628" ht="12.75" customHeight="1">
      <c r="A628" s="209"/>
      <c r="B628" s="209"/>
      <c r="C628" s="209"/>
      <c r="D628" s="209"/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  <c r="S628" s="209"/>
      <c r="T628" s="209"/>
      <c r="U628" s="209"/>
      <c r="V628" s="209"/>
      <c r="W628" s="209"/>
      <c r="X628" s="209"/>
      <c r="Y628" s="209"/>
      <c r="Z628" s="209"/>
    </row>
    <row r="629" ht="12.75" customHeight="1">
      <c r="A629" s="209"/>
      <c r="B629" s="209"/>
      <c r="C629" s="209"/>
      <c r="D629" s="209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  <c r="S629" s="209"/>
      <c r="T629" s="209"/>
      <c r="U629" s="209"/>
      <c r="V629" s="209"/>
      <c r="W629" s="209"/>
      <c r="X629" s="209"/>
      <c r="Y629" s="209"/>
      <c r="Z629" s="209"/>
    </row>
    <row r="630" ht="12.75" customHeight="1">
      <c r="A630" s="209"/>
      <c r="B630" s="209"/>
      <c r="C630" s="209"/>
      <c r="D630" s="209"/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  <c r="S630" s="209"/>
      <c r="T630" s="209"/>
      <c r="U630" s="209"/>
      <c r="V630" s="209"/>
      <c r="W630" s="209"/>
      <c r="X630" s="209"/>
      <c r="Y630" s="209"/>
      <c r="Z630" s="209"/>
    </row>
    <row r="631" ht="12.75" customHeight="1">
      <c r="A631" s="209"/>
      <c r="B631" s="209"/>
      <c r="C631" s="209"/>
      <c r="D631" s="209"/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  <c r="S631" s="209"/>
      <c r="T631" s="209"/>
      <c r="U631" s="209"/>
      <c r="V631" s="209"/>
      <c r="W631" s="209"/>
      <c r="X631" s="209"/>
      <c r="Y631" s="209"/>
      <c r="Z631" s="209"/>
    </row>
    <row r="632" ht="12.75" customHeight="1">
      <c r="A632" s="209"/>
      <c r="B632" s="209"/>
      <c r="C632" s="209"/>
      <c r="D632" s="209"/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  <c r="S632" s="209"/>
      <c r="T632" s="209"/>
      <c r="U632" s="209"/>
      <c r="V632" s="209"/>
      <c r="W632" s="209"/>
      <c r="X632" s="209"/>
      <c r="Y632" s="209"/>
      <c r="Z632" s="209"/>
    </row>
    <row r="633" ht="12.75" customHeight="1">
      <c r="A633" s="209"/>
      <c r="B633" s="209"/>
      <c r="C633" s="209"/>
      <c r="D633" s="209"/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  <c r="S633" s="209"/>
      <c r="T633" s="209"/>
      <c r="U633" s="209"/>
      <c r="V633" s="209"/>
      <c r="W633" s="209"/>
      <c r="X633" s="209"/>
      <c r="Y633" s="209"/>
      <c r="Z633" s="209"/>
    </row>
    <row r="634" ht="12.75" customHeight="1">
      <c r="A634" s="209"/>
      <c r="B634" s="209"/>
      <c r="C634" s="209"/>
      <c r="D634" s="209"/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  <c r="S634" s="209"/>
      <c r="T634" s="209"/>
      <c r="U634" s="209"/>
      <c r="V634" s="209"/>
      <c r="W634" s="209"/>
      <c r="X634" s="209"/>
      <c r="Y634" s="209"/>
      <c r="Z634" s="209"/>
    </row>
    <row r="635" ht="12.75" customHeight="1">
      <c r="A635" s="209"/>
      <c r="B635" s="209"/>
      <c r="C635" s="209"/>
      <c r="D635" s="209"/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  <c r="S635" s="209"/>
      <c r="T635" s="209"/>
      <c r="U635" s="209"/>
      <c r="V635" s="209"/>
      <c r="W635" s="209"/>
      <c r="X635" s="209"/>
      <c r="Y635" s="209"/>
      <c r="Z635" s="209"/>
    </row>
    <row r="636" ht="12.75" customHeight="1">
      <c r="A636" s="209"/>
      <c r="B636" s="209"/>
      <c r="C636" s="209"/>
      <c r="D636" s="209"/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  <c r="S636" s="209"/>
      <c r="T636" s="209"/>
      <c r="U636" s="209"/>
      <c r="V636" s="209"/>
      <c r="W636" s="209"/>
      <c r="X636" s="209"/>
      <c r="Y636" s="209"/>
      <c r="Z636" s="209"/>
    </row>
    <row r="637" ht="12.75" customHeight="1">
      <c r="A637" s="209"/>
      <c r="B637" s="209"/>
      <c r="C637" s="209"/>
      <c r="D637" s="209"/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  <c r="S637" s="209"/>
      <c r="T637" s="209"/>
      <c r="U637" s="209"/>
      <c r="V637" s="209"/>
      <c r="W637" s="209"/>
      <c r="X637" s="209"/>
      <c r="Y637" s="209"/>
      <c r="Z637" s="209"/>
    </row>
    <row r="638" ht="12.75" customHeight="1">
      <c r="A638" s="209"/>
      <c r="B638" s="209"/>
      <c r="C638" s="209"/>
      <c r="D638" s="209"/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  <c r="S638" s="209"/>
      <c r="T638" s="209"/>
      <c r="U638" s="209"/>
      <c r="V638" s="209"/>
      <c r="W638" s="209"/>
      <c r="X638" s="209"/>
      <c r="Y638" s="209"/>
      <c r="Z638" s="209"/>
    </row>
    <row r="639" ht="12.75" customHeight="1">
      <c r="A639" s="209"/>
      <c r="B639" s="209"/>
      <c r="C639" s="209"/>
      <c r="D639" s="209"/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  <c r="S639" s="209"/>
      <c r="T639" s="209"/>
      <c r="U639" s="209"/>
      <c r="V639" s="209"/>
      <c r="W639" s="209"/>
      <c r="X639" s="209"/>
      <c r="Y639" s="209"/>
      <c r="Z639" s="209"/>
    </row>
    <row r="640" ht="12.75" customHeight="1">
      <c r="A640" s="209"/>
      <c r="B640" s="209"/>
      <c r="C640" s="209"/>
      <c r="D640" s="209"/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  <c r="S640" s="209"/>
      <c r="T640" s="209"/>
      <c r="U640" s="209"/>
      <c r="V640" s="209"/>
      <c r="W640" s="209"/>
      <c r="X640" s="209"/>
      <c r="Y640" s="209"/>
      <c r="Z640" s="209"/>
    </row>
    <row r="641" ht="12.75" customHeight="1">
      <c r="A641" s="209"/>
      <c r="B641" s="209"/>
      <c r="C641" s="209"/>
      <c r="D641" s="209"/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  <c r="S641" s="209"/>
      <c r="T641" s="209"/>
      <c r="U641" s="209"/>
      <c r="V641" s="209"/>
      <c r="W641" s="209"/>
      <c r="X641" s="209"/>
      <c r="Y641" s="209"/>
      <c r="Z641" s="209"/>
    </row>
    <row r="642" ht="12.75" customHeight="1">
      <c r="A642" s="209"/>
      <c r="B642" s="209"/>
      <c r="C642" s="209"/>
      <c r="D642" s="209"/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  <c r="S642" s="209"/>
      <c r="T642" s="209"/>
      <c r="U642" s="209"/>
      <c r="V642" s="209"/>
      <c r="W642" s="209"/>
      <c r="X642" s="209"/>
      <c r="Y642" s="209"/>
      <c r="Z642" s="209"/>
    </row>
    <row r="643" ht="12.75" customHeight="1">
      <c r="A643" s="209"/>
      <c r="B643" s="209"/>
      <c r="C643" s="209"/>
      <c r="D643" s="209"/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  <c r="S643" s="209"/>
      <c r="T643" s="209"/>
      <c r="U643" s="209"/>
      <c r="V643" s="209"/>
      <c r="W643" s="209"/>
      <c r="X643" s="209"/>
      <c r="Y643" s="209"/>
      <c r="Z643" s="209"/>
    </row>
    <row r="644" ht="12.75" customHeight="1">
      <c r="A644" s="209"/>
      <c r="B644" s="209"/>
      <c r="C644" s="209"/>
      <c r="D644" s="209"/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  <c r="S644" s="209"/>
      <c r="T644" s="209"/>
      <c r="U644" s="209"/>
      <c r="V644" s="209"/>
      <c r="W644" s="209"/>
      <c r="X644" s="209"/>
      <c r="Y644" s="209"/>
      <c r="Z644" s="209"/>
    </row>
    <row r="645" ht="12.75" customHeight="1">
      <c r="A645" s="209"/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  <c r="V645" s="209"/>
      <c r="W645" s="209"/>
      <c r="X645" s="209"/>
      <c r="Y645" s="209"/>
      <c r="Z645" s="209"/>
    </row>
    <row r="646" ht="12.75" customHeight="1">
      <c r="A646" s="209"/>
      <c r="B646" s="209"/>
      <c r="C646" s="209"/>
      <c r="D646" s="209"/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  <c r="S646" s="209"/>
      <c r="T646" s="209"/>
      <c r="U646" s="209"/>
      <c r="V646" s="209"/>
      <c r="W646" s="209"/>
      <c r="X646" s="209"/>
      <c r="Y646" s="209"/>
      <c r="Z646" s="209"/>
    </row>
    <row r="647" ht="12.75" customHeight="1">
      <c r="A647" s="209"/>
      <c r="B647" s="209"/>
      <c r="C647" s="209"/>
      <c r="D647" s="209"/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  <c r="S647" s="209"/>
      <c r="T647" s="209"/>
      <c r="U647" s="209"/>
      <c r="V647" s="209"/>
      <c r="W647" s="209"/>
      <c r="X647" s="209"/>
      <c r="Y647" s="209"/>
      <c r="Z647" s="209"/>
    </row>
    <row r="648" ht="12.75" customHeight="1">
      <c r="A648" s="209"/>
      <c r="B648" s="209"/>
      <c r="C648" s="209"/>
      <c r="D648" s="209"/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  <c r="S648" s="209"/>
      <c r="T648" s="209"/>
      <c r="U648" s="209"/>
      <c r="V648" s="209"/>
      <c r="W648" s="209"/>
      <c r="X648" s="209"/>
      <c r="Y648" s="209"/>
      <c r="Z648" s="209"/>
    </row>
    <row r="649" ht="12.75" customHeight="1">
      <c r="A649" s="209"/>
      <c r="B649" s="209"/>
      <c r="C649" s="209"/>
      <c r="D649" s="209"/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  <c r="S649" s="209"/>
      <c r="T649" s="209"/>
      <c r="U649" s="209"/>
      <c r="V649" s="209"/>
      <c r="W649" s="209"/>
      <c r="X649" s="209"/>
      <c r="Y649" s="209"/>
      <c r="Z649" s="209"/>
    </row>
    <row r="650" ht="12.75" customHeight="1">
      <c r="A650" s="209"/>
      <c r="B650" s="209"/>
      <c r="C650" s="209"/>
      <c r="D650" s="209"/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  <c r="S650" s="209"/>
      <c r="T650" s="209"/>
      <c r="U650" s="209"/>
      <c r="V650" s="209"/>
      <c r="W650" s="209"/>
      <c r="X650" s="209"/>
      <c r="Y650" s="209"/>
      <c r="Z650" s="209"/>
    </row>
    <row r="651" ht="12.75" customHeight="1">
      <c r="A651" s="209"/>
      <c r="B651" s="209"/>
      <c r="C651" s="209"/>
      <c r="D651" s="209"/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  <c r="S651" s="209"/>
      <c r="T651" s="209"/>
      <c r="U651" s="209"/>
      <c r="V651" s="209"/>
      <c r="W651" s="209"/>
      <c r="X651" s="209"/>
      <c r="Y651" s="209"/>
      <c r="Z651" s="209"/>
    </row>
    <row r="652" ht="12.75" customHeight="1">
      <c r="A652" s="209"/>
      <c r="B652" s="209"/>
      <c r="C652" s="209"/>
      <c r="D652" s="209"/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  <c r="S652" s="209"/>
      <c r="T652" s="209"/>
      <c r="U652" s="209"/>
      <c r="V652" s="209"/>
      <c r="W652" s="209"/>
      <c r="X652" s="209"/>
      <c r="Y652" s="209"/>
      <c r="Z652" s="209"/>
    </row>
    <row r="653" ht="12.75" customHeight="1">
      <c r="A653" s="209"/>
      <c r="B653" s="209"/>
      <c r="C653" s="209"/>
      <c r="D653" s="209"/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  <c r="S653" s="209"/>
      <c r="T653" s="209"/>
      <c r="U653" s="209"/>
      <c r="V653" s="209"/>
      <c r="W653" s="209"/>
      <c r="X653" s="209"/>
      <c r="Y653" s="209"/>
      <c r="Z653" s="209"/>
    </row>
    <row r="654" ht="12.75" customHeight="1">
      <c r="A654" s="209"/>
      <c r="B654" s="209"/>
      <c r="C654" s="209"/>
      <c r="D654" s="209"/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  <c r="S654" s="209"/>
      <c r="T654" s="209"/>
      <c r="U654" s="209"/>
      <c r="V654" s="209"/>
      <c r="W654" s="209"/>
      <c r="X654" s="209"/>
      <c r="Y654" s="209"/>
      <c r="Z654" s="209"/>
    </row>
    <row r="655" ht="12.75" customHeight="1">
      <c r="A655" s="209"/>
      <c r="B655" s="209"/>
      <c r="C655" s="209"/>
      <c r="D655" s="209"/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  <c r="S655" s="209"/>
      <c r="T655" s="209"/>
      <c r="U655" s="209"/>
      <c r="V655" s="209"/>
      <c r="W655" s="209"/>
      <c r="X655" s="209"/>
      <c r="Y655" s="209"/>
      <c r="Z655" s="209"/>
    </row>
    <row r="656" ht="12.75" customHeight="1">
      <c r="A656" s="209"/>
      <c r="B656" s="209"/>
      <c r="C656" s="209"/>
      <c r="D656" s="209"/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  <c r="S656" s="209"/>
      <c r="T656" s="209"/>
      <c r="U656" s="209"/>
      <c r="V656" s="209"/>
      <c r="W656" s="209"/>
      <c r="X656" s="209"/>
      <c r="Y656" s="209"/>
      <c r="Z656" s="209"/>
    </row>
    <row r="657" ht="12.75" customHeight="1">
      <c r="A657" s="209"/>
      <c r="B657" s="209"/>
      <c r="C657" s="209"/>
      <c r="D657" s="209"/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  <c r="S657" s="209"/>
      <c r="T657" s="209"/>
      <c r="U657" s="209"/>
      <c r="V657" s="209"/>
      <c r="W657" s="209"/>
      <c r="X657" s="209"/>
      <c r="Y657" s="209"/>
      <c r="Z657" s="209"/>
    </row>
    <row r="658" ht="12.75" customHeight="1">
      <c r="A658" s="209"/>
      <c r="B658" s="209"/>
      <c r="C658" s="209"/>
      <c r="D658" s="209"/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  <c r="S658" s="209"/>
      <c r="T658" s="209"/>
      <c r="U658" s="209"/>
      <c r="V658" s="209"/>
      <c r="W658" s="209"/>
      <c r="X658" s="209"/>
      <c r="Y658" s="209"/>
      <c r="Z658" s="209"/>
    </row>
    <row r="659" ht="12.75" customHeight="1">
      <c r="A659" s="209"/>
      <c r="B659" s="209"/>
      <c r="C659" s="209"/>
      <c r="D659" s="209"/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  <c r="S659" s="209"/>
      <c r="T659" s="209"/>
      <c r="U659" s="209"/>
      <c r="V659" s="209"/>
      <c r="W659" s="209"/>
      <c r="X659" s="209"/>
      <c r="Y659" s="209"/>
      <c r="Z659" s="209"/>
    </row>
    <row r="660" ht="12.75" customHeight="1">
      <c r="A660" s="209"/>
      <c r="B660" s="209"/>
      <c r="C660" s="209"/>
      <c r="D660" s="209"/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  <c r="S660" s="209"/>
      <c r="T660" s="209"/>
      <c r="U660" s="209"/>
      <c r="V660" s="209"/>
      <c r="W660" s="209"/>
      <c r="X660" s="209"/>
      <c r="Y660" s="209"/>
      <c r="Z660" s="209"/>
    </row>
    <row r="661" ht="12.75" customHeight="1">
      <c r="A661" s="209"/>
      <c r="B661" s="209"/>
      <c r="C661" s="209"/>
      <c r="D661" s="209"/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  <c r="S661" s="209"/>
      <c r="T661" s="209"/>
      <c r="U661" s="209"/>
      <c r="V661" s="209"/>
      <c r="W661" s="209"/>
      <c r="X661" s="209"/>
      <c r="Y661" s="209"/>
      <c r="Z661" s="209"/>
    </row>
    <row r="662" ht="12.75" customHeight="1">
      <c r="A662" s="209"/>
      <c r="B662" s="209"/>
      <c r="C662" s="209"/>
      <c r="D662" s="209"/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  <c r="S662" s="209"/>
      <c r="T662" s="209"/>
      <c r="U662" s="209"/>
      <c r="V662" s="209"/>
      <c r="W662" s="209"/>
      <c r="X662" s="209"/>
      <c r="Y662" s="209"/>
      <c r="Z662" s="209"/>
    </row>
    <row r="663" ht="12.75" customHeight="1">
      <c r="A663" s="209"/>
      <c r="B663" s="209"/>
      <c r="C663" s="209"/>
      <c r="D663" s="209"/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  <c r="S663" s="209"/>
      <c r="T663" s="209"/>
      <c r="U663" s="209"/>
      <c r="V663" s="209"/>
      <c r="W663" s="209"/>
      <c r="X663" s="209"/>
      <c r="Y663" s="209"/>
      <c r="Z663" s="209"/>
    </row>
    <row r="664" ht="12.75" customHeight="1">
      <c r="A664" s="209"/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  <c r="W664" s="209"/>
      <c r="X664" s="209"/>
      <c r="Y664" s="209"/>
      <c r="Z664" s="209"/>
    </row>
    <row r="665" ht="12.75" customHeight="1">
      <c r="A665" s="209"/>
      <c r="B665" s="209"/>
      <c r="C665" s="209"/>
      <c r="D665" s="209"/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  <c r="S665" s="209"/>
      <c r="T665" s="209"/>
      <c r="U665" s="209"/>
      <c r="V665" s="209"/>
      <c r="W665" s="209"/>
      <c r="X665" s="209"/>
      <c r="Y665" s="209"/>
      <c r="Z665" s="209"/>
    </row>
    <row r="666" ht="12.75" customHeight="1">
      <c r="A666" s="209"/>
      <c r="B666" s="209"/>
      <c r="C666" s="209"/>
      <c r="D666" s="209"/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  <c r="S666" s="209"/>
      <c r="T666" s="209"/>
      <c r="U666" s="209"/>
      <c r="V666" s="209"/>
      <c r="W666" s="209"/>
      <c r="X666" s="209"/>
      <c r="Y666" s="209"/>
      <c r="Z666" s="209"/>
    </row>
    <row r="667" ht="12.75" customHeight="1">
      <c r="A667" s="209"/>
      <c r="B667" s="209"/>
      <c r="C667" s="209"/>
      <c r="D667" s="209"/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  <c r="S667" s="209"/>
      <c r="T667" s="209"/>
      <c r="U667" s="209"/>
      <c r="V667" s="209"/>
      <c r="W667" s="209"/>
      <c r="X667" s="209"/>
      <c r="Y667" s="209"/>
      <c r="Z667" s="209"/>
    </row>
    <row r="668" ht="12.75" customHeight="1">
      <c r="A668" s="209"/>
      <c r="B668" s="209"/>
      <c r="C668" s="209"/>
      <c r="D668" s="209"/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  <c r="S668" s="209"/>
      <c r="T668" s="209"/>
      <c r="U668" s="209"/>
      <c r="V668" s="209"/>
      <c r="W668" s="209"/>
      <c r="X668" s="209"/>
      <c r="Y668" s="209"/>
      <c r="Z668" s="209"/>
    </row>
    <row r="669" ht="12.75" customHeight="1">
      <c r="A669" s="209"/>
      <c r="B669" s="209"/>
      <c r="C669" s="209"/>
      <c r="D669" s="209"/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  <c r="S669" s="209"/>
      <c r="T669" s="209"/>
      <c r="U669" s="209"/>
      <c r="V669" s="209"/>
      <c r="W669" s="209"/>
      <c r="X669" s="209"/>
      <c r="Y669" s="209"/>
      <c r="Z669" s="209"/>
    </row>
    <row r="670" ht="12.75" customHeight="1">
      <c r="A670" s="209"/>
      <c r="B670" s="209"/>
      <c r="C670" s="209"/>
      <c r="D670" s="209"/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  <c r="S670" s="209"/>
      <c r="T670" s="209"/>
      <c r="U670" s="209"/>
      <c r="V670" s="209"/>
      <c r="W670" s="209"/>
      <c r="X670" s="209"/>
      <c r="Y670" s="209"/>
      <c r="Z670" s="209"/>
    </row>
    <row r="671" ht="12.75" customHeight="1">
      <c r="A671" s="209"/>
      <c r="B671" s="209"/>
      <c r="C671" s="209"/>
      <c r="D671" s="209"/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  <c r="S671" s="209"/>
      <c r="T671" s="209"/>
      <c r="U671" s="209"/>
      <c r="V671" s="209"/>
      <c r="W671" s="209"/>
      <c r="X671" s="209"/>
      <c r="Y671" s="209"/>
      <c r="Z671" s="209"/>
    </row>
    <row r="672" ht="12.75" customHeight="1">
      <c r="A672" s="209"/>
      <c r="B672" s="209"/>
      <c r="C672" s="209"/>
      <c r="D672" s="209"/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  <c r="S672" s="209"/>
      <c r="T672" s="209"/>
      <c r="U672" s="209"/>
      <c r="V672" s="209"/>
      <c r="W672" s="209"/>
      <c r="X672" s="209"/>
      <c r="Y672" s="209"/>
      <c r="Z672" s="209"/>
    </row>
    <row r="673" ht="12.75" customHeight="1">
      <c r="A673" s="209"/>
      <c r="B673" s="209"/>
      <c r="C673" s="209"/>
      <c r="D673" s="209"/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  <c r="S673" s="209"/>
      <c r="T673" s="209"/>
      <c r="U673" s="209"/>
      <c r="V673" s="209"/>
      <c r="W673" s="209"/>
      <c r="X673" s="209"/>
      <c r="Y673" s="209"/>
      <c r="Z673" s="209"/>
    </row>
    <row r="674" ht="12.75" customHeight="1">
      <c r="A674" s="209"/>
      <c r="B674" s="209"/>
      <c r="C674" s="209"/>
      <c r="D674" s="209"/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  <c r="S674" s="209"/>
      <c r="T674" s="209"/>
      <c r="U674" s="209"/>
      <c r="V674" s="209"/>
      <c r="W674" s="209"/>
      <c r="X674" s="209"/>
      <c r="Y674" s="209"/>
      <c r="Z674" s="209"/>
    </row>
    <row r="675" ht="12.75" customHeight="1">
      <c r="A675" s="209"/>
      <c r="B675" s="209"/>
      <c r="C675" s="209"/>
      <c r="D675" s="209"/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  <c r="S675" s="209"/>
      <c r="T675" s="209"/>
      <c r="U675" s="209"/>
      <c r="V675" s="209"/>
      <c r="W675" s="209"/>
      <c r="X675" s="209"/>
      <c r="Y675" s="209"/>
      <c r="Z675" s="209"/>
    </row>
    <row r="676" ht="12.75" customHeight="1">
      <c r="A676" s="209"/>
      <c r="B676" s="209"/>
      <c r="C676" s="209"/>
      <c r="D676" s="209"/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  <c r="S676" s="209"/>
      <c r="T676" s="209"/>
      <c r="U676" s="209"/>
      <c r="V676" s="209"/>
      <c r="W676" s="209"/>
      <c r="X676" s="209"/>
      <c r="Y676" s="209"/>
      <c r="Z676" s="209"/>
    </row>
    <row r="677" ht="12.75" customHeight="1">
      <c r="A677" s="209"/>
      <c r="B677" s="209"/>
      <c r="C677" s="209"/>
      <c r="D677" s="209"/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  <c r="S677" s="209"/>
      <c r="T677" s="209"/>
      <c r="U677" s="209"/>
      <c r="V677" s="209"/>
      <c r="W677" s="209"/>
      <c r="X677" s="209"/>
      <c r="Y677" s="209"/>
      <c r="Z677" s="209"/>
    </row>
    <row r="678" ht="12.75" customHeight="1">
      <c r="A678" s="209"/>
      <c r="B678" s="209"/>
      <c r="C678" s="209"/>
      <c r="D678" s="209"/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  <c r="S678" s="209"/>
      <c r="T678" s="209"/>
      <c r="U678" s="209"/>
      <c r="V678" s="209"/>
      <c r="W678" s="209"/>
      <c r="X678" s="209"/>
      <c r="Y678" s="209"/>
      <c r="Z678" s="209"/>
    </row>
    <row r="679" ht="12.75" customHeight="1">
      <c r="A679" s="209"/>
      <c r="B679" s="209"/>
      <c r="C679" s="209"/>
      <c r="D679" s="209"/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  <c r="S679" s="209"/>
      <c r="T679" s="209"/>
      <c r="U679" s="209"/>
      <c r="V679" s="209"/>
      <c r="W679" s="209"/>
      <c r="X679" s="209"/>
      <c r="Y679" s="209"/>
      <c r="Z679" s="209"/>
    </row>
    <row r="680" ht="12.75" customHeight="1">
      <c r="A680" s="209"/>
      <c r="B680" s="209"/>
      <c r="C680" s="209"/>
      <c r="D680" s="209"/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  <c r="S680" s="209"/>
      <c r="T680" s="209"/>
      <c r="U680" s="209"/>
      <c r="V680" s="209"/>
      <c r="W680" s="209"/>
      <c r="X680" s="209"/>
      <c r="Y680" s="209"/>
      <c r="Z680" s="209"/>
    </row>
    <row r="681" ht="12.75" customHeight="1">
      <c r="A681" s="209"/>
      <c r="B681" s="209"/>
      <c r="C681" s="209"/>
      <c r="D681" s="209"/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  <c r="S681" s="209"/>
      <c r="T681" s="209"/>
      <c r="U681" s="209"/>
      <c r="V681" s="209"/>
      <c r="W681" s="209"/>
      <c r="X681" s="209"/>
      <c r="Y681" s="209"/>
      <c r="Z681" s="209"/>
    </row>
    <row r="682" ht="12.75" customHeight="1">
      <c r="A682" s="209"/>
      <c r="B682" s="209"/>
      <c r="C682" s="209"/>
      <c r="D682" s="209"/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  <c r="S682" s="209"/>
      <c r="T682" s="209"/>
      <c r="U682" s="209"/>
      <c r="V682" s="209"/>
      <c r="W682" s="209"/>
      <c r="X682" s="209"/>
      <c r="Y682" s="209"/>
      <c r="Z682" s="209"/>
    </row>
    <row r="683" ht="12.75" customHeight="1">
      <c r="A683" s="209"/>
      <c r="B683" s="209"/>
      <c r="C683" s="209"/>
      <c r="D683" s="209"/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  <c r="S683" s="209"/>
      <c r="T683" s="209"/>
      <c r="U683" s="209"/>
      <c r="V683" s="209"/>
      <c r="W683" s="209"/>
      <c r="X683" s="209"/>
      <c r="Y683" s="209"/>
      <c r="Z683" s="209"/>
    </row>
    <row r="684" ht="12.75" customHeight="1">
      <c r="A684" s="209"/>
      <c r="B684" s="209"/>
      <c r="C684" s="209"/>
      <c r="D684" s="209"/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  <c r="S684" s="209"/>
      <c r="T684" s="209"/>
      <c r="U684" s="209"/>
      <c r="V684" s="209"/>
      <c r="W684" s="209"/>
      <c r="X684" s="209"/>
      <c r="Y684" s="209"/>
      <c r="Z684" s="209"/>
    </row>
    <row r="685" ht="12.75" customHeight="1">
      <c r="A685" s="209"/>
      <c r="B685" s="209"/>
      <c r="C685" s="209"/>
      <c r="D685" s="209"/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  <c r="S685" s="209"/>
      <c r="T685" s="209"/>
      <c r="U685" s="209"/>
      <c r="V685" s="209"/>
      <c r="W685" s="209"/>
      <c r="X685" s="209"/>
      <c r="Y685" s="209"/>
      <c r="Z685" s="209"/>
    </row>
    <row r="686" ht="12.75" customHeight="1">
      <c r="A686" s="209"/>
      <c r="B686" s="209"/>
      <c r="C686" s="209"/>
      <c r="D686" s="209"/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  <c r="S686" s="209"/>
      <c r="T686" s="209"/>
      <c r="U686" s="209"/>
      <c r="V686" s="209"/>
      <c r="W686" s="209"/>
      <c r="X686" s="209"/>
      <c r="Y686" s="209"/>
      <c r="Z686" s="209"/>
    </row>
    <row r="687" ht="12.75" customHeight="1">
      <c r="A687" s="209"/>
      <c r="B687" s="209"/>
      <c r="C687" s="209"/>
      <c r="D687" s="209"/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  <c r="S687" s="209"/>
      <c r="T687" s="209"/>
      <c r="U687" s="209"/>
      <c r="V687" s="209"/>
      <c r="W687" s="209"/>
      <c r="X687" s="209"/>
      <c r="Y687" s="209"/>
      <c r="Z687" s="209"/>
    </row>
    <row r="688" ht="12.75" customHeight="1">
      <c r="A688" s="209"/>
      <c r="B688" s="209"/>
      <c r="C688" s="209"/>
      <c r="D688" s="209"/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  <c r="S688" s="209"/>
      <c r="T688" s="209"/>
      <c r="U688" s="209"/>
      <c r="V688" s="209"/>
      <c r="W688" s="209"/>
      <c r="X688" s="209"/>
      <c r="Y688" s="209"/>
      <c r="Z688" s="209"/>
    </row>
    <row r="689" ht="12.75" customHeight="1">
      <c r="A689" s="209"/>
      <c r="B689" s="209"/>
      <c r="C689" s="209"/>
      <c r="D689" s="209"/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  <c r="S689" s="209"/>
      <c r="T689" s="209"/>
      <c r="U689" s="209"/>
      <c r="V689" s="209"/>
      <c r="W689" s="209"/>
      <c r="X689" s="209"/>
      <c r="Y689" s="209"/>
      <c r="Z689" s="209"/>
    </row>
    <row r="690" ht="12.75" customHeight="1">
      <c r="A690" s="209"/>
      <c r="B690" s="209"/>
      <c r="C690" s="209"/>
      <c r="D690" s="209"/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  <c r="S690" s="209"/>
      <c r="T690" s="209"/>
      <c r="U690" s="209"/>
      <c r="V690" s="209"/>
      <c r="W690" s="209"/>
      <c r="X690" s="209"/>
      <c r="Y690" s="209"/>
      <c r="Z690" s="209"/>
    </row>
    <row r="691" ht="12.75" customHeight="1">
      <c r="A691" s="209"/>
      <c r="B691" s="209"/>
      <c r="C691" s="209"/>
      <c r="D691" s="209"/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  <c r="S691" s="209"/>
      <c r="T691" s="209"/>
      <c r="U691" s="209"/>
      <c r="V691" s="209"/>
      <c r="W691" s="209"/>
      <c r="X691" s="209"/>
      <c r="Y691" s="209"/>
      <c r="Z691" s="209"/>
    </row>
    <row r="692" ht="12.75" customHeight="1">
      <c r="A692" s="209"/>
      <c r="B692" s="209"/>
      <c r="C692" s="209"/>
      <c r="D692" s="209"/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  <c r="S692" s="209"/>
      <c r="T692" s="209"/>
      <c r="U692" s="209"/>
      <c r="V692" s="209"/>
      <c r="W692" s="209"/>
      <c r="X692" s="209"/>
      <c r="Y692" s="209"/>
      <c r="Z692" s="209"/>
    </row>
    <row r="693" ht="12.75" customHeight="1">
      <c r="A693" s="209"/>
      <c r="B693" s="209"/>
      <c r="C693" s="209"/>
      <c r="D693" s="209"/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  <c r="S693" s="209"/>
      <c r="T693" s="209"/>
      <c r="U693" s="209"/>
      <c r="V693" s="209"/>
      <c r="W693" s="209"/>
      <c r="X693" s="209"/>
      <c r="Y693" s="209"/>
      <c r="Z693" s="209"/>
    </row>
    <row r="694" ht="12.75" customHeight="1">
      <c r="A694" s="209"/>
      <c r="B694" s="209"/>
      <c r="C694" s="209"/>
      <c r="D694" s="209"/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  <c r="S694" s="209"/>
      <c r="T694" s="209"/>
      <c r="U694" s="209"/>
      <c r="V694" s="209"/>
      <c r="W694" s="209"/>
      <c r="X694" s="209"/>
      <c r="Y694" s="209"/>
      <c r="Z694" s="209"/>
    </row>
    <row r="695" ht="12.75" customHeight="1">
      <c r="A695" s="209"/>
      <c r="B695" s="209"/>
      <c r="C695" s="209"/>
      <c r="D695" s="209"/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  <c r="S695" s="209"/>
      <c r="T695" s="209"/>
      <c r="U695" s="209"/>
      <c r="V695" s="209"/>
      <c r="W695" s="209"/>
      <c r="X695" s="209"/>
      <c r="Y695" s="209"/>
      <c r="Z695" s="209"/>
    </row>
    <row r="696" ht="12.75" customHeight="1">
      <c r="A696" s="209"/>
      <c r="B696" s="209"/>
      <c r="C696" s="209"/>
      <c r="D696" s="209"/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  <c r="S696" s="209"/>
      <c r="T696" s="209"/>
      <c r="U696" s="209"/>
      <c r="V696" s="209"/>
      <c r="W696" s="209"/>
      <c r="X696" s="209"/>
      <c r="Y696" s="209"/>
      <c r="Z696" s="209"/>
    </row>
    <row r="697" ht="12.75" customHeight="1">
      <c r="A697" s="209"/>
      <c r="B697" s="209"/>
      <c r="C697" s="209"/>
      <c r="D697" s="209"/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  <c r="S697" s="209"/>
      <c r="T697" s="209"/>
      <c r="U697" s="209"/>
      <c r="V697" s="209"/>
      <c r="W697" s="209"/>
      <c r="X697" s="209"/>
      <c r="Y697" s="209"/>
      <c r="Z697" s="209"/>
    </row>
    <row r="698" ht="12.75" customHeight="1">
      <c r="A698" s="209"/>
      <c r="B698" s="209"/>
      <c r="C698" s="209"/>
      <c r="D698" s="209"/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  <c r="S698" s="209"/>
      <c r="T698" s="209"/>
      <c r="U698" s="209"/>
      <c r="V698" s="209"/>
      <c r="W698" s="209"/>
      <c r="X698" s="209"/>
      <c r="Y698" s="209"/>
      <c r="Z698" s="209"/>
    </row>
    <row r="699" ht="12.75" customHeight="1">
      <c r="A699" s="209"/>
      <c r="B699" s="209"/>
      <c r="C699" s="209"/>
      <c r="D699" s="209"/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  <c r="S699" s="209"/>
      <c r="T699" s="209"/>
      <c r="U699" s="209"/>
      <c r="V699" s="209"/>
      <c r="W699" s="209"/>
      <c r="X699" s="209"/>
      <c r="Y699" s="209"/>
      <c r="Z699" s="209"/>
    </row>
    <row r="700" ht="12.75" customHeight="1">
      <c r="A700" s="209"/>
      <c r="B700" s="209"/>
      <c r="C700" s="209"/>
      <c r="D700" s="209"/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  <c r="S700" s="209"/>
      <c r="T700" s="209"/>
      <c r="U700" s="209"/>
      <c r="V700" s="209"/>
      <c r="W700" s="209"/>
      <c r="X700" s="209"/>
      <c r="Y700" s="209"/>
      <c r="Z700" s="209"/>
    </row>
    <row r="701" ht="12.75" customHeight="1">
      <c r="A701" s="209"/>
      <c r="B701" s="209"/>
      <c r="C701" s="209"/>
      <c r="D701" s="209"/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  <c r="S701" s="209"/>
      <c r="T701" s="209"/>
      <c r="U701" s="209"/>
      <c r="V701" s="209"/>
      <c r="W701" s="209"/>
      <c r="X701" s="209"/>
      <c r="Y701" s="209"/>
      <c r="Z701" s="209"/>
    </row>
    <row r="702" ht="12.75" customHeight="1">
      <c r="A702" s="209"/>
      <c r="B702" s="209"/>
      <c r="C702" s="209"/>
      <c r="D702" s="209"/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  <c r="S702" s="209"/>
      <c r="T702" s="209"/>
      <c r="U702" s="209"/>
      <c r="V702" s="209"/>
      <c r="W702" s="209"/>
      <c r="X702" s="209"/>
      <c r="Y702" s="209"/>
      <c r="Z702" s="209"/>
    </row>
    <row r="703" ht="12.75" customHeight="1">
      <c r="A703" s="209"/>
      <c r="B703" s="209"/>
      <c r="C703" s="209"/>
      <c r="D703" s="209"/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  <c r="S703" s="209"/>
      <c r="T703" s="209"/>
      <c r="U703" s="209"/>
      <c r="V703" s="209"/>
      <c r="W703" s="209"/>
      <c r="X703" s="209"/>
      <c r="Y703" s="209"/>
      <c r="Z703" s="209"/>
    </row>
    <row r="704" ht="12.75" customHeight="1">
      <c r="A704" s="209"/>
      <c r="B704" s="209"/>
      <c r="C704" s="209"/>
      <c r="D704" s="209"/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  <c r="S704" s="209"/>
      <c r="T704" s="209"/>
      <c r="U704" s="209"/>
      <c r="V704" s="209"/>
      <c r="W704" s="209"/>
      <c r="X704" s="209"/>
      <c r="Y704" s="209"/>
      <c r="Z704" s="209"/>
    </row>
    <row r="705" ht="12.75" customHeight="1">
      <c r="A705" s="209"/>
      <c r="B705" s="209"/>
      <c r="C705" s="209"/>
      <c r="D705" s="209"/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  <c r="S705" s="209"/>
      <c r="T705" s="209"/>
      <c r="U705" s="209"/>
      <c r="V705" s="209"/>
      <c r="W705" s="209"/>
      <c r="X705" s="209"/>
      <c r="Y705" s="209"/>
      <c r="Z705" s="209"/>
    </row>
    <row r="706" ht="12.75" customHeight="1">
      <c r="A706" s="209"/>
      <c r="B706" s="209"/>
      <c r="C706" s="209"/>
      <c r="D706" s="209"/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  <c r="S706" s="209"/>
      <c r="T706" s="209"/>
      <c r="U706" s="209"/>
      <c r="V706" s="209"/>
      <c r="W706" s="209"/>
      <c r="X706" s="209"/>
      <c r="Y706" s="209"/>
      <c r="Z706" s="209"/>
    </row>
    <row r="707" ht="12.75" customHeight="1">
      <c r="A707" s="209"/>
      <c r="B707" s="209"/>
      <c r="C707" s="209"/>
      <c r="D707" s="209"/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  <c r="S707" s="209"/>
      <c r="T707" s="209"/>
      <c r="U707" s="209"/>
      <c r="V707" s="209"/>
      <c r="W707" s="209"/>
      <c r="X707" s="209"/>
      <c r="Y707" s="209"/>
      <c r="Z707" s="209"/>
    </row>
    <row r="708" ht="12.75" customHeight="1">
      <c r="A708" s="209"/>
      <c r="B708" s="209"/>
      <c r="C708" s="209"/>
      <c r="D708" s="209"/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  <c r="S708" s="209"/>
      <c r="T708" s="209"/>
      <c r="U708" s="209"/>
      <c r="V708" s="209"/>
      <c r="W708" s="209"/>
      <c r="X708" s="209"/>
      <c r="Y708" s="209"/>
      <c r="Z708" s="209"/>
    </row>
    <row r="709" ht="12.75" customHeight="1">
      <c r="A709" s="209"/>
      <c r="B709" s="209"/>
      <c r="C709" s="209"/>
      <c r="D709" s="209"/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  <c r="S709" s="209"/>
      <c r="T709" s="209"/>
      <c r="U709" s="209"/>
      <c r="V709" s="209"/>
      <c r="W709" s="209"/>
      <c r="X709" s="209"/>
      <c r="Y709" s="209"/>
      <c r="Z709" s="209"/>
    </row>
    <row r="710" ht="12.75" customHeight="1">
      <c r="A710" s="209"/>
      <c r="B710" s="209"/>
      <c r="C710" s="209"/>
      <c r="D710" s="209"/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  <c r="S710" s="209"/>
      <c r="T710" s="209"/>
      <c r="U710" s="209"/>
      <c r="V710" s="209"/>
      <c r="W710" s="209"/>
      <c r="X710" s="209"/>
      <c r="Y710" s="209"/>
      <c r="Z710" s="209"/>
    </row>
    <row r="711" ht="12.75" customHeight="1">
      <c r="A711" s="209"/>
      <c r="B711" s="209"/>
      <c r="C711" s="209"/>
      <c r="D711" s="209"/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  <c r="S711" s="209"/>
      <c r="T711" s="209"/>
      <c r="U711" s="209"/>
      <c r="V711" s="209"/>
      <c r="W711" s="209"/>
      <c r="X711" s="209"/>
      <c r="Y711" s="209"/>
      <c r="Z711" s="209"/>
    </row>
    <row r="712" ht="12.75" customHeight="1">
      <c r="A712" s="209"/>
      <c r="B712" s="209"/>
      <c r="C712" s="209"/>
      <c r="D712" s="209"/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  <c r="S712" s="209"/>
      <c r="T712" s="209"/>
      <c r="U712" s="209"/>
      <c r="V712" s="209"/>
      <c r="W712" s="209"/>
      <c r="X712" s="209"/>
      <c r="Y712" s="209"/>
      <c r="Z712" s="209"/>
    </row>
    <row r="713" ht="12.75" customHeight="1">
      <c r="A713" s="209"/>
      <c r="B713" s="209"/>
      <c r="C713" s="209"/>
      <c r="D713" s="209"/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  <c r="S713" s="209"/>
      <c r="T713" s="209"/>
      <c r="U713" s="209"/>
      <c r="V713" s="209"/>
      <c r="W713" s="209"/>
      <c r="X713" s="209"/>
      <c r="Y713" s="209"/>
      <c r="Z713" s="209"/>
    </row>
    <row r="714" ht="12.75" customHeight="1">
      <c r="A714" s="209"/>
      <c r="B714" s="209"/>
      <c r="C714" s="209"/>
      <c r="D714" s="209"/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  <c r="S714" s="209"/>
      <c r="T714" s="209"/>
      <c r="U714" s="209"/>
      <c r="V714" s="209"/>
      <c r="W714" s="209"/>
      <c r="X714" s="209"/>
      <c r="Y714" s="209"/>
      <c r="Z714" s="209"/>
    </row>
    <row r="715" ht="12.75" customHeight="1">
      <c r="A715" s="209"/>
      <c r="B715" s="209"/>
      <c r="C715" s="209"/>
      <c r="D715" s="209"/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  <c r="S715" s="209"/>
      <c r="T715" s="209"/>
      <c r="U715" s="209"/>
      <c r="V715" s="209"/>
      <c r="W715" s="209"/>
      <c r="X715" s="209"/>
      <c r="Y715" s="209"/>
      <c r="Z715" s="209"/>
    </row>
    <row r="716" ht="12.75" customHeight="1">
      <c r="A716" s="209"/>
      <c r="B716" s="209"/>
      <c r="C716" s="209"/>
      <c r="D716" s="209"/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  <c r="S716" s="209"/>
      <c r="T716" s="209"/>
      <c r="U716" s="209"/>
      <c r="V716" s="209"/>
      <c r="W716" s="209"/>
      <c r="X716" s="209"/>
      <c r="Y716" s="209"/>
      <c r="Z716" s="209"/>
    </row>
    <row r="717" ht="12.75" customHeight="1">
      <c r="A717" s="209"/>
      <c r="B717" s="209"/>
      <c r="C717" s="209"/>
      <c r="D717" s="209"/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  <c r="S717" s="209"/>
      <c r="T717" s="209"/>
      <c r="U717" s="209"/>
      <c r="V717" s="209"/>
      <c r="W717" s="209"/>
      <c r="X717" s="209"/>
      <c r="Y717" s="209"/>
      <c r="Z717" s="209"/>
    </row>
    <row r="718" ht="12.75" customHeight="1">
      <c r="A718" s="209"/>
      <c r="B718" s="209"/>
      <c r="C718" s="209"/>
      <c r="D718" s="209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  <c r="S718" s="209"/>
      <c r="T718" s="209"/>
      <c r="U718" s="209"/>
      <c r="V718" s="209"/>
      <c r="W718" s="209"/>
      <c r="X718" s="209"/>
      <c r="Y718" s="209"/>
      <c r="Z718" s="209"/>
    </row>
    <row r="719" ht="12.75" customHeight="1">
      <c r="A719" s="209"/>
      <c r="B719" s="209"/>
      <c r="C719" s="209"/>
      <c r="D719" s="209"/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  <c r="S719" s="209"/>
      <c r="T719" s="209"/>
      <c r="U719" s="209"/>
      <c r="V719" s="209"/>
      <c r="W719" s="209"/>
      <c r="X719" s="209"/>
      <c r="Y719" s="209"/>
      <c r="Z719" s="209"/>
    </row>
    <row r="720" ht="12.75" customHeight="1">
      <c r="A720" s="209"/>
      <c r="B720" s="209"/>
      <c r="C720" s="209"/>
      <c r="D720" s="209"/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  <c r="S720" s="209"/>
      <c r="T720" s="209"/>
      <c r="U720" s="209"/>
      <c r="V720" s="209"/>
      <c r="W720" s="209"/>
      <c r="X720" s="209"/>
      <c r="Y720" s="209"/>
      <c r="Z720" s="209"/>
    </row>
    <row r="721" ht="12.75" customHeight="1">
      <c r="A721" s="209"/>
      <c r="B721" s="209"/>
      <c r="C721" s="209"/>
      <c r="D721" s="209"/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  <c r="S721" s="209"/>
      <c r="T721" s="209"/>
      <c r="U721" s="209"/>
      <c r="V721" s="209"/>
      <c r="W721" s="209"/>
      <c r="X721" s="209"/>
      <c r="Y721" s="209"/>
      <c r="Z721" s="209"/>
    </row>
    <row r="722" ht="12.75" customHeight="1">
      <c r="A722" s="209"/>
      <c r="B722" s="209"/>
      <c r="C722" s="209"/>
      <c r="D722" s="209"/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  <c r="S722" s="209"/>
      <c r="T722" s="209"/>
      <c r="U722" s="209"/>
      <c r="V722" s="209"/>
      <c r="W722" s="209"/>
      <c r="X722" s="209"/>
      <c r="Y722" s="209"/>
      <c r="Z722" s="209"/>
    </row>
    <row r="723" ht="12.75" customHeight="1">
      <c r="A723" s="209"/>
      <c r="B723" s="209"/>
      <c r="C723" s="209"/>
      <c r="D723" s="209"/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  <c r="S723" s="209"/>
      <c r="T723" s="209"/>
      <c r="U723" s="209"/>
      <c r="V723" s="209"/>
      <c r="W723" s="209"/>
      <c r="X723" s="209"/>
      <c r="Y723" s="209"/>
      <c r="Z723" s="209"/>
    </row>
    <row r="724" ht="12.75" customHeight="1">
      <c r="A724" s="209"/>
      <c r="B724" s="209"/>
      <c r="C724" s="209"/>
      <c r="D724" s="209"/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  <c r="S724" s="209"/>
      <c r="T724" s="209"/>
      <c r="U724" s="209"/>
      <c r="V724" s="209"/>
      <c r="W724" s="209"/>
      <c r="X724" s="209"/>
      <c r="Y724" s="209"/>
      <c r="Z724" s="209"/>
    </row>
    <row r="725" ht="12.75" customHeight="1">
      <c r="A725" s="209"/>
      <c r="B725" s="209"/>
      <c r="C725" s="209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  <c r="X725" s="209"/>
      <c r="Y725" s="209"/>
      <c r="Z725" s="209"/>
    </row>
    <row r="726" ht="12.75" customHeight="1">
      <c r="A726" s="209"/>
      <c r="B726" s="209"/>
      <c r="C726" s="209"/>
      <c r="D726" s="209"/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  <c r="S726" s="209"/>
      <c r="T726" s="209"/>
      <c r="U726" s="209"/>
      <c r="V726" s="209"/>
      <c r="W726" s="209"/>
      <c r="X726" s="209"/>
      <c r="Y726" s="209"/>
      <c r="Z726" s="209"/>
    </row>
    <row r="727" ht="12.75" customHeight="1">
      <c r="A727" s="209"/>
      <c r="B727" s="209"/>
      <c r="C727" s="209"/>
      <c r="D727" s="209"/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  <c r="S727" s="209"/>
      <c r="T727" s="209"/>
      <c r="U727" s="209"/>
      <c r="V727" s="209"/>
      <c r="W727" s="209"/>
      <c r="X727" s="209"/>
      <c r="Y727" s="209"/>
      <c r="Z727" s="209"/>
    </row>
    <row r="728" ht="12.75" customHeight="1">
      <c r="A728" s="209"/>
      <c r="B728" s="209"/>
      <c r="C728" s="209"/>
      <c r="D728" s="209"/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  <c r="S728" s="209"/>
      <c r="T728" s="209"/>
      <c r="U728" s="209"/>
      <c r="V728" s="209"/>
      <c r="W728" s="209"/>
      <c r="X728" s="209"/>
      <c r="Y728" s="209"/>
      <c r="Z728" s="209"/>
    </row>
    <row r="729" ht="12.75" customHeight="1">
      <c r="A729" s="209"/>
      <c r="B729" s="209"/>
      <c r="C729" s="209"/>
      <c r="D729" s="209"/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  <c r="S729" s="209"/>
      <c r="T729" s="209"/>
      <c r="U729" s="209"/>
      <c r="V729" s="209"/>
      <c r="W729" s="209"/>
      <c r="X729" s="209"/>
      <c r="Y729" s="209"/>
      <c r="Z729" s="209"/>
    </row>
    <row r="730" ht="12.75" customHeight="1">
      <c r="A730" s="209"/>
      <c r="B730" s="209"/>
      <c r="C730" s="209"/>
      <c r="D730" s="209"/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  <c r="S730" s="209"/>
      <c r="T730" s="209"/>
      <c r="U730" s="209"/>
      <c r="V730" s="209"/>
      <c r="W730" s="209"/>
      <c r="X730" s="209"/>
      <c r="Y730" s="209"/>
      <c r="Z730" s="209"/>
    </row>
    <row r="731" ht="12.75" customHeight="1">
      <c r="A731" s="209"/>
      <c r="B731" s="209"/>
      <c r="C731" s="209"/>
      <c r="D731" s="209"/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  <c r="S731" s="209"/>
      <c r="T731" s="209"/>
      <c r="U731" s="209"/>
      <c r="V731" s="209"/>
      <c r="W731" s="209"/>
      <c r="X731" s="209"/>
      <c r="Y731" s="209"/>
      <c r="Z731" s="209"/>
    </row>
    <row r="732" ht="12.75" customHeight="1">
      <c r="A732" s="209"/>
      <c r="B732" s="209"/>
      <c r="C732" s="209"/>
      <c r="D732" s="209"/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  <c r="S732" s="209"/>
      <c r="T732" s="209"/>
      <c r="U732" s="209"/>
      <c r="V732" s="209"/>
      <c r="W732" s="209"/>
      <c r="X732" s="209"/>
      <c r="Y732" s="209"/>
      <c r="Z732" s="209"/>
    </row>
    <row r="733" ht="12.75" customHeight="1">
      <c r="A733" s="209"/>
      <c r="B733" s="209"/>
      <c r="C733" s="209"/>
      <c r="D733" s="209"/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  <c r="S733" s="209"/>
      <c r="T733" s="209"/>
      <c r="U733" s="209"/>
      <c r="V733" s="209"/>
      <c r="W733" s="209"/>
      <c r="X733" s="209"/>
      <c r="Y733" s="209"/>
      <c r="Z733" s="209"/>
    </row>
    <row r="734" ht="12.75" customHeight="1">
      <c r="A734" s="209"/>
      <c r="B734" s="209"/>
      <c r="C734" s="209"/>
      <c r="D734" s="209"/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  <c r="S734" s="209"/>
      <c r="T734" s="209"/>
      <c r="U734" s="209"/>
      <c r="V734" s="209"/>
      <c r="W734" s="209"/>
      <c r="X734" s="209"/>
      <c r="Y734" s="209"/>
      <c r="Z734" s="209"/>
    </row>
    <row r="735" ht="12.75" customHeight="1">
      <c r="A735" s="209"/>
      <c r="B735" s="209"/>
      <c r="C735" s="209"/>
      <c r="D735" s="209"/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  <c r="S735" s="209"/>
      <c r="T735" s="209"/>
      <c r="U735" s="209"/>
      <c r="V735" s="209"/>
      <c r="W735" s="209"/>
      <c r="X735" s="209"/>
      <c r="Y735" s="209"/>
      <c r="Z735" s="209"/>
    </row>
    <row r="736" ht="12.75" customHeight="1">
      <c r="A736" s="209"/>
      <c r="B736" s="209"/>
      <c r="C736" s="209"/>
      <c r="D736" s="209"/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  <c r="S736" s="209"/>
      <c r="T736" s="209"/>
      <c r="U736" s="209"/>
      <c r="V736" s="209"/>
      <c r="W736" s="209"/>
      <c r="X736" s="209"/>
      <c r="Y736" s="209"/>
      <c r="Z736" s="209"/>
    </row>
    <row r="737" ht="12.75" customHeight="1">
      <c r="A737" s="209"/>
      <c r="B737" s="209"/>
      <c r="C737" s="209"/>
      <c r="D737" s="209"/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  <c r="S737" s="209"/>
      <c r="T737" s="209"/>
      <c r="U737" s="209"/>
      <c r="V737" s="209"/>
      <c r="W737" s="209"/>
      <c r="X737" s="209"/>
      <c r="Y737" s="209"/>
      <c r="Z737" s="209"/>
    </row>
    <row r="738" ht="12.75" customHeight="1">
      <c r="A738" s="209"/>
      <c r="B738" s="209"/>
      <c r="C738" s="209"/>
      <c r="D738" s="209"/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  <c r="S738" s="209"/>
      <c r="T738" s="209"/>
      <c r="U738" s="209"/>
      <c r="V738" s="209"/>
      <c r="W738" s="209"/>
      <c r="X738" s="209"/>
      <c r="Y738" s="209"/>
      <c r="Z738" s="209"/>
    </row>
    <row r="739" ht="12.75" customHeight="1">
      <c r="A739" s="209"/>
      <c r="B739" s="209"/>
      <c r="C739" s="209"/>
      <c r="D739" s="209"/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  <c r="S739" s="209"/>
      <c r="T739" s="209"/>
      <c r="U739" s="209"/>
      <c r="V739" s="209"/>
      <c r="W739" s="209"/>
      <c r="X739" s="209"/>
      <c r="Y739" s="209"/>
      <c r="Z739" s="209"/>
    </row>
    <row r="740" ht="12.75" customHeight="1">
      <c r="A740" s="209"/>
      <c r="B740" s="209"/>
      <c r="C740" s="209"/>
      <c r="D740" s="209"/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  <c r="S740" s="209"/>
      <c r="T740" s="209"/>
      <c r="U740" s="209"/>
      <c r="V740" s="209"/>
      <c r="W740" s="209"/>
      <c r="X740" s="209"/>
      <c r="Y740" s="209"/>
      <c r="Z740" s="209"/>
    </row>
    <row r="741" ht="12.75" customHeight="1">
      <c r="A741" s="209"/>
      <c r="B741" s="209"/>
      <c r="C741" s="209"/>
      <c r="D741" s="209"/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  <c r="S741" s="209"/>
      <c r="T741" s="209"/>
      <c r="U741" s="209"/>
      <c r="V741" s="209"/>
      <c r="W741" s="209"/>
      <c r="X741" s="209"/>
      <c r="Y741" s="209"/>
      <c r="Z741" s="209"/>
    </row>
    <row r="742" ht="12.75" customHeight="1">
      <c r="A742" s="209"/>
      <c r="B742" s="209"/>
      <c r="C742" s="209"/>
      <c r="D742" s="209"/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  <c r="S742" s="209"/>
      <c r="T742" s="209"/>
      <c r="U742" s="209"/>
      <c r="V742" s="209"/>
      <c r="W742" s="209"/>
      <c r="X742" s="209"/>
      <c r="Y742" s="209"/>
      <c r="Z742" s="209"/>
    </row>
    <row r="743" ht="12.75" customHeight="1">
      <c r="A743" s="209"/>
      <c r="B743" s="209"/>
      <c r="C743" s="209"/>
      <c r="D743" s="209"/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  <c r="S743" s="209"/>
      <c r="T743" s="209"/>
      <c r="U743" s="209"/>
      <c r="V743" s="209"/>
      <c r="W743" s="209"/>
      <c r="X743" s="209"/>
      <c r="Y743" s="209"/>
      <c r="Z743" s="209"/>
    </row>
    <row r="744" ht="12.75" customHeight="1">
      <c r="A744" s="209"/>
      <c r="B744" s="209"/>
      <c r="C744" s="209"/>
      <c r="D744" s="209"/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  <c r="S744" s="209"/>
      <c r="T744" s="209"/>
      <c r="U744" s="209"/>
      <c r="V744" s="209"/>
      <c r="W744" s="209"/>
      <c r="X744" s="209"/>
      <c r="Y744" s="209"/>
      <c r="Z744" s="209"/>
    </row>
    <row r="745" ht="12.75" customHeight="1">
      <c r="A745" s="209"/>
      <c r="B745" s="209"/>
      <c r="C745" s="209"/>
      <c r="D745" s="209"/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  <c r="S745" s="209"/>
      <c r="T745" s="209"/>
      <c r="U745" s="209"/>
      <c r="V745" s="209"/>
      <c r="W745" s="209"/>
      <c r="X745" s="209"/>
      <c r="Y745" s="209"/>
      <c r="Z745" s="209"/>
    </row>
    <row r="746" ht="12.75" customHeight="1">
      <c r="A746" s="209"/>
      <c r="B746" s="209"/>
      <c r="C746" s="209"/>
      <c r="D746" s="209"/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  <c r="S746" s="209"/>
      <c r="T746" s="209"/>
      <c r="U746" s="209"/>
      <c r="V746" s="209"/>
      <c r="W746" s="209"/>
      <c r="X746" s="209"/>
      <c r="Y746" s="209"/>
      <c r="Z746" s="209"/>
    </row>
    <row r="747" ht="12.75" customHeight="1">
      <c r="A747" s="209"/>
      <c r="B747" s="209"/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09"/>
      <c r="Z747" s="209"/>
    </row>
    <row r="748" ht="12.75" customHeight="1">
      <c r="A748" s="209"/>
      <c r="B748" s="209"/>
      <c r="C748" s="209"/>
      <c r="D748" s="209"/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  <c r="S748" s="209"/>
      <c r="T748" s="209"/>
      <c r="U748" s="209"/>
      <c r="V748" s="209"/>
      <c r="W748" s="209"/>
      <c r="X748" s="209"/>
      <c r="Y748" s="209"/>
      <c r="Z748" s="209"/>
    </row>
    <row r="749" ht="12.75" customHeight="1">
      <c r="A749" s="209"/>
      <c r="B749" s="209"/>
      <c r="C749" s="209"/>
      <c r="D749" s="209"/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  <c r="S749" s="209"/>
      <c r="T749" s="209"/>
      <c r="U749" s="209"/>
      <c r="V749" s="209"/>
      <c r="W749" s="209"/>
      <c r="X749" s="209"/>
      <c r="Y749" s="209"/>
      <c r="Z749" s="209"/>
    </row>
    <row r="750" ht="12.75" customHeight="1">
      <c r="A750" s="209"/>
      <c r="B750" s="209"/>
      <c r="C750" s="209"/>
      <c r="D750" s="209"/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  <c r="S750" s="209"/>
      <c r="T750" s="209"/>
      <c r="U750" s="209"/>
      <c r="V750" s="209"/>
      <c r="W750" s="209"/>
      <c r="X750" s="209"/>
      <c r="Y750" s="209"/>
      <c r="Z750" s="209"/>
    </row>
    <row r="751" ht="12.75" customHeight="1">
      <c r="A751" s="209"/>
      <c r="B751" s="209"/>
      <c r="C751" s="209"/>
      <c r="D751" s="209"/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  <c r="S751" s="209"/>
      <c r="T751" s="209"/>
      <c r="U751" s="209"/>
      <c r="V751" s="209"/>
      <c r="W751" s="209"/>
      <c r="X751" s="209"/>
      <c r="Y751" s="209"/>
      <c r="Z751" s="209"/>
    </row>
    <row r="752" ht="12.75" customHeight="1">
      <c r="A752" s="209"/>
      <c r="B752" s="209"/>
      <c r="C752" s="209"/>
      <c r="D752" s="209"/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  <c r="S752" s="209"/>
      <c r="T752" s="209"/>
      <c r="U752" s="209"/>
      <c r="V752" s="209"/>
      <c r="W752" s="209"/>
      <c r="X752" s="209"/>
      <c r="Y752" s="209"/>
      <c r="Z752" s="209"/>
    </row>
    <row r="753" ht="12.75" customHeight="1">
      <c r="A753" s="209"/>
      <c r="B753" s="209"/>
      <c r="C753" s="209"/>
      <c r="D753" s="209"/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  <c r="S753" s="209"/>
      <c r="T753" s="209"/>
      <c r="U753" s="209"/>
      <c r="V753" s="209"/>
      <c r="W753" s="209"/>
      <c r="X753" s="209"/>
      <c r="Y753" s="209"/>
      <c r="Z753" s="209"/>
    </row>
    <row r="754" ht="12.75" customHeight="1">
      <c r="A754" s="209"/>
      <c r="B754" s="209"/>
      <c r="C754" s="209"/>
      <c r="D754" s="209"/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  <c r="S754" s="209"/>
      <c r="T754" s="209"/>
      <c r="U754" s="209"/>
      <c r="V754" s="209"/>
      <c r="W754" s="209"/>
      <c r="X754" s="209"/>
      <c r="Y754" s="209"/>
      <c r="Z754" s="209"/>
    </row>
    <row r="755" ht="12.75" customHeight="1">
      <c r="A755" s="209"/>
      <c r="B755" s="209"/>
      <c r="C755" s="209"/>
      <c r="D755" s="209"/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  <c r="S755" s="209"/>
      <c r="T755" s="209"/>
      <c r="U755" s="209"/>
      <c r="V755" s="209"/>
      <c r="W755" s="209"/>
      <c r="X755" s="209"/>
      <c r="Y755" s="209"/>
      <c r="Z755" s="209"/>
    </row>
    <row r="756" ht="12.75" customHeight="1">
      <c r="A756" s="209"/>
      <c r="B756" s="209"/>
      <c r="C756" s="209"/>
      <c r="D756" s="209"/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  <c r="S756" s="209"/>
      <c r="T756" s="209"/>
      <c r="U756" s="209"/>
      <c r="V756" s="209"/>
      <c r="W756" s="209"/>
      <c r="X756" s="209"/>
      <c r="Y756" s="209"/>
      <c r="Z756" s="209"/>
    </row>
    <row r="757" ht="12.75" customHeight="1">
      <c r="A757" s="209"/>
      <c r="B757" s="209"/>
      <c r="C757" s="209"/>
      <c r="D757" s="209"/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  <c r="S757" s="209"/>
      <c r="T757" s="209"/>
      <c r="U757" s="209"/>
      <c r="V757" s="209"/>
      <c r="W757" s="209"/>
      <c r="X757" s="209"/>
      <c r="Y757" s="209"/>
      <c r="Z757" s="209"/>
    </row>
    <row r="758" ht="12.75" customHeight="1">
      <c r="A758" s="209"/>
      <c r="B758" s="209"/>
      <c r="C758" s="209"/>
      <c r="D758" s="209"/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  <c r="S758" s="209"/>
      <c r="T758" s="209"/>
      <c r="U758" s="209"/>
      <c r="V758" s="209"/>
      <c r="W758" s="209"/>
      <c r="X758" s="209"/>
      <c r="Y758" s="209"/>
      <c r="Z758" s="209"/>
    </row>
    <row r="759" ht="12.75" customHeight="1">
      <c r="A759" s="209"/>
      <c r="B759" s="209"/>
      <c r="C759" s="209"/>
      <c r="D759" s="209"/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  <c r="S759" s="209"/>
      <c r="T759" s="209"/>
      <c r="U759" s="209"/>
      <c r="V759" s="209"/>
      <c r="W759" s="209"/>
      <c r="X759" s="209"/>
      <c r="Y759" s="209"/>
      <c r="Z759" s="209"/>
    </row>
    <row r="760" ht="12.75" customHeight="1">
      <c r="A760" s="209"/>
      <c r="B760" s="209"/>
      <c r="C760" s="209"/>
      <c r="D760" s="209"/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  <c r="S760" s="209"/>
      <c r="T760" s="209"/>
      <c r="U760" s="209"/>
      <c r="V760" s="209"/>
      <c r="W760" s="209"/>
      <c r="X760" s="209"/>
      <c r="Y760" s="209"/>
      <c r="Z760" s="209"/>
    </row>
    <row r="761" ht="12.75" customHeight="1">
      <c r="A761" s="209"/>
      <c r="B761" s="209"/>
      <c r="C761" s="209"/>
      <c r="D761" s="209"/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  <c r="S761" s="209"/>
      <c r="T761" s="209"/>
      <c r="U761" s="209"/>
      <c r="V761" s="209"/>
      <c r="W761" s="209"/>
      <c r="X761" s="209"/>
      <c r="Y761" s="209"/>
      <c r="Z761" s="209"/>
    </row>
    <row r="762" ht="12.75" customHeight="1">
      <c r="A762" s="209"/>
      <c r="B762" s="209"/>
      <c r="C762" s="209"/>
      <c r="D762" s="209"/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  <c r="S762" s="209"/>
      <c r="T762" s="209"/>
      <c r="U762" s="209"/>
      <c r="V762" s="209"/>
      <c r="W762" s="209"/>
      <c r="X762" s="209"/>
      <c r="Y762" s="209"/>
      <c r="Z762" s="209"/>
    </row>
    <row r="763" ht="12.75" customHeight="1">
      <c r="A763" s="209"/>
      <c r="B763" s="209"/>
      <c r="C763" s="209"/>
      <c r="D763" s="209"/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  <c r="S763" s="209"/>
      <c r="T763" s="209"/>
      <c r="U763" s="209"/>
      <c r="V763" s="209"/>
      <c r="W763" s="209"/>
      <c r="X763" s="209"/>
      <c r="Y763" s="209"/>
      <c r="Z763" s="209"/>
    </row>
    <row r="764" ht="12.75" customHeight="1">
      <c r="A764" s="209"/>
      <c r="B764" s="209"/>
      <c r="C764" s="209"/>
      <c r="D764" s="209"/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  <c r="S764" s="209"/>
      <c r="T764" s="209"/>
      <c r="U764" s="209"/>
      <c r="V764" s="209"/>
      <c r="W764" s="209"/>
      <c r="X764" s="209"/>
      <c r="Y764" s="209"/>
      <c r="Z764" s="209"/>
    </row>
    <row r="765" ht="12.75" customHeight="1">
      <c r="A765" s="209"/>
      <c r="B765" s="209"/>
      <c r="C765" s="209"/>
      <c r="D765" s="209"/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  <c r="S765" s="209"/>
      <c r="T765" s="209"/>
      <c r="U765" s="209"/>
      <c r="V765" s="209"/>
      <c r="W765" s="209"/>
      <c r="X765" s="209"/>
      <c r="Y765" s="209"/>
      <c r="Z765" s="209"/>
    </row>
    <row r="766" ht="12.75" customHeight="1">
      <c r="A766" s="209"/>
      <c r="B766" s="209"/>
      <c r="C766" s="209"/>
      <c r="D766" s="209"/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  <c r="S766" s="209"/>
      <c r="T766" s="209"/>
      <c r="U766" s="209"/>
      <c r="V766" s="209"/>
      <c r="W766" s="209"/>
      <c r="X766" s="209"/>
      <c r="Y766" s="209"/>
      <c r="Z766" s="209"/>
    </row>
    <row r="767" ht="12.75" customHeight="1">
      <c r="A767" s="209"/>
      <c r="B767" s="209"/>
      <c r="C767" s="209"/>
      <c r="D767" s="209"/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  <c r="S767" s="209"/>
      <c r="T767" s="209"/>
      <c r="U767" s="209"/>
      <c r="V767" s="209"/>
      <c r="W767" s="209"/>
      <c r="X767" s="209"/>
      <c r="Y767" s="209"/>
      <c r="Z767" s="209"/>
    </row>
    <row r="768" ht="12.75" customHeight="1">
      <c r="A768" s="209"/>
      <c r="B768" s="209"/>
      <c r="C768" s="209"/>
      <c r="D768" s="209"/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  <c r="S768" s="209"/>
      <c r="T768" s="209"/>
      <c r="U768" s="209"/>
      <c r="V768" s="209"/>
      <c r="W768" s="209"/>
      <c r="X768" s="209"/>
      <c r="Y768" s="209"/>
      <c r="Z768" s="209"/>
    </row>
    <row r="769" ht="12.75" customHeight="1">
      <c r="A769" s="209"/>
      <c r="B769" s="209"/>
      <c r="C769" s="209"/>
      <c r="D769" s="209"/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  <c r="S769" s="209"/>
      <c r="T769" s="209"/>
      <c r="U769" s="209"/>
      <c r="V769" s="209"/>
      <c r="W769" s="209"/>
      <c r="X769" s="209"/>
      <c r="Y769" s="209"/>
      <c r="Z769" s="209"/>
    </row>
    <row r="770" ht="12.75" customHeight="1">
      <c r="A770" s="209"/>
      <c r="B770" s="209"/>
      <c r="C770" s="209"/>
      <c r="D770" s="209"/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  <c r="S770" s="209"/>
      <c r="T770" s="209"/>
      <c r="U770" s="209"/>
      <c r="V770" s="209"/>
      <c r="W770" s="209"/>
      <c r="X770" s="209"/>
      <c r="Y770" s="209"/>
      <c r="Z770" s="209"/>
    </row>
    <row r="771" ht="12.75" customHeight="1">
      <c r="A771" s="209"/>
      <c r="B771" s="209"/>
      <c r="C771" s="209"/>
      <c r="D771" s="209"/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  <c r="S771" s="209"/>
      <c r="T771" s="209"/>
      <c r="U771" s="209"/>
      <c r="V771" s="209"/>
      <c r="W771" s="209"/>
      <c r="X771" s="209"/>
      <c r="Y771" s="209"/>
      <c r="Z771" s="209"/>
    </row>
    <row r="772" ht="12.75" customHeight="1">
      <c r="A772" s="209"/>
      <c r="B772" s="209"/>
      <c r="C772" s="209"/>
      <c r="D772" s="209"/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  <c r="S772" s="209"/>
      <c r="T772" s="209"/>
      <c r="U772" s="209"/>
      <c r="V772" s="209"/>
      <c r="W772" s="209"/>
      <c r="X772" s="209"/>
      <c r="Y772" s="209"/>
      <c r="Z772" s="209"/>
    </row>
    <row r="773" ht="12.75" customHeight="1">
      <c r="A773" s="209"/>
      <c r="B773" s="209"/>
      <c r="C773" s="209"/>
      <c r="D773" s="209"/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  <c r="S773" s="209"/>
      <c r="T773" s="209"/>
      <c r="U773" s="209"/>
      <c r="V773" s="209"/>
      <c r="W773" s="209"/>
      <c r="X773" s="209"/>
      <c r="Y773" s="209"/>
      <c r="Z773" s="209"/>
    </row>
    <row r="774" ht="12.75" customHeight="1">
      <c r="A774" s="209"/>
      <c r="B774" s="209"/>
      <c r="C774" s="209"/>
      <c r="D774" s="209"/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  <c r="S774" s="209"/>
      <c r="T774" s="209"/>
      <c r="U774" s="209"/>
      <c r="V774" s="209"/>
      <c r="W774" s="209"/>
      <c r="X774" s="209"/>
      <c r="Y774" s="209"/>
      <c r="Z774" s="209"/>
    </row>
    <row r="775" ht="12.75" customHeight="1">
      <c r="A775" s="209"/>
      <c r="B775" s="209"/>
      <c r="C775" s="209"/>
      <c r="D775" s="209"/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  <c r="S775" s="209"/>
      <c r="T775" s="209"/>
      <c r="U775" s="209"/>
      <c r="V775" s="209"/>
      <c r="W775" s="209"/>
      <c r="X775" s="209"/>
      <c r="Y775" s="209"/>
      <c r="Z775" s="209"/>
    </row>
    <row r="776" ht="12.75" customHeight="1">
      <c r="A776" s="209"/>
      <c r="B776" s="209"/>
      <c r="C776" s="209"/>
      <c r="D776" s="209"/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  <c r="S776" s="209"/>
      <c r="T776" s="209"/>
      <c r="U776" s="209"/>
      <c r="V776" s="209"/>
      <c r="W776" s="209"/>
      <c r="X776" s="209"/>
      <c r="Y776" s="209"/>
      <c r="Z776" s="209"/>
    </row>
    <row r="777" ht="12.75" customHeight="1">
      <c r="A777" s="209"/>
      <c r="B777" s="209"/>
      <c r="C777" s="209"/>
      <c r="D777" s="209"/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  <c r="S777" s="209"/>
      <c r="T777" s="209"/>
      <c r="U777" s="209"/>
      <c r="V777" s="209"/>
      <c r="W777" s="209"/>
      <c r="X777" s="209"/>
      <c r="Y777" s="209"/>
      <c r="Z777" s="209"/>
    </row>
    <row r="778" ht="12.75" customHeight="1">
      <c r="A778" s="209"/>
      <c r="B778" s="209"/>
      <c r="C778" s="209"/>
      <c r="D778" s="209"/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  <c r="S778" s="209"/>
      <c r="T778" s="209"/>
      <c r="U778" s="209"/>
      <c r="V778" s="209"/>
      <c r="W778" s="209"/>
      <c r="X778" s="209"/>
      <c r="Y778" s="209"/>
      <c r="Z778" s="209"/>
    </row>
    <row r="779" ht="12.75" customHeight="1">
      <c r="A779" s="209"/>
      <c r="B779" s="209"/>
      <c r="C779" s="209"/>
      <c r="D779" s="209"/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  <c r="S779" s="209"/>
      <c r="T779" s="209"/>
      <c r="U779" s="209"/>
      <c r="V779" s="209"/>
      <c r="W779" s="209"/>
      <c r="X779" s="209"/>
      <c r="Y779" s="209"/>
      <c r="Z779" s="209"/>
    </row>
    <row r="780" ht="12.75" customHeight="1">
      <c r="A780" s="209"/>
      <c r="B780" s="209"/>
      <c r="C780" s="209"/>
      <c r="D780" s="209"/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  <c r="S780" s="209"/>
      <c r="T780" s="209"/>
      <c r="U780" s="209"/>
      <c r="V780" s="209"/>
      <c r="W780" s="209"/>
      <c r="X780" s="209"/>
      <c r="Y780" s="209"/>
      <c r="Z780" s="209"/>
    </row>
    <row r="781" ht="12.75" customHeight="1">
      <c r="A781" s="209"/>
      <c r="B781" s="209"/>
      <c r="C781" s="209"/>
      <c r="D781" s="209"/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  <c r="S781" s="209"/>
      <c r="T781" s="209"/>
      <c r="U781" s="209"/>
      <c r="V781" s="209"/>
      <c r="W781" s="209"/>
      <c r="X781" s="209"/>
      <c r="Y781" s="209"/>
      <c r="Z781" s="209"/>
    </row>
    <row r="782" ht="12.75" customHeight="1">
      <c r="A782" s="209"/>
      <c r="B782" s="209"/>
      <c r="C782" s="209"/>
      <c r="D782" s="209"/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  <c r="S782" s="209"/>
      <c r="T782" s="209"/>
      <c r="U782" s="209"/>
      <c r="V782" s="209"/>
      <c r="W782" s="209"/>
      <c r="X782" s="209"/>
      <c r="Y782" s="209"/>
      <c r="Z782" s="209"/>
    </row>
    <row r="783" ht="12.75" customHeight="1">
      <c r="A783" s="209"/>
      <c r="B783" s="209"/>
      <c r="C783" s="209"/>
      <c r="D783" s="209"/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  <c r="S783" s="209"/>
      <c r="T783" s="209"/>
      <c r="U783" s="209"/>
      <c r="V783" s="209"/>
      <c r="W783" s="209"/>
      <c r="X783" s="209"/>
      <c r="Y783" s="209"/>
      <c r="Z783" s="209"/>
    </row>
    <row r="784" ht="12.75" customHeight="1">
      <c r="A784" s="209"/>
      <c r="B784" s="209"/>
      <c r="C784" s="209"/>
      <c r="D784" s="209"/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  <c r="S784" s="209"/>
      <c r="T784" s="209"/>
      <c r="U784" s="209"/>
      <c r="V784" s="209"/>
      <c r="W784" s="209"/>
      <c r="X784" s="209"/>
      <c r="Y784" s="209"/>
      <c r="Z784" s="209"/>
    </row>
    <row r="785" ht="12.75" customHeight="1">
      <c r="A785" s="209"/>
      <c r="B785" s="209"/>
      <c r="C785" s="209"/>
      <c r="D785" s="209"/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  <c r="S785" s="209"/>
      <c r="T785" s="209"/>
      <c r="U785" s="209"/>
      <c r="V785" s="209"/>
      <c r="W785" s="209"/>
      <c r="X785" s="209"/>
      <c r="Y785" s="209"/>
      <c r="Z785" s="209"/>
    </row>
    <row r="786" ht="12.75" customHeight="1">
      <c r="A786" s="209"/>
      <c r="B786" s="209"/>
      <c r="C786" s="209"/>
      <c r="D786" s="209"/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  <c r="S786" s="209"/>
      <c r="T786" s="209"/>
      <c r="U786" s="209"/>
      <c r="V786" s="209"/>
      <c r="W786" s="209"/>
      <c r="X786" s="209"/>
      <c r="Y786" s="209"/>
      <c r="Z786" s="209"/>
    </row>
    <row r="787" ht="12.75" customHeight="1">
      <c r="A787" s="209"/>
      <c r="B787" s="209"/>
      <c r="C787" s="209"/>
      <c r="D787" s="209"/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</row>
    <row r="788" ht="12.75" customHeight="1">
      <c r="A788" s="209"/>
      <c r="B788" s="209"/>
      <c r="C788" s="209"/>
      <c r="D788" s="209"/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</row>
    <row r="789" ht="12.75" customHeight="1">
      <c r="A789" s="209"/>
      <c r="B789" s="209"/>
      <c r="C789" s="209"/>
      <c r="D789" s="209"/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  <c r="S789" s="209"/>
      <c r="T789" s="209"/>
      <c r="U789" s="209"/>
      <c r="V789" s="209"/>
      <c r="W789" s="209"/>
      <c r="X789" s="209"/>
      <c r="Y789" s="209"/>
      <c r="Z789" s="209"/>
    </row>
    <row r="790" ht="12.75" customHeight="1">
      <c r="A790" s="209"/>
      <c r="B790" s="209"/>
      <c r="C790" s="209"/>
      <c r="D790" s="209"/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  <c r="S790" s="209"/>
      <c r="T790" s="209"/>
      <c r="U790" s="209"/>
      <c r="V790" s="209"/>
      <c r="W790" s="209"/>
      <c r="X790" s="209"/>
      <c r="Y790" s="209"/>
      <c r="Z790" s="209"/>
    </row>
    <row r="791" ht="12.75" customHeight="1">
      <c r="A791" s="209"/>
      <c r="B791" s="209"/>
      <c r="C791" s="209"/>
      <c r="D791" s="209"/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</row>
    <row r="792" ht="12.75" customHeight="1">
      <c r="A792" s="209"/>
      <c r="B792" s="209"/>
      <c r="C792" s="209"/>
      <c r="D792" s="209"/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  <c r="S792" s="209"/>
      <c r="T792" s="209"/>
      <c r="U792" s="209"/>
      <c r="V792" s="209"/>
      <c r="W792" s="209"/>
      <c r="X792" s="209"/>
      <c r="Y792" s="209"/>
      <c r="Z792" s="209"/>
    </row>
    <row r="793" ht="12.75" customHeight="1">
      <c r="A793" s="209"/>
      <c r="B793" s="209"/>
      <c r="C793" s="209"/>
      <c r="D793" s="209"/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  <c r="S793" s="209"/>
      <c r="T793" s="209"/>
      <c r="U793" s="209"/>
      <c r="V793" s="209"/>
      <c r="W793" s="209"/>
      <c r="X793" s="209"/>
      <c r="Y793" s="209"/>
      <c r="Z793" s="209"/>
    </row>
    <row r="794" ht="12.75" customHeight="1">
      <c r="A794" s="209"/>
      <c r="B794" s="209"/>
      <c r="C794" s="209"/>
      <c r="D794" s="209"/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  <c r="S794" s="209"/>
      <c r="T794" s="209"/>
      <c r="U794" s="209"/>
      <c r="V794" s="209"/>
      <c r="W794" s="209"/>
      <c r="X794" s="209"/>
      <c r="Y794" s="209"/>
      <c r="Z794" s="209"/>
    </row>
    <row r="795" ht="12.75" customHeight="1">
      <c r="A795" s="209"/>
      <c r="B795" s="209"/>
      <c r="C795" s="209"/>
      <c r="D795" s="209"/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  <c r="S795" s="209"/>
      <c r="T795" s="209"/>
      <c r="U795" s="209"/>
      <c r="V795" s="209"/>
      <c r="W795" s="209"/>
      <c r="X795" s="209"/>
      <c r="Y795" s="209"/>
      <c r="Z795" s="209"/>
    </row>
    <row r="796" ht="12.75" customHeight="1">
      <c r="A796" s="209"/>
      <c r="B796" s="209"/>
      <c r="C796" s="209"/>
      <c r="D796" s="209"/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  <c r="S796" s="209"/>
      <c r="T796" s="209"/>
      <c r="U796" s="209"/>
      <c r="V796" s="209"/>
      <c r="W796" s="209"/>
      <c r="X796" s="209"/>
      <c r="Y796" s="209"/>
      <c r="Z796" s="209"/>
    </row>
    <row r="797" ht="12.75" customHeight="1">
      <c r="A797" s="209"/>
      <c r="B797" s="209"/>
      <c r="C797" s="209"/>
      <c r="D797" s="209"/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  <c r="S797" s="209"/>
      <c r="T797" s="209"/>
      <c r="U797" s="209"/>
      <c r="V797" s="209"/>
      <c r="W797" s="209"/>
      <c r="X797" s="209"/>
      <c r="Y797" s="209"/>
      <c r="Z797" s="209"/>
    </row>
    <row r="798" ht="12.75" customHeight="1">
      <c r="A798" s="209"/>
      <c r="B798" s="209"/>
      <c r="C798" s="209"/>
      <c r="D798" s="209"/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  <c r="S798" s="209"/>
      <c r="T798" s="209"/>
      <c r="U798" s="209"/>
      <c r="V798" s="209"/>
      <c r="W798" s="209"/>
      <c r="X798" s="209"/>
      <c r="Y798" s="209"/>
      <c r="Z798" s="209"/>
    </row>
    <row r="799" ht="12.75" customHeight="1">
      <c r="A799" s="209"/>
      <c r="B799" s="209"/>
      <c r="C799" s="209"/>
      <c r="D799" s="209"/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  <c r="S799" s="209"/>
      <c r="T799" s="209"/>
      <c r="U799" s="209"/>
      <c r="V799" s="209"/>
      <c r="W799" s="209"/>
      <c r="X799" s="209"/>
      <c r="Y799" s="209"/>
      <c r="Z799" s="209"/>
    </row>
    <row r="800" ht="12.75" customHeight="1">
      <c r="A800" s="209"/>
      <c r="B800" s="209"/>
      <c r="C800" s="209"/>
      <c r="D800" s="209"/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  <c r="S800" s="209"/>
      <c r="T800" s="209"/>
      <c r="U800" s="209"/>
      <c r="V800" s="209"/>
      <c r="W800" s="209"/>
      <c r="X800" s="209"/>
      <c r="Y800" s="209"/>
      <c r="Z800" s="209"/>
    </row>
    <row r="801" ht="12.75" customHeight="1">
      <c r="A801" s="209"/>
      <c r="B801" s="209"/>
      <c r="C801" s="209"/>
      <c r="D801" s="209"/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  <c r="S801" s="209"/>
      <c r="T801" s="209"/>
      <c r="U801" s="209"/>
      <c r="V801" s="209"/>
      <c r="W801" s="209"/>
      <c r="X801" s="209"/>
      <c r="Y801" s="209"/>
      <c r="Z801" s="209"/>
    </row>
    <row r="802" ht="12.75" customHeight="1">
      <c r="A802" s="209"/>
      <c r="B802" s="209"/>
      <c r="C802" s="209"/>
      <c r="D802" s="209"/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  <c r="S802" s="209"/>
      <c r="T802" s="209"/>
      <c r="U802" s="209"/>
      <c r="V802" s="209"/>
      <c r="W802" s="209"/>
      <c r="X802" s="209"/>
      <c r="Y802" s="209"/>
      <c r="Z802" s="209"/>
    </row>
    <row r="803" ht="12.75" customHeight="1">
      <c r="A803" s="209"/>
      <c r="B803" s="209"/>
      <c r="C803" s="209"/>
      <c r="D803" s="209"/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  <c r="S803" s="209"/>
      <c r="T803" s="209"/>
      <c r="U803" s="209"/>
      <c r="V803" s="209"/>
      <c r="W803" s="209"/>
      <c r="X803" s="209"/>
      <c r="Y803" s="209"/>
      <c r="Z803" s="209"/>
    </row>
    <row r="804" ht="12.75" customHeight="1">
      <c r="A804" s="209"/>
      <c r="B804" s="209"/>
      <c r="C804" s="209"/>
      <c r="D804" s="209"/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  <c r="S804" s="209"/>
      <c r="T804" s="209"/>
      <c r="U804" s="209"/>
      <c r="V804" s="209"/>
      <c r="W804" s="209"/>
      <c r="X804" s="209"/>
      <c r="Y804" s="209"/>
      <c r="Z804" s="209"/>
    </row>
    <row r="805" ht="12.75" customHeight="1">
      <c r="A805" s="209"/>
      <c r="B805" s="209"/>
      <c r="C805" s="209"/>
      <c r="D805" s="209"/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  <c r="S805" s="209"/>
      <c r="T805" s="209"/>
      <c r="U805" s="209"/>
      <c r="V805" s="209"/>
      <c r="W805" s="209"/>
      <c r="X805" s="209"/>
      <c r="Y805" s="209"/>
      <c r="Z805" s="209"/>
    </row>
    <row r="806" ht="12.75" customHeight="1">
      <c r="A806" s="209"/>
      <c r="B806" s="209"/>
      <c r="C806" s="209"/>
      <c r="D806" s="209"/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  <c r="S806" s="209"/>
      <c r="T806" s="209"/>
      <c r="U806" s="209"/>
      <c r="V806" s="209"/>
      <c r="W806" s="209"/>
      <c r="X806" s="209"/>
      <c r="Y806" s="209"/>
      <c r="Z806" s="209"/>
    </row>
    <row r="807" ht="12.75" customHeight="1">
      <c r="A807" s="209"/>
      <c r="B807" s="209"/>
      <c r="C807" s="209"/>
      <c r="D807" s="209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  <c r="S807" s="209"/>
      <c r="T807" s="209"/>
      <c r="U807" s="209"/>
      <c r="V807" s="209"/>
      <c r="W807" s="209"/>
      <c r="X807" s="209"/>
      <c r="Y807" s="209"/>
      <c r="Z807" s="209"/>
    </row>
    <row r="808" ht="12.75" customHeight="1">
      <c r="A808" s="209"/>
      <c r="B808" s="209"/>
      <c r="C808" s="209"/>
      <c r="D808" s="209"/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  <c r="S808" s="209"/>
      <c r="T808" s="209"/>
      <c r="U808" s="209"/>
      <c r="V808" s="209"/>
      <c r="W808" s="209"/>
      <c r="X808" s="209"/>
      <c r="Y808" s="209"/>
      <c r="Z808" s="209"/>
    </row>
    <row r="809" ht="12.75" customHeight="1">
      <c r="A809" s="209"/>
      <c r="B809" s="209"/>
      <c r="C809" s="209"/>
      <c r="D809" s="209"/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  <c r="S809" s="209"/>
      <c r="T809" s="209"/>
      <c r="U809" s="209"/>
      <c r="V809" s="209"/>
      <c r="W809" s="209"/>
      <c r="X809" s="209"/>
      <c r="Y809" s="209"/>
      <c r="Z809" s="209"/>
    </row>
    <row r="810" ht="12.75" customHeight="1">
      <c r="A810" s="209"/>
      <c r="B810" s="209"/>
      <c r="C810" s="209"/>
      <c r="D810" s="209"/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  <c r="S810" s="209"/>
      <c r="T810" s="209"/>
      <c r="U810" s="209"/>
      <c r="V810" s="209"/>
      <c r="W810" s="209"/>
      <c r="X810" s="209"/>
      <c r="Y810" s="209"/>
      <c r="Z810" s="209"/>
    </row>
    <row r="811" ht="12.75" customHeight="1">
      <c r="A811" s="209"/>
      <c r="B811" s="209"/>
      <c r="C811" s="209"/>
      <c r="D811" s="209"/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  <c r="S811" s="209"/>
      <c r="T811" s="209"/>
      <c r="U811" s="209"/>
      <c r="V811" s="209"/>
      <c r="W811" s="209"/>
      <c r="X811" s="209"/>
      <c r="Y811" s="209"/>
      <c r="Z811" s="209"/>
    </row>
    <row r="812" ht="12.75" customHeight="1">
      <c r="A812" s="209"/>
      <c r="B812" s="209"/>
      <c r="C812" s="209"/>
      <c r="D812" s="209"/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  <c r="S812" s="209"/>
      <c r="T812" s="209"/>
      <c r="U812" s="209"/>
      <c r="V812" s="209"/>
      <c r="W812" s="209"/>
      <c r="X812" s="209"/>
      <c r="Y812" s="209"/>
      <c r="Z812" s="209"/>
    </row>
    <row r="813" ht="12.75" customHeight="1">
      <c r="A813" s="209"/>
      <c r="B813" s="209"/>
      <c r="C813" s="209"/>
      <c r="D813" s="209"/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  <c r="S813" s="209"/>
      <c r="T813" s="209"/>
      <c r="U813" s="209"/>
      <c r="V813" s="209"/>
      <c r="W813" s="209"/>
      <c r="X813" s="209"/>
      <c r="Y813" s="209"/>
      <c r="Z813" s="209"/>
    </row>
    <row r="814" ht="12.75" customHeight="1">
      <c r="A814" s="209"/>
      <c r="B814" s="209"/>
      <c r="C814" s="209"/>
      <c r="D814" s="209"/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  <c r="S814" s="209"/>
      <c r="T814" s="209"/>
      <c r="U814" s="209"/>
      <c r="V814" s="209"/>
      <c r="W814" s="209"/>
      <c r="X814" s="209"/>
      <c r="Y814" s="209"/>
      <c r="Z814" s="209"/>
    </row>
    <row r="815" ht="12.75" customHeight="1">
      <c r="A815" s="209"/>
      <c r="B815" s="209"/>
      <c r="C815" s="209"/>
      <c r="D815" s="209"/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  <c r="S815" s="209"/>
      <c r="T815" s="209"/>
      <c r="U815" s="209"/>
      <c r="V815" s="209"/>
      <c r="W815" s="209"/>
      <c r="X815" s="209"/>
      <c r="Y815" s="209"/>
      <c r="Z815" s="209"/>
    </row>
    <row r="816" ht="12.75" customHeight="1">
      <c r="A816" s="209"/>
      <c r="B816" s="209"/>
      <c r="C816" s="209"/>
      <c r="D816" s="209"/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  <c r="S816" s="209"/>
      <c r="T816" s="209"/>
      <c r="U816" s="209"/>
      <c r="V816" s="209"/>
      <c r="W816" s="209"/>
      <c r="X816" s="209"/>
      <c r="Y816" s="209"/>
      <c r="Z816" s="209"/>
    </row>
    <row r="817" ht="12.75" customHeight="1">
      <c r="A817" s="209"/>
      <c r="B817" s="209"/>
      <c r="C817" s="209"/>
      <c r="D817" s="209"/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  <c r="S817" s="209"/>
      <c r="T817" s="209"/>
      <c r="U817" s="209"/>
      <c r="V817" s="209"/>
      <c r="W817" s="209"/>
      <c r="X817" s="209"/>
      <c r="Y817" s="209"/>
      <c r="Z817" s="209"/>
    </row>
    <row r="818" ht="12.75" customHeight="1">
      <c r="A818" s="209"/>
      <c r="B818" s="209"/>
      <c r="C818" s="209"/>
      <c r="D818" s="209"/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  <c r="S818" s="209"/>
      <c r="T818" s="209"/>
      <c r="U818" s="209"/>
      <c r="V818" s="209"/>
      <c r="W818" s="209"/>
      <c r="X818" s="209"/>
      <c r="Y818" s="209"/>
      <c r="Z818" s="209"/>
    </row>
    <row r="819" ht="12.75" customHeight="1">
      <c r="A819" s="209"/>
      <c r="B819" s="209"/>
      <c r="C819" s="209"/>
      <c r="D819" s="209"/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  <c r="S819" s="209"/>
      <c r="T819" s="209"/>
      <c r="U819" s="209"/>
      <c r="V819" s="209"/>
      <c r="W819" s="209"/>
      <c r="X819" s="209"/>
      <c r="Y819" s="209"/>
      <c r="Z819" s="209"/>
    </row>
    <row r="820" ht="12.75" customHeight="1">
      <c r="A820" s="209"/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  <c r="X820" s="209"/>
      <c r="Y820" s="209"/>
      <c r="Z820" s="209"/>
    </row>
    <row r="821" ht="12.75" customHeight="1">
      <c r="A821" s="209"/>
      <c r="B821" s="209"/>
      <c r="C821" s="209"/>
      <c r="D821" s="209"/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  <c r="S821" s="209"/>
      <c r="T821" s="209"/>
      <c r="U821" s="209"/>
      <c r="V821" s="209"/>
      <c r="W821" s="209"/>
      <c r="X821" s="209"/>
      <c r="Y821" s="209"/>
      <c r="Z821" s="209"/>
    </row>
    <row r="822" ht="12.75" customHeight="1">
      <c r="A822" s="209"/>
      <c r="B822" s="209"/>
      <c r="C822" s="209"/>
      <c r="D822" s="209"/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  <c r="S822" s="209"/>
      <c r="T822" s="209"/>
      <c r="U822" s="209"/>
      <c r="V822" s="209"/>
      <c r="W822" s="209"/>
      <c r="X822" s="209"/>
      <c r="Y822" s="209"/>
      <c r="Z822" s="209"/>
    </row>
    <row r="823" ht="12.75" customHeight="1">
      <c r="A823" s="209"/>
      <c r="B823" s="209"/>
      <c r="C823" s="209"/>
      <c r="D823" s="209"/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  <c r="S823" s="209"/>
      <c r="T823" s="209"/>
      <c r="U823" s="209"/>
      <c r="V823" s="209"/>
      <c r="W823" s="209"/>
      <c r="X823" s="209"/>
      <c r="Y823" s="209"/>
      <c r="Z823" s="209"/>
    </row>
    <row r="824" ht="12.75" customHeight="1">
      <c r="A824" s="209"/>
      <c r="B824" s="209"/>
      <c r="C824" s="209"/>
      <c r="D824" s="209"/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  <c r="S824" s="209"/>
      <c r="T824" s="209"/>
      <c r="U824" s="209"/>
      <c r="V824" s="209"/>
      <c r="W824" s="209"/>
      <c r="X824" s="209"/>
      <c r="Y824" s="209"/>
      <c r="Z824" s="209"/>
    </row>
    <row r="825" ht="12.75" customHeight="1">
      <c r="A825" s="209"/>
      <c r="B825" s="209"/>
      <c r="C825" s="209"/>
      <c r="D825" s="209"/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  <c r="S825" s="209"/>
      <c r="T825" s="209"/>
      <c r="U825" s="209"/>
      <c r="V825" s="209"/>
      <c r="W825" s="209"/>
      <c r="X825" s="209"/>
      <c r="Y825" s="209"/>
      <c r="Z825" s="209"/>
    </row>
    <row r="826" ht="12.75" customHeight="1">
      <c r="A826" s="209"/>
      <c r="B826" s="209"/>
      <c r="C826" s="209"/>
      <c r="D826" s="209"/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  <c r="S826" s="209"/>
      <c r="T826" s="209"/>
      <c r="U826" s="209"/>
      <c r="V826" s="209"/>
      <c r="W826" s="209"/>
      <c r="X826" s="209"/>
      <c r="Y826" s="209"/>
      <c r="Z826" s="209"/>
    </row>
    <row r="827" ht="12.75" customHeight="1">
      <c r="A827" s="209"/>
      <c r="B827" s="209"/>
      <c r="C827" s="209"/>
      <c r="D827" s="209"/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  <c r="S827" s="209"/>
      <c r="T827" s="209"/>
      <c r="U827" s="209"/>
      <c r="V827" s="209"/>
      <c r="W827" s="209"/>
      <c r="X827" s="209"/>
      <c r="Y827" s="209"/>
      <c r="Z827" s="209"/>
    </row>
    <row r="828" ht="12.75" customHeight="1">
      <c r="A828" s="209"/>
      <c r="B828" s="209"/>
      <c r="C828" s="209"/>
      <c r="D828" s="209"/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  <c r="S828" s="209"/>
      <c r="T828" s="209"/>
      <c r="U828" s="209"/>
      <c r="V828" s="209"/>
      <c r="W828" s="209"/>
      <c r="X828" s="209"/>
      <c r="Y828" s="209"/>
      <c r="Z828" s="209"/>
    </row>
    <row r="829" ht="12.75" customHeight="1">
      <c r="A829" s="209"/>
      <c r="B829" s="209"/>
      <c r="C829" s="209"/>
      <c r="D829" s="209"/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  <c r="S829" s="209"/>
      <c r="T829" s="209"/>
      <c r="U829" s="209"/>
      <c r="V829" s="209"/>
      <c r="W829" s="209"/>
      <c r="X829" s="209"/>
      <c r="Y829" s="209"/>
      <c r="Z829" s="209"/>
    </row>
    <row r="830" ht="12.75" customHeight="1">
      <c r="A830" s="209"/>
      <c r="B830" s="209"/>
      <c r="C830" s="209"/>
      <c r="D830" s="209"/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  <c r="S830" s="209"/>
      <c r="T830" s="209"/>
      <c r="U830" s="209"/>
      <c r="V830" s="209"/>
      <c r="W830" s="209"/>
      <c r="X830" s="209"/>
      <c r="Y830" s="209"/>
      <c r="Z830" s="209"/>
    </row>
    <row r="831" ht="12.75" customHeight="1">
      <c r="A831" s="209"/>
      <c r="B831" s="209"/>
      <c r="C831" s="209"/>
      <c r="D831" s="209"/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  <c r="S831" s="209"/>
      <c r="T831" s="209"/>
      <c r="U831" s="209"/>
      <c r="V831" s="209"/>
      <c r="W831" s="209"/>
      <c r="X831" s="209"/>
      <c r="Y831" s="209"/>
      <c r="Z831" s="209"/>
    </row>
    <row r="832" ht="12.75" customHeight="1">
      <c r="A832" s="209"/>
      <c r="B832" s="209"/>
      <c r="C832" s="209"/>
      <c r="D832" s="209"/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  <c r="S832" s="209"/>
      <c r="T832" s="209"/>
      <c r="U832" s="209"/>
      <c r="V832" s="209"/>
      <c r="W832" s="209"/>
      <c r="X832" s="209"/>
      <c r="Y832" s="209"/>
      <c r="Z832" s="209"/>
    </row>
    <row r="833" ht="12.75" customHeight="1">
      <c r="A833" s="209"/>
      <c r="B833" s="209"/>
      <c r="C833" s="209"/>
      <c r="D833" s="209"/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  <c r="S833" s="209"/>
      <c r="T833" s="209"/>
      <c r="U833" s="209"/>
      <c r="V833" s="209"/>
      <c r="W833" s="209"/>
      <c r="X833" s="209"/>
      <c r="Y833" s="209"/>
      <c r="Z833" s="209"/>
    </row>
    <row r="834" ht="12.75" customHeight="1">
      <c r="A834" s="209"/>
      <c r="B834" s="209"/>
      <c r="C834" s="209"/>
      <c r="D834" s="209"/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  <c r="S834" s="209"/>
      <c r="T834" s="209"/>
      <c r="U834" s="209"/>
      <c r="V834" s="209"/>
      <c r="W834" s="209"/>
      <c r="X834" s="209"/>
      <c r="Y834" s="209"/>
      <c r="Z834" s="209"/>
    </row>
    <row r="835" ht="12.75" customHeight="1">
      <c r="A835" s="209"/>
      <c r="B835" s="209"/>
      <c r="C835" s="209"/>
      <c r="D835" s="209"/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  <c r="S835" s="209"/>
      <c r="T835" s="209"/>
      <c r="U835" s="209"/>
      <c r="V835" s="209"/>
      <c r="W835" s="209"/>
      <c r="X835" s="209"/>
      <c r="Y835" s="209"/>
      <c r="Z835" s="209"/>
    </row>
    <row r="836" ht="12.75" customHeight="1">
      <c r="A836" s="209"/>
      <c r="B836" s="209"/>
      <c r="C836" s="209"/>
      <c r="D836" s="209"/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  <c r="S836" s="209"/>
      <c r="T836" s="209"/>
      <c r="U836" s="209"/>
      <c r="V836" s="209"/>
      <c r="W836" s="209"/>
      <c r="X836" s="209"/>
      <c r="Y836" s="209"/>
      <c r="Z836" s="209"/>
    </row>
    <row r="837" ht="12.75" customHeight="1">
      <c r="A837" s="209"/>
      <c r="B837" s="209"/>
      <c r="C837" s="209"/>
      <c r="D837" s="209"/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  <c r="S837" s="209"/>
      <c r="T837" s="209"/>
      <c r="U837" s="209"/>
      <c r="V837" s="209"/>
      <c r="W837" s="209"/>
      <c r="X837" s="209"/>
      <c r="Y837" s="209"/>
      <c r="Z837" s="209"/>
    </row>
    <row r="838" ht="12.75" customHeight="1">
      <c r="A838" s="209"/>
      <c r="B838" s="209"/>
      <c r="C838" s="209"/>
      <c r="D838" s="209"/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  <c r="S838" s="209"/>
      <c r="T838" s="209"/>
      <c r="U838" s="209"/>
      <c r="V838" s="209"/>
      <c r="W838" s="209"/>
      <c r="X838" s="209"/>
      <c r="Y838" s="209"/>
      <c r="Z838" s="209"/>
    </row>
    <row r="839" ht="12.75" customHeight="1">
      <c r="A839" s="209"/>
      <c r="B839" s="209"/>
      <c r="C839" s="209"/>
      <c r="D839" s="209"/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  <c r="S839" s="209"/>
      <c r="T839" s="209"/>
      <c r="U839" s="209"/>
      <c r="V839" s="209"/>
      <c r="W839" s="209"/>
      <c r="X839" s="209"/>
      <c r="Y839" s="209"/>
      <c r="Z839" s="209"/>
    </row>
    <row r="840" ht="12.75" customHeight="1">
      <c r="A840" s="209"/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</row>
    <row r="841" ht="12.75" customHeight="1">
      <c r="A841" s="209"/>
      <c r="B841" s="209"/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09"/>
      <c r="Z841" s="209"/>
    </row>
    <row r="842" ht="12.75" customHeight="1">
      <c r="A842" s="209"/>
      <c r="B842" s="209"/>
      <c r="C842" s="209"/>
      <c r="D842" s="209"/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  <c r="S842" s="209"/>
      <c r="T842" s="209"/>
      <c r="U842" s="209"/>
      <c r="V842" s="209"/>
      <c r="W842" s="209"/>
      <c r="X842" s="209"/>
      <c r="Y842" s="209"/>
      <c r="Z842" s="209"/>
    </row>
    <row r="843" ht="12.75" customHeight="1">
      <c r="A843" s="209"/>
      <c r="B843" s="209"/>
      <c r="C843" s="209"/>
      <c r="D843" s="209"/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  <c r="S843" s="209"/>
      <c r="T843" s="209"/>
      <c r="U843" s="209"/>
      <c r="V843" s="209"/>
      <c r="W843" s="209"/>
      <c r="X843" s="209"/>
      <c r="Y843" s="209"/>
      <c r="Z843" s="209"/>
    </row>
    <row r="844" ht="12.75" customHeight="1">
      <c r="A844" s="209"/>
      <c r="B844" s="209"/>
      <c r="C844" s="209"/>
      <c r="D844" s="209"/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  <c r="S844" s="209"/>
      <c r="T844" s="209"/>
      <c r="U844" s="209"/>
      <c r="V844" s="209"/>
      <c r="W844" s="209"/>
      <c r="X844" s="209"/>
      <c r="Y844" s="209"/>
      <c r="Z844" s="209"/>
    </row>
    <row r="845" ht="12.75" customHeight="1">
      <c r="A845" s="209"/>
      <c r="B845" s="209"/>
      <c r="C845" s="209"/>
      <c r="D845" s="209"/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  <c r="S845" s="209"/>
      <c r="T845" s="209"/>
      <c r="U845" s="209"/>
      <c r="V845" s="209"/>
      <c r="W845" s="209"/>
      <c r="X845" s="209"/>
      <c r="Y845" s="209"/>
      <c r="Z845" s="209"/>
    </row>
    <row r="846" ht="12.75" customHeight="1">
      <c r="A846" s="209"/>
      <c r="B846" s="209"/>
      <c r="C846" s="209"/>
      <c r="D846" s="209"/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  <c r="S846" s="209"/>
      <c r="T846" s="209"/>
      <c r="U846" s="209"/>
      <c r="V846" s="209"/>
      <c r="W846" s="209"/>
      <c r="X846" s="209"/>
      <c r="Y846" s="209"/>
      <c r="Z846" s="209"/>
    </row>
    <row r="847" ht="12.75" customHeight="1">
      <c r="A847" s="209"/>
      <c r="B847" s="209"/>
      <c r="C847" s="209"/>
      <c r="D847" s="209"/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  <c r="S847" s="209"/>
      <c r="T847" s="209"/>
      <c r="U847" s="209"/>
      <c r="V847" s="209"/>
      <c r="W847" s="209"/>
      <c r="X847" s="209"/>
      <c r="Y847" s="209"/>
      <c r="Z847" s="209"/>
    </row>
    <row r="848" ht="12.75" customHeight="1">
      <c r="A848" s="209"/>
      <c r="B848" s="209"/>
      <c r="C848" s="209"/>
      <c r="D848" s="209"/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  <c r="S848" s="209"/>
      <c r="T848" s="209"/>
      <c r="U848" s="209"/>
      <c r="V848" s="209"/>
      <c r="W848" s="209"/>
      <c r="X848" s="209"/>
      <c r="Y848" s="209"/>
      <c r="Z848" s="209"/>
    </row>
    <row r="849" ht="12.75" customHeight="1">
      <c r="A849" s="209"/>
      <c r="B849" s="209"/>
      <c r="C849" s="209"/>
      <c r="D849" s="209"/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  <c r="S849" s="209"/>
      <c r="T849" s="209"/>
      <c r="U849" s="209"/>
      <c r="V849" s="209"/>
      <c r="W849" s="209"/>
      <c r="X849" s="209"/>
      <c r="Y849" s="209"/>
      <c r="Z849" s="209"/>
    </row>
    <row r="850" ht="12.75" customHeight="1">
      <c r="A850" s="209"/>
      <c r="B850" s="209"/>
      <c r="C850" s="209"/>
      <c r="D850" s="209"/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  <c r="S850" s="209"/>
      <c r="T850" s="209"/>
      <c r="U850" s="209"/>
      <c r="V850" s="209"/>
      <c r="W850" s="209"/>
      <c r="X850" s="209"/>
      <c r="Y850" s="209"/>
      <c r="Z850" s="209"/>
    </row>
    <row r="851" ht="12.75" customHeight="1">
      <c r="A851" s="209"/>
      <c r="B851" s="209"/>
      <c r="C851" s="209"/>
      <c r="D851" s="209"/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  <c r="S851" s="209"/>
      <c r="T851" s="209"/>
      <c r="U851" s="209"/>
      <c r="V851" s="209"/>
      <c r="W851" s="209"/>
      <c r="X851" s="209"/>
      <c r="Y851" s="209"/>
      <c r="Z851" s="209"/>
    </row>
    <row r="852" ht="12.75" customHeight="1">
      <c r="A852" s="209"/>
      <c r="B852" s="209"/>
      <c r="C852" s="209"/>
      <c r="D852" s="209"/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  <c r="S852" s="209"/>
      <c r="T852" s="209"/>
      <c r="U852" s="209"/>
      <c r="V852" s="209"/>
      <c r="W852" s="209"/>
      <c r="X852" s="209"/>
      <c r="Y852" s="209"/>
      <c r="Z852" s="209"/>
    </row>
    <row r="853" ht="12.75" customHeight="1">
      <c r="A853" s="209"/>
      <c r="B853" s="209"/>
      <c r="C853" s="209"/>
      <c r="D853" s="209"/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  <c r="S853" s="209"/>
      <c r="T853" s="209"/>
      <c r="U853" s="209"/>
      <c r="V853" s="209"/>
      <c r="W853" s="209"/>
      <c r="X853" s="209"/>
      <c r="Y853" s="209"/>
      <c r="Z853" s="209"/>
    </row>
    <row r="854" ht="12.75" customHeight="1">
      <c r="A854" s="209"/>
      <c r="B854" s="209"/>
      <c r="C854" s="209"/>
      <c r="D854" s="209"/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  <c r="S854" s="209"/>
      <c r="T854" s="209"/>
      <c r="U854" s="209"/>
      <c r="V854" s="209"/>
      <c r="W854" s="209"/>
      <c r="X854" s="209"/>
      <c r="Y854" s="209"/>
      <c r="Z854" s="209"/>
    </row>
    <row r="855" ht="12.75" customHeight="1">
      <c r="A855" s="209"/>
      <c r="B855" s="209"/>
      <c r="C855" s="209"/>
      <c r="D855" s="209"/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  <c r="S855" s="209"/>
      <c r="T855" s="209"/>
      <c r="U855" s="209"/>
      <c r="V855" s="209"/>
      <c r="W855" s="209"/>
      <c r="X855" s="209"/>
      <c r="Y855" s="209"/>
      <c r="Z855" s="209"/>
    </row>
    <row r="856" ht="12.75" customHeight="1">
      <c r="A856" s="209"/>
      <c r="B856" s="209"/>
      <c r="C856" s="209"/>
      <c r="D856" s="209"/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  <c r="S856" s="209"/>
      <c r="T856" s="209"/>
      <c r="U856" s="209"/>
      <c r="V856" s="209"/>
      <c r="W856" s="209"/>
      <c r="X856" s="209"/>
      <c r="Y856" s="209"/>
      <c r="Z856" s="209"/>
    </row>
    <row r="857" ht="12.75" customHeight="1">
      <c r="A857" s="209"/>
      <c r="B857" s="209"/>
      <c r="C857" s="209"/>
      <c r="D857" s="209"/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  <c r="S857" s="209"/>
      <c r="T857" s="209"/>
      <c r="U857" s="209"/>
      <c r="V857" s="209"/>
      <c r="W857" s="209"/>
      <c r="X857" s="209"/>
      <c r="Y857" s="209"/>
      <c r="Z857" s="209"/>
    </row>
    <row r="858" ht="12.75" customHeight="1">
      <c r="A858" s="209"/>
      <c r="B858" s="209"/>
      <c r="C858" s="209"/>
      <c r="D858" s="209"/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  <c r="S858" s="209"/>
      <c r="T858" s="209"/>
      <c r="U858" s="209"/>
      <c r="V858" s="209"/>
      <c r="W858" s="209"/>
      <c r="X858" s="209"/>
      <c r="Y858" s="209"/>
      <c r="Z858" s="209"/>
    </row>
    <row r="859" ht="12.75" customHeight="1">
      <c r="A859" s="209"/>
      <c r="B859" s="209"/>
      <c r="C859" s="209"/>
      <c r="D859" s="209"/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  <c r="S859" s="209"/>
      <c r="T859" s="209"/>
      <c r="U859" s="209"/>
      <c r="V859" s="209"/>
      <c r="W859" s="209"/>
      <c r="X859" s="209"/>
      <c r="Y859" s="209"/>
      <c r="Z859" s="209"/>
    </row>
    <row r="860" ht="12.75" customHeight="1">
      <c r="A860" s="209"/>
      <c r="B860" s="209"/>
      <c r="C860" s="209"/>
      <c r="D860" s="209"/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  <c r="S860" s="209"/>
      <c r="T860" s="209"/>
      <c r="U860" s="209"/>
      <c r="V860" s="209"/>
      <c r="W860" s="209"/>
      <c r="X860" s="209"/>
      <c r="Y860" s="209"/>
      <c r="Z860" s="209"/>
    </row>
    <row r="861" ht="12.75" customHeight="1">
      <c r="A861" s="209"/>
      <c r="B861" s="209"/>
      <c r="C861" s="209"/>
      <c r="D861" s="209"/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  <c r="S861" s="209"/>
      <c r="T861" s="209"/>
      <c r="U861" s="209"/>
      <c r="V861" s="209"/>
      <c r="W861" s="209"/>
      <c r="X861" s="209"/>
      <c r="Y861" s="209"/>
      <c r="Z861" s="209"/>
    </row>
    <row r="862" ht="12.75" customHeight="1">
      <c r="A862" s="209"/>
      <c r="B862" s="209"/>
      <c r="C862" s="209"/>
      <c r="D862" s="209"/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  <c r="S862" s="209"/>
      <c r="T862" s="209"/>
      <c r="U862" s="209"/>
      <c r="V862" s="209"/>
      <c r="W862" s="209"/>
      <c r="X862" s="209"/>
      <c r="Y862" s="209"/>
      <c r="Z862" s="209"/>
    </row>
    <row r="863" ht="12.75" customHeight="1">
      <c r="A863" s="209"/>
      <c r="B863" s="209"/>
      <c r="C863" s="209"/>
      <c r="D863" s="209"/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  <c r="S863" s="209"/>
      <c r="T863" s="209"/>
      <c r="U863" s="209"/>
      <c r="V863" s="209"/>
      <c r="W863" s="209"/>
      <c r="X863" s="209"/>
      <c r="Y863" s="209"/>
      <c r="Z863" s="209"/>
    </row>
    <row r="864" ht="12.75" customHeight="1">
      <c r="A864" s="209"/>
      <c r="B864" s="209"/>
      <c r="C864" s="209"/>
      <c r="D864" s="209"/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  <c r="S864" s="209"/>
      <c r="T864" s="209"/>
      <c r="U864" s="209"/>
      <c r="V864" s="209"/>
      <c r="W864" s="209"/>
      <c r="X864" s="209"/>
      <c r="Y864" s="209"/>
      <c r="Z864" s="209"/>
    </row>
    <row r="865" ht="12.75" customHeight="1">
      <c r="A865" s="209"/>
      <c r="B865" s="209"/>
      <c r="C865" s="209"/>
      <c r="D865" s="209"/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  <c r="S865" s="209"/>
      <c r="T865" s="209"/>
      <c r="U865" s="209"/>
      <c r="V865" s="209"/>
      <c r="W865" s="209"/>
      <c r="X865" s="209"/>
      <c r="Y865" s="209"/>
      <c r="Z865" s="209"/>
    </row>
    <row r="866" ht="12.75" customHeight="1">
      <c r="A866" s="209"/>
      <c r="B866" s="209"/>
      <c r="C866" s="209"/>
      <c r="D866" s="209"/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  <c r="S866" s="209"/>
      <c r="T866" s="209"/>
      <c r="U866" s="209"/>
      <c r="V866" s="209"/>
      <c r="W866" s="209"/>
      <c r="X866" s="209"/>
      <c r="Y866" s="209"/>
      <c r="Z866" s="209"/>
    </row>
    <row r="867" ht="12.75" customHeight="1">
      <c r="A867" s="209"/>
      <c r="B867" s="209"/>
      <c r="C867" s="209"/>
      <c r="D867" s="209"/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  <c r="S867" s="209"/>
      <c r="T867" s="209"/>
      <c r="U867" s="209"/>
      <c r="V867" s="209"/>
      <c r="W867" s="209"/>
      <c r="X867" s="209"/>
      <c r="Y867" s="209"/>
      <c r="Z867" s="209"/>
    </row>
    <row r="868" ht="12.75" customHeight="1">
      <c r="A868" s="209"/>
      <c r="B868" s="209"/>
      <c r="C868" s="209"/>
      <c r="D868" s="209"/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  <c r="S868" s="209"/>
      <c r="T868" s="209"/>
      <c r="U868" s="209"/>
      <c r="V868" s="209"/>
      <c r="W868" s="209"/>
      <c r="X868" s="209"/>
      <c r="Y868" s="209"/>
      <c r="Z868" s="209"/>
    </row>
    <row r="869" ht="12.75" customHeight="1">
      <c r="A869" s="209"/>
      <c r="B869" s="209"/>
      <c r="C869" s="209"/>
      <c r="D869" s="209"/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  <c r="S869" s="209"/>
      <c r="T869" s="209"/>
      <c r="U869" s="209"/>
      <c r="V869" s="209"/>
      <c r="W869" s="209"/>
      <c r="X869" s="209"/>
      <c r="Y869" s="209"/>
      <c r="Z869" s="209"/>
    </row>
    <row r="870" ht="12.75" customHeight="1">
      <c r="A870" s="209"/>
      <c r="B870" s="209"/>
      <c r="C870" s="209"/>
      <c r="D870" s="209"/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  <c r="S870" s="209"/>
      <c r="T870" s="209"/>
      <c r="U870" s="209"/>
      <c r="V870" s="209"/>
      <c r="W870" s="209"/>
      <c r="X870" s="209"/>
      <c r="Y870" s="209"/>
      <c r="Z870" s="209"/>
    </row>
    <row r="871" ht="12.75" customHeight="1">
      <c r="A871" s="209"/>
      <c r="B871" s="209"/>
      <c r="C871" s="209"/>
      <c r="D871" s="209"/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  <c r="S871" s="209"/>
      <c r="T871" s="209"/>
      <c r="U871" s="209"/>
      <c r="V871" s="209"/>
      <c r="W871" s="209"/>
      <c r="X871" s="209"/>
      <c r="Y871" s="209"/>
      <c r="Z871" s="209"/>
    </row>
    <row r="872" ht="12.75" customHeight="1">
      <c r="A872" s="209"/>
      <c r="B872" s="209"/>
      <c r="C872" s="209"/>
      <c r="D872" s="209"/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  <c r="S872" s="209"/>
      <c r="T872" s="209"/>
      <c r="U872" s="209"/>
      <c r="V872" s="209"/>
      <c r="W872" s="209"/>
      <c r="X872" s="209"/>
      <c r="Y872" s="209"/>
      <c r="Z872" s="209"/>
    </row>
    <row r="873" ht="12.75" customHeight="1">
      <c r="A873" s="209"/>
      <c r="B873" s="209"/>
      <c r="C873" s="209"/>
      <c r="D873" s="209"/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  <c r="S873" s="209"/>
      <c r="T873" s="209"/>
      <c r="U873" s="209"/>
      <c r="V873" s="209"/>
      <c r="W873" s="209"/>
      <c r="X873" s="209"/>
      <c r="Y873" s="209"/>
      <c r="Z873" s="209"/>
    </row>
    <row r="874" ht="12.75" customHeight="1">
      <c r="A874" s="209"/>
      <c r="B874" s="209"/>
      <c r="C874" s="209"/>
      <c r="D874" s="209"/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  <c r="S874" s="209"/>
      <c r="T874" s="209"/>
      <c r="U874" s="209"/>
      <c r="V874" s="209"/>
      <c r="W874" s="209"/>
      <c r="X874" s="209"/>
      <c r="Y874" s="209"/>
      <c r="Z874" s="209"/>
    </row>
    <row r="875" ht="12.75" customHeight="1">
      <c r="A875" s="209"/>
      <c r="B875" s="209"/>
      <c r="C875" s="209"/>
      <c r="D875" s="209"/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  <c r="S875" s="209"/>
      <c r="T875" s="209"/>
      <c r="U875" s="209"/>
      <c r="V875" s="209"/>
      <c r="W875" s="209"/>
      <c r="X875" s="209"/>
      <c r="Y875" s="209"/>
      <c r="Z875" s="209"/>
    </row>
    <row r="876" ht="12.75" customHeight="1">
      <c r="A876" s="209"/>
      <c r="B876" s="209"/>
      <c r="C876" s="209"/>
      <c r="D876" s="209"/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  <c r="S876" s="209"/>
      <c r="T876" s="209"/>
      <c r="U876" s="209"/>
      <c r="V876" s="209"/>
      <c r="W876" s="209"/>
      <c r="X876" s="209"/>
      <c r="Y876" s="209"/>
      <c r="Z876" s="209"/>
    </row>
    <row r="877" ht="12.75" customHeight="1">
      <c r="A877" s="209"/>
      <c r="B877" s="209"/>
      <c r="C877" s="209"/>
      <c r="D877" s="209"/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  <c r="S877" s="209"/>
      <c r="T877" s="209"/>
      <c r="U877" s="209"/>
      <c r="V877" s="209"/>
      <c r="W877" s="209"/>
      <c r="X877" s="209"/>
      <c r="Y877" s="209"/>
      <c r="Z877" s="209"/>
    </row>
    <row r="878" ht="12.75" customHeight="1">
      <c r="A878" s="209"/>
      <c r="B878" s="209"/>
      <c r="C878" s="209"/>
      <c r="D878" s="209"/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  <c r="S878" s="209"/>
      <c r="T878" s="209"/>
      <c r="U878" s="209"/>
      <c r="V878" s="209"/>
      <c r="W878" s="209"/>
      <c r="X878" s="209"/>
      <c r="Y878" s="209"/>
      <c r="Z878" s="209"/>
    </row>
    <row r="879" ht="12.75" customHeight="1">
      <c r="A879" s="209"/>
      <c r="B879" s="209"/>
      <c r="C879" s="209"/>
      <c r="D879" s="209"/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  <c r="S879" s="209"/>
      <c r="T879" s="209"/>
      <c r="U879" s="209"/>
      <c r="V879" s="209"/>
      <c r="W879" s="209"/>
      <c r="X879" s="209"/>
      <c r="Y879" s="209"/>
      <c r="Z879" s="209"/>
    </row>
    <row r="880" ht="12.75" customHeight="1">
      <c r="A880" s="209"/>
      <c r="B880" s="209"/>
      <c r="C880" s="209"/>
      <c r="D880" s="209"/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  <c r="S880" s="209"/>
      <c r="T880" s="209"/>
      <c r="U880" s="209"/>
      <c r="V880" s="209"/>
      <c r="W880" s="209"/>
      <c r="X880" s="209"/>
      <c r="Y880" s="209"/>
      <c r="Z880" s="209"/>
    </row>
    <row r="881" ht="12.75" customHeight="1">
      <c r="A881" s="209"/>
      <c r="B881" s="209"/>
      <c r="C881" s="209"/>
      <c r="D881" s="209"/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  <c r="S881" s="209"/>
      <c r="T881" s="209"/>
      <c r="U881" s="209"/>
      <c r="V881" s="209"/>
      <c r="W881" s="209"/>
      <c r="X881" s="209"/>
      <c r="Y881" s="209"/>
      <c r="Z881" s="209"/>
    </row>
    <row r="882" ht="12.75" customHeight="1">
      <c r="A882" s="209"/>
      <c r="B882" s="209"/>
      <c r="C882" s="209"/>
      <c r="D882" s="209"/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  <c r="S882" s="209"/>
      <c r="T882" s="209"/>
      <c r="U882" s="209"/>
      <c r="V882" s="209"/>
      <c r="W882" s="209"/>
      <c r="X882" s="209"/>
      <c r="Y882" s="209"/>
      <c r="Z882" s="209"/>
    </row>
    <row r="883" ht="12.75" customHeight="1">
      <c r="A883" s="209"/>
      <c r="B883" s="209"/>
      <c r="C883" s="209"/>
      <c r="D883" s="209"/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  <c r="S883" s="209"/>
      <c r="T883" s="209"/>
      <c r="U883" s="209"/>
      <c r="V883" s="209"/>
      <c r="W883" s="209"/>
      <c r="X883" s="209"/>
      <c r="Y883" s="209"/>
      <c r="Z883" s="209"/>
    </row>
    <row r="884" ht="12.75" customHeight="1">
      <c r="A884" s="209"/>
      <c r="B884" s="209"/>
      <c r="C884" s="209"/>
      <c r="D884" s="209"/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  <c r="S884" s="209"/>
      <c r="T884" s="209"/>
      <c r="U884" s="209"/>
      <c r="V884" s="209"/>
      <c r="W884" s="209"/>
      <c r="X884" s="209"/>
      <c r="Y884" s="209"/>
      <c r="Z884" s="209"/>
    </row>
    <row r="885" ht="12.75" customHeight="1">
      <c r="A885" s="209"/>
      <c r="B885" s="209"/>
      <c r="C885" s="209"/>
      <c r="D885" s="209"/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  <c r="S885" s="209"/>
      <c r="T885" s="209"/>
      <c r="U885" s="209"/>
      <c r="V885" s="209"/>
      <c r="W885" s="209"/>
      <c r="X885" s="209"/>
      <c r="Y885" s="209"/>
      <c r="Z885" s="209"/>
    </row>
    <row r="886" ht="12.75" customHeight="1">
      <c r="A886" s="209"/>
      <c r="B886" s="209"/>
      <c r="C886" s="209"/>
      <c r="D886" s="209"/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  <c r="S886" s="209"/>
      <c r="T886" s="209"/>
      <c r="U886" s="209"/>
      <c r="V886" s="209"/>
      <c r="W886" s="209"/>
      <c r="X886" s="209"/>
      <c r="Y886" s="209"/>
      <c r="Z886" s="209"/>
    </row>
    <row r="887" ht="12.75" customHeight="1">
      <c r="A887" s="209"/>
      <c r="B887" s="209"/>
      <c r="C887" s="209"/>
      <c r="D887" s="209"/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  <c r="S887" s="209"/>
      <c r="T887" s="209"/>
      <c r="U887" s="209"/>
      <c r="V887" s="209"/>
      <c r="W887" s="209"/>
      <c r="X887" s="209"/>
      <c r="Y887" s="209"/>
      <c r="Z887" s="209"/>
    </row>
    <row r="888" ht="12.75" customHeight="1">
      <c r="A888" s="209"/>
      <c r="B888" s="209"/>
      <c r="C888" s="209"/>
      <c r="D888" s="209"/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  <c r="S888" s="209"/>
      <c r="T888" s="209"/>
      <c r="U888" s="209"/>
      <c r="V888" s="209"/>
      <c r="W888" s="209"/>
      <c r="X888" s="209"/>
      <c r="Y888" s="209"/>
      <c r="Z888" s="209"/>
    </row>
    <row r="889" ht="12.75" customHeight="1">
      <c r="A889" s="209"/>
      <c r="B889" s="209"/>
      <c r="C889" s="209"/>
      <c r="D889" s="209"/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  <c r="S889" s="209"/>
      <c r="T889" s="209"/>
      <c r="U889" s="209"/>
      <c r="V889" s="209"/>
      <c r="W889" s="209"/>
      <c r="X889" s="209"/>
      <c r="Y889" s="209"/>
      <c r="Z889" s="209"/>
    </row>
    <row r="890" ht="12.75" customHeight="1">
      <c r="A890" s="209"/>
      <c r="B890" s="209"/>
      <c r="C890" s="209"/>
      <c r="D890" s="209"/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  <c r="S890" s="209"/>
      <c r="T890" s="209"/>
      <c r="U890" s="209"/>
      <c r="V890" s="209"/>
      <c r="W890" s="209"/>
      <c r="X890" s="209"/>
      <c r="Y890" s="209"/>
      <c r="Z890" s="209"/>
    </row>
    <row r="891" ht="12.75" customHeight="1">
      <c r="A891" s="209"/>
      <c r="B891" s="209"/>
      <c r="C891" s="209"/>
      <c r="D891" s="209"/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  <c r="S891" s="209"/>
      <c r="T891" s="209"/>
      <c r="U891" s="209"/>
      <c r="V891" s="209"/>
      <c r="W891" s="209"/>
      <c r="X891" s="209"/>
      <c r="Y891" s="209"/>
      <c r="Z891" s="209"/>
    </row>
    <row r="892" ht="12.75" customHeight="1">
      <c r="A892" s="209"/>
      <c r="B892" s="209"/>
      <c r="C892" s="209"/>
      <c r="D892" s="209"/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  <c r="S892" s="209"/>
      <c r="T892" s="209"/>
      <c r="U892" s="209"/>
      <c r="V892" s="209"/>
      <c r="W892" s="209"/>
      <c r="X892" s="209"/>
      <c r="Y892" s="209"/>
      <c r="Z892" s="209"/>
    </row>
    <row r="893" ht="12.75" customHeight="1">
      <c r="A893" s="209"/>
      <c r="B893" s="209"/>
      <c r="C893" s="209"/>
      <c r="D893" s="209"/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  <c r="S893" s="209"/>
      <c r="T893" s="209"/>
      <c r="U893" s="209"/>
      <c r="V893" s="209"/>
      <c r="W893" s="209"/>
      <c r="X893" s="209"/>
      <c r="Y893" s="209"/>
      <c r="Z893" s="209"/>
    </row>
    <row r="894" ht="12.75" customHeight="1">
      <c r="A894" s="209"/>
      <c r="B894" s="209"/>
      <c r="C894" s="209"/>
      <c r="D894" s="209"/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  <c r="S894" s="209"/>
      <c r="T894" s="209"/>
      <c r="U894" s="209"/>
      <c r="V894" s="209"/>
      <c r="W894" s="209"/>
      <c r="X894" s="209"/>
      <c r="Y894" s="209"/>
      <c r="Z894" s="209"/>
    </row>
    <row r="895" ht="12.75" customHeight="1">
      <c r="A895" s="209"/>
      <c r="B895" s="209"/>
      <c r="C895" s="209"/>
      <c r="D895" s="209"/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  <c r="S895" s="209"/>
      <c r="T895" s="209"/>
      <c r="U895" s="209"/>
      <c r="V895" s="209"/>
      <c r="W895" s="209"/>
      <c r="X895" s="209"/>
      <c r="Y895" s="209"/>
      <c r="Z895" s="209"/>
    </row>
    <row r="896" ht="12.75" customHeight="1">
      <c r="A896" s="209"/>
      <c r="B896" s="209"/>
      <c r="C896" s="209"/>
      <c r="D896" s="209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  <c r="S896" s="209"/>
      <c r="T896" s="209"/>
      <c r="U896" s="209"/>
      <c r="V896" s="209"/>
      <c r="W896" s="209"/>
      <c r="X896" s="209"/>
      <c r="Y896" s="209"/>
      <c r="Z896" s="209"/>
    </row>
    <row r="897" ht="12.75" customHeight="1">
      <c r="A897" s="209"/>
      <c r="B897" s="209"/>
      <c r="C897" s="209"/>
      <c r="D897" s="209"/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  <c r="S897" s="209"/>
      <c r="T897" s="209"/>
      <c r="U897" s="209"/>
      <c r="V897" s="209"/>
      <c r="W897" s="209"/>
      <c r="X897" s="209"/>
      <c r="Y897" s="209"/>
      <c r="Z897" s="209"/>
    </row>
    <row r="898" ht="12.75" customHeight="1">
      <c r="A898" s="209"/>
      <c r="B898" s="209"/>
      <c r="C898" s="209"/>
      <c r="D898" s="209"/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  <c r="S898" s="209"/>
      <c r="T898" s="209"/>
      <c r="U898" s="209"/>
      <c r="V898" s="209"/>
      <c r="W898" s="209"/>
      <c r="X898" s="209"/>
      <c r="Y898" s="209"/>
      <c r="Z898" s="209"/>
    </row>
    <row r="899" ht="12.75" customHeight="1">
      <c r="A899" s="209"/>
      <c r="B899" s="209"/>
      <c r="C899" s="209"/>
      <c r="D899" s="209"/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  <c r="S899" s="209"/>
      <c r="T899" s="209"/>
      <c r="U899" s="209"/>
      <c r="V899" s="209"/>
      <c r="W899" s="209"/>
      <c r="X899" s="209"/>
      <c r="Y899" s="209"/>
      <c r="Z899" s="209"/>
    </row>
    <row r="900" ht="12.75" customHeight="1">
      <c r="A900" s="209"/>
      <c r="B900" s="209"/>
      <c r="C900" s="209"/>
      <c r="D900" s="209"/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  <c r="S900" s="209"/>
      <c r="T900" s="209"/>
      <c r="U900" s="209"/>
      <c r="V900" s="209"/>
      <c r="W900" s="209"/>
      <c r="X900" s="209"/>
      <c r="Y900" s="209"/>
      <c r="Z900" s="209"/>
    </row>
    <row r="901" ht="12.75" customHeight="1">
      <c r="A901" s="209"/>
      <c r="B901" s="209"/>
      <c r="C901" s="209"/>
      <c r="D901" s="209"/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  <c r="S901" s="209"/>
      <c r="T901" s="209"/>
      <c r="U901" s="209"/>
      <c r="V901" s="209"/>
      <c r="W901" s="209"/>
      <c r="X901" s="209"/>
      <c r="Y901" s="209"/>
      <c r="Z901" s="209"/>
    </row>
    <row r="902" ht="12.75" customHeight="1">
      <c r="A902" s="209"/>
      <c r="B902" s="209"/>
      <c r="C902" s="209"/>
      <c r="D902" s="209"/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  <c r="S902" s="209"/>
      <c r="T902" s="209"/>
      <c r="U902" s="209"/>
      <c r="V902" s="209"/>
      <c r="W902" s="209"/>
      <c r="X902" s="209"/>
      <c r="Y902" s="209"/>
      <c r="Z902" s="209"/>
    </row>
    <row r="903" ht="12.75" customHeight="1">
      <c r="A903" s="209"/>
      <c r="B903" s="209"/>
      <c r="C903" s="209"/>
      <c r="D903" s="209"/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  <c r="S903" s="209"/>
      <c r="T903" s="209"/>
      <c r="U903" s="209"/>
      <c r="V903" s="209"/>
      <c r="W903" s="209"/>
      <c r="X903" s="209"/>
      <c r="Y903" s="209"/>
      <c r="Z903" s="209"/>
    </row>
    <row r="904" ht="12.75" customHeight="1">
      <c r="A904" s="209"/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  <c r="X904" s="209"/>
      <c r="Y904" s="209"/>
      <c r="Z904" s="209"/>
    </row>
    <row r="905" ht="12.75" customHeight="1">
      <c r="A905" s="209"/>
      <c r="B905" s="209"/>
      <c r="C905" s="209"/>
      <c r="D905" s="209"/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  <c r="S905" s="209"/>
      <c r="T905" s="209"/>
      <c r="U905" s="209"/>
      <c r="V905" s="209"/>
      <c r="W905" s="209"/>
      <c r="X905" s="209"/>
      <c r="Y905" s="209"/>
      <c r="Z905" s="209"/>
    </row>
    <row r="906" ht="12.75" customHeight="1">
      <c r="A906" s="209"/>
      <c r="B906" s="209"/>
      <c r="C906" s="209"/>
      <c r="D906" s="209"/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  <c r="S906" s="209"/>
      <c r="T906" s="209"/>
      <c r="U906" s="209"/>
      <c r="V906" s="209"/>
      <c r="W906" s="209"/>
      <c r="X906" s="209"/>
      <c r="Y906" s="209"/>
      <c r="Z906" s="209"/>
    </row>
    <row r="907" ht="12.75" customHeight="1">
      <c r="A907" s="209"/>
      <c r="B907" s="209"/>
      <c r="C907" s="209"/>
      <c r="D907" s="209"/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  <c r="S907" s="209"/>
      <c r="T907" s="209"/>
      <c r="U907" s="209"/>
      <c r="V907" s="209"/>
      <c r="W907" s="209"/>
      <c r="X907" s="209"/>
      <c r="Y907" s="209"/>
      <c r="Z907" s="209"/>
    </row>
    <row r="908" ht="12.75" customHeight="1">
      <c r="A908" s="209"/>
      <c r="B908" s="209"/>
      <c r="C908" s="209"/>
      <c r="D908" s="209"/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  <c r="S908" s="209"/>
      <c r="T908" s="209"/>
      <c r="U908" s="209"/>
      <c r="V908" s="209"/>
      <c r="W908" s="209"/>
      <c r="X908" s="209"/>
      <c r="Y908" s="209"/>
      <c r="Z908" s="209"/>
    </row>
    <row r="909" ht="12.75" customHeight="1">
      <c r="A909" s="209"/>
      <c r="B909" s="209"/>
      <c r="C909" s="209"/>
      <c r="D909" s="209"/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  <c r="S909" s="209"/>
      <c r="T909" s="209"/>
      <c r="U909" s="209"/>
      <c r="V909" s="209"/>
      <c r="W909" s="209"/>
      <c r="X909" s="209"/>
      <c r="Y909" s="209"/>
      <c r="Z909" s="209"/>
    </row>
    <row r="910" ht="12.75" customHeight="1">
      <c r="A910" s="209"/>
      <c r="B910" s="209"/>
      <c r="C910" s="209"/>
      <c r="D910" s="209"/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  <c r="S910" s="209"/>
      <c r="T910" s="209"/>
      <c r="U910" s="209"/>
      <c r="V910" s="209"/>
      <c r="W910" s="209"/>
      <c r="X910" s="209"/>
      <c r="Y910" s="209"/>
      <c r="Z910" s="209"/>
    </row>
    <row r="911" ht="12.75" customHeight="1">
      <c r="A911" s="209"/>
      <c r="B911" s="209"/>
      <c r="C911" s="209"/>
      <c r="D911" s="209"/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  <c r="S911" s="209"/>
      <c r="T911" s="209"/>
      <c r="U911" s="209"/>
      <c r="V911" s="209"/>
      <c r="W911" s="209"/>
      <c r="X911" s="209"/>
      <c r="Y911" s="209"/>
      <c r="Z911" s="209"/>
    </row>
    <row r="912" ht="12.75" customHeight="1">
      <c r="A912" s="209"/>
      <c r="B912" s="209"/>
      <c r="C912" s="209"/>
      <c r="D912" s="209"/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  <c r="S912" s="209"/>
      <c r="T912" s="209"/>
      <c r="U912" s="209"/>
      <c r="V912" s="209"/>
      <c r="W912" s="209"/>
      <c r="X912" s="209"/>
      <c r="Y912" s="209"/>
      <c r="Z912" s="209"/>
    </row>
    <row r="913" ht="12.75" customHeight="1">
      <c r="A913" s="209"/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  <c r="X913" s="209"/>
      <c r="Y913" s="209"/>
      <c r="Z913" s="209"/>
    </row>
    <row r="914" ht="12.75" customHeight="1">
      <c r="A914" s="209"/>
      <c r="B914" s="209"/>
      <c r="C914" s="209"/>
      <c r="D914" s="209"/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  <c r="S914" s="209"/>
      <c r="T914" s="209"/>
      <c r="U914" s="209"/>
      <c r="V914" s="209"/>
      <c r="W914" s="209"/>
      <c r="X914" s="209"/>
      <c r="Y914" s="209"/>
      <c r="Z914" s="209"/>
    </row>
    <row r="915" ht="12.75" customHeight="1">
      <c r="A915" s="209"/>
      <c r="B915" s="209"/>
      <c r="C915" s="209"/>
      <c r="D915" s="209"/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  <c r="S915" s="209"/>
      <c r="T915" s="209"/>
      <c r="U915" s="209"/>
      <c r="V915" s="209"/>
      <c r="W915" s="209"/>
      <c r="X915" s="209"/>
      <c r="Y915" s="209"/>
      <c r="Z915" s="209"/>
    </row>
    <row r="916" ht="12.75" customHeight="1">
      <c r="A916" s="209"/>
      <c r="B916" s="209"/>
      <c r="C916" s="209"/>
      <c r="D916" s="209"/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  <c r="S916" s="209"/>
      <c r="T916" s="209"/>
      <c r="U916" s="209"/>
      <c r="V916" s="209"/>
      <c r="W916" s="209"/>
      <c r="X916" s="209"/>
      <c r="Y916" s="209"/>
      <c r="Z916" s="209"/>
    </row>
    <row r="917" ht="12.75" customHeight="1">
      <c r="A917" s="209"/>
      <c r="B917" s="209"/>
      <c r="C917" s="209"/>
      <c r="D917" s="209"/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  <c r="S917" s="209"/>
      <c r="T917" s="209"/>
      <c r="U917" s="209"/>
      <c r="V917" s="209"/>
      <c r="W917" s="209"/>
      <c r="X917" s="209"/>
      <c r="Y917" s="209"/>
      <c r="Z917" s="209"/>
    </row>
    <row r="918" ht="12.75" customHeight="1">
      <c r="A918" s="209"/>
      <c r="B918" s="209"/>
      <c r="C918" s="209"/>
      <c r="D918" s="209"/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  <c r="S918" s="209"/>
      <c r="T918" s="209"/>
      <c r="U918" s="209"/>
      <c r="V918" s="209"/>
      <c r="W918" s="209"/>
      <c r="X918" s="209"/>
      <c r="Y918" s="209"/>
      <c r="Z918" s="209"/>
    </row>
    <row r="919" ht="12.75" customHeight="1">
      <c r="A919" s="209"/>
      <c r="B919" s="209"/>
      <c r="C919" s="209"/>
      <c r="D919" s="209"/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  <c r="S919" s="209"/>
      <c r="T919" s="209"/>
      <c r="U919" s="209"/>
      <c r="V919" s="209"/>
      <c r="W919" s="209"/>
      <c r="X919" s="209"/>
      <c r="Y919" s="209"/>
      <c r="Z919" s="209"/>
    </row>
    <row r="920" ht="12.75" customHeight="1">
      <c r="A920" s="209"/>
      <c r="B920" s="209"/>
      <c r="C920" s="209"/>
      <c r="D920" s="209"/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  <c r="S920" s="209"/>
      <c r="T920" s="209"/>
      <c r="U920" s="209"/>
      <c r="V920" s="209"/>
      <c r="W920" s="209"/>
      <c r="X920" s="209"/>
      <c r="Y920" s="209"/>
      <c r="Z920" s="209"/>
    </row>
    <row r="921" ht="12.75" customHeight="1">
      <c r="A921" s="209"/>
      <c r="B921" s="209"/>
      <c r="C921" s="209"/>
      <c r="D921" s="209"/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  <c r="S921" s="209"/>
      <c r="T921" s="209"/>
      <c r="U921" s="209"/>
      <c r="V921" s="209"/>
      <c r="W921" s="209"/>
      <c r="X921" s="209"/>
      <c r="Y921" s="209"/>
      <c r="Z921" s="209"/>
    </row>
    <row r="922" ht="12.75" customHeight="1">
      <c r="A922" s="209"/>
      <c r="B922" s="209"/>
      <c r="C922" s="209"/>
      <c r="D922" s="209"/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  <c r="S922" s="209"/>
      <c r="T922" s="209"/>
      <c r="U922" s="209"/>
      <c r="V922" s="209"/>
      <c r="W922" s="209"/>
      <c r="X922" s="209"/>
      <c r="Y922" s="209"/>
      <c r="Z922" s="209"/>
    </row>
    <row r="923" ht="12.75" customHeight="1">
      <c r="A923" s="209"/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  <c r="V923" s="209"/>
      <c r="W923" s="209"/>
      <c r="X923" s="209"/>
      <c r="Y923" s="209"/>
      <c r="Z923" s="209"/>
    </row>
    <row r="924" ht="12.75" customHeight="1">
      <c r="A924" s="209"/>
      <c r="B924" s="209"/>
      <c r="C924" s="209"/>
      <c r="D924" s="209"/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  <c r="S924" s="209"/>
      <c r="T924" s="209"/>
      <c r="U924" s="209"/>
      <c r="V924" s="209"/>
      <c r="W924" s="209"/>
      <c r="X924" s="209"/>
      <c r="Y924" s="209"/>
      <c r="Z924" s="209"/>
    </row>
    <row r="925" ht="12.75" customHeight="1">
      <c r="A925" s="209"/>
      <c r="B925" s="209"/>
      <c r="C925" s="209"/>
      <c r="D925" s="209"/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  <c r="S925" s="209"/>
      <c r="T925" s="209"/>
      <c r="U925" s="209"/>
      <c r="V925" s="209"/>
      <c r="W925" s="209"/>
      <c r="X925" s="209"/>
      <c r="Y925" s="209"/>
      <c r="Z925" s="209"/>
    </row>
    <row r="926" ht="12.75" customHeight="1">
      <c r="A926" s="209"/>
      <c r="B926" s="209"/>
      <c r="C926" s="209"/>
      <c r="D926" s="209"/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  <c r="S926" s="209"/>
      <c r="T926" s="209"/>
      <c r="U926" s="209"/>
      <c r="V926" s="209"/>
      <c r="W926" s="209"/>
      <c r="X926" s="209"/>
      <c r="Y926" s="209"/>
      <c r="Z926" s="209"/>
    </row>
    <row r="927" ht="12.75" customHeight="1">
      <c r="A927" s="209"/>
      <c r="B927" s="209"/>
      <c r="C927" s="209"/>
      <c r="D927" s="209"/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  <c r="S927" s="209"/>
      <c r="T927" s="209"/>
      <c r="U927" s="209"/>
      <c r="V927" s="209"/>
      <c r="W927" s="209"/>
      <c r="X927" s="209"/>
      <c r="Y927" s="209"/>
      <c r="Z927" s="209"/>
    </row>
    <row r="928" ht="12.75" customHeight="1">
      <c r="A928" s="209"/>
      <c r="B928" s="209"/>
      <c r="C928" s="209"/>
      <c r="D928" s="209"/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  <c r="S928" s="209"/>
      <c r="T928" s="209"/>
      <c r="U928" s="209"/>
      <c r="V928" s="209"/>
      <c r="W928" s="209"/>
      <c r="X928" s="209"/>
      <c r="Y928" s="209"/>
      <c r="Z928" s="209"/>
    </row>
    <row r="929" ht="12.75" customHeight="1">
      <c r="A929" s="209"/>
      <c r="B929" s="209"/>
      <c r="C929" s="209"/>
      <c r="D929" s="209"/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  <c r="S929" s="209"/>
      <c r="T929" s="209"/>
      <c r="U929" s="209"/>
      <c r="V929" s="209"/>
      <c r="W929" s="209"/>
      <c r="X929" s="209"/>
      <c r="Y929" s="209"/>
      <c r="Z929" s="209"/>
    </row>
    <row r="930" ht="12.75" customHeight="1">
      <c r="A930" s="209"/>
      <c r="B930" s="209"/>
      <c r="C930" s="209"/>
      <c r="D930" s="209"/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  <c r="S930" s="209"/>
      <c r="T930" s="209"/>
      <c r="U930" s="209"/>
      <c r="V930" s="209"/>
      <c r="W930" s="209"/>
      <c r="X930" s="209"/>
      <c r="Y930" s="209"/>
      <c r="Z930" s="209"/>
    </row>
    <row r="931" ht="12.75" customHeight="1">
      <c r="A931" s="209"/>
      <c r="B931" s="209"/>
      <c r="C931" s="209"/>
      <c r="D931" s="209"/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  <c r="S931" s="209"/>
      <c r="T931" s="209"/>
      <c r="U931" s="209"/>
      <c r="V931" s="209"/>
      <c r="W931" s="209"/>
      <c r="X931" s="209"/>
      <c r="Y931" s="209"/>
      <c r="Z931" s="209"/>
    </row>
    <row r="932" ht="12.75" customHeight="1">
      <c r="A932" s="209"/>
      <c r="B932" s="209"/>
      <c r="C932" s="209"/>
      <c r="D932" s="209"/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  <c r="S932" s="209"/>
      <c r="T932" s="209"/>
      <c r="U932" s="209"/>
      <c r="V932" s="209"/>
      <c r="W932" s="209"/>
      <c r="X932" s="209"/>
      <c r="Y932" s="209"/>
      <c r="Z932" s="209"/>
    </row>
    <row r="933" ht="12.75" customHeight="1">
      <c r="A933" s="209"/>
      <c r="B933" s="209"/>
      <c r="C933" s="209"/>
      <c r="D933" s="209"/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  <c r="S933" s="209"/>
      <c r="T933" s="209"/>
      <c r="U933" s="209"/>
      <c r="V933" s="209"/>
      <c r="W933" s="209"/>
      <c r="X933" s="209"/>
      <c r="Y933" s="209"/>
      <c r="Z933" s="209"/>
    </row>
    <row r="934" ht="12.75" customHeight="1">
      <c r="A934" s="209"/>
      <c r="B934" s="209"/>
      <c r="C934" s="209"/>
      <c r="D934" s="209"/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  <c r="S934" s="209"/>
      <c r="T934" s="209"/>
      <c r="U934" s="209"/>
      <c r="V934" s="209"/>
      <c r="W934" s="209"/>
      <c r="X934" s="209"/>
      <c r="Y934" s="209"/>
      <c r="Z934" s="209"/>
    </row>
    <row r="935" ht="12.75" customHeight="1">
      <c r="A935" s="209"/>
      <c r="B935" s="209"/>
      <c r="C935" s="209"/>
      <c r="D935" s="209"/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  <c r="S935" s="209"/>
      <c r="T935" s="209"/>
      <c r="U935" s="209"/>
      <c r="V935" s="209"/>
      <c r="W935" s="209"/>
      <c r="X935" s="209"/>
      <c r="Y935" s="209"/>
      <c r="Z935" s="209"/>
    </row>
    <row r="936" ht="12.75" customHeight="1">
      <c r="A936" s="209"/>
      <c r="B936" s="209"/>
      <c r="C936" s="209"/>
      <c r="D936" s="209"/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  <c r="S936" s="209"/>
      <c r="T936" s="209"/>
      <c r="U936" s="209"/>
      <c r="V936" s="209"/>
      <c r="W936" s="209"/>
      <c r="X936" s="209"/>
      <c r="Y936" s="209"/>
      <c r="Z936" s="209"/>
    </row>
    <row r="937" ht="12.75" customHeight="1">
      <c r="A937" s="209"/>
      <c r="B937" s="209"/>
      <c r="C937" s="209"/>
      <c r="D937" s="209"/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  <c r="S937" s="209"/>
      <c r="T937" s="209"/>
      <c r="U937" s="209"/>
      <c r="V937" s="209"/>
      <c r="W937" s="209"/>
      <c r="X937" s="209"/>
      <c r="Y937" s="209"/>
      <c r="Z937" s="209"/>
    </row>
    <row r="938" ht="12.75" customHeight="1">
      <c r="A938" s="209"/>
      <c r="B938" s="209"/>
      <c r="C938" s="209"/>
      <c r="D938" s="209"/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  <c r="S938" s="209"/>
      <c r="T938" s="209"/>
      <c r="U938" s="209"/>
      <c r="V938" s="209"/>
      <c r="W938" s="209"/>
      <c r="X938" s="209"/>
      <c r="Y938" s="209"/>
      <c r="Z938" s="209"/>
    </row>
    <row r="939" ht="12.75" customHeight="1">
      <c r="A939" s="209"/>
      <c r="B939" s="209"/>
      <c r="C939" s="209"/>
      <c r="D939" s="209"/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  <c r="S939" s="209"/>
      <c r="T939" s="209"/>
      <c r="U939" s="209"/>
      <c r="V939" s="209"/>
      <c r="W939" s="209"/>
      <c r="X939" s="209"/>
      <c r="Y939" s="209"/>
      <c r="Z939" s="209"/>
    </row>
    <row r="940" ht="12.75" customHeight="1">
      <c r="A940" s="209"/>
      <c r="B940" s="209"/>
      <c r="C940" s="209"/>
      <c r="D940" s="209"/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  <c r="S940" s="209"/>
      <c r="T940" s="209"/>
      <c r="U940" s="209"/>
      <c r="V940" s="209"/>
      <c r="W940" s="209"/>
      <c r="X940" s="209"/>
      <c r="Y940" s="209"/>
      <c r="Z940" s="209"/>
    </row>
    <row r="941" ht="12.75" customHeight="1">
      <c r="A941" s="209"/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  <c r="X941" s="209"/>
      <c r="Y941" s="209"/>
      <c r="Z941" s="209"/>
    </row>
    <row r="942" ht="12.75" customHeight="1">
      <c r="A942" s="209"/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  <c r="W942" s="209"/>
      <c r="X942" s="209"/>
      <c r="Y942" s="209"/>
      <c r="Z942" s="209"/>
    </row>
    <row r="943" ht="12.75" customHeight="1">
      <c r="A943" s="209"/>
      <c r="B943" s="209"/>
      <c r="C943" s="209"/>
      <c r="D943" s="209"/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  <c r="S943" s="209"/>
      <c r="T943" s="209"/>
      <c r="U943" s="209"/>
      <c r="V943" s="209"/>
      <c r="W943" s="209"/>
      <c r="X943" s="209"/>
      <c r="Y943" s="209"/>
      <c r="Z943" s="209"/>
    </row>
    <row r="944" ht="12.75" customHeight="1">
      <c r="A944" s="209"/>
      <c r="B944" s="209"/>
      <c r="C944" s="209"/>
      <c r="D944" s="209"/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  <c r="S944" s="209"/>
      <c r="T944" s="209"/>
      <c r="U944" s="209"/>
      <c r="V944" s="209"/>
      <c r="W944" s="209"/>
      <c r="X944" s="209"/>
      <c r="Y944" s="209"/>
      <c r="Z944" s="209"/>
    </row>
    <row r="945" ht="12.75" customHeight="1">
      <c r="A945" s="209"/>
      <c r="B945" s="209"/>
      <c r="C945" s="209"/>
      <c r="D945" s="209"/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  <c r="S945" s="209"/>
      <c r="T945" s="209"/>
      <c r="U945" s="209"/>
      <c r="V945" s="209"/>
      <c r="W945" s="209"/>
      <c r="X945" s="209"/>
      <c r="Y945" s="209"/>
      <c r="Z945" s="209"/>
    </row>
    <row r="946" ht="12.75" customHeight="1">
      <c r="A946" s="209"/>
      <c r="B946" s="209"/>
      <c r="C946" s="209"/>
      <c r="D946" s="209"/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  <c r="S946" s="209"/>
      <c r="T946" s="209"/>
      <c r="U946" s="209"/>
      <c r="V946" s="209"/>
      <c r="W946" s="209"/>
      <c r="X946" s="209"/>
      <c r="Y946" s="209"/>
      <c r="Z946" s="209"/>
    </row>
    <row r="947" ht="12.75" customHeight="1">
      <c r="A947" s="209"/>
      <c r="B947" s="209"/>
      <c r="C947" s="209"/>
      <c r="D947" s="209"/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  <c r="S947" s="209"/>
      <c r="T947" s="209"/>
      <c r="U947" s="209"/>
      <c r="V947" s="209"/>
      <c r="W947" s="209"/>
      <c r="X947" s="209"/>
      <c r="Y947" s="209"/>
      <c r="Z947" s="209"/>
    </row>
    <row r="948" ht="12.75" customHeight="1">
      <c r="A948" s="209"/>
      <c r="B948" s="209"/>
      <c r="C948" s="209"/>
      <c r="D948" s="209"/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  <c r="S948" s="209"/>
      <c r="T948" s="209"/>
      <c r="U948" s="209"/>
      <c r="V948" s="209"/>
      <c r="W948" s="209"/>
      <c r="X948" s="209"/>
      <c r="Y948" s="209"/>
      <c r="Z948" s="209"/>
    </row>
    <row r="949" ht="12.75" customHeight="1">
      <c r="A949" s="209"/>
      <c r="B949" s="209"/>
      <c r="C949" s="209"/>
      <c r="D949" s="209"/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  <c r="S949" s="209"/>
      <c r="T949" s="209"/>
      <c r="U949" s="209"/>
      <c r="V949" s="209"/>
      <c r="W949" s="209"/>
      <c r="X949" s="209"/>
      <c r="Y949" s="209"/>
      <c r="Z949" s="209"/>
    </row>
    <row r="950" ht="12.75" customHeight="1">
      <c r="A950" s="209"/>
      <c r="B950" s="209"/>
      <c r="C950" s="209"/>
      <c r="D950" s="209"/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  <c r="S950" s="209"/>
      <c r="T950" s="209"/>
      <c r="U950" s="209"/>
      <c r="V950" s="209"/>
      <c r="W950" s="209"/>
      <c r="X950" s="209"/>
      <c r="Y950" s="209"/>
      <c r="Z950" s="209"/>
    </row>
    <row r="951" ht="12.75" customHeight="1">
      <c r="A951" s="209"/>
      <c r="B951" s="209"/>
      <c r="C951" s="209"/>
      <c r="D951" s="209"/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  <c r="S951" s="209"/>
      <c r="T951" s="209"/>
      <c r="U951" s="209"/>
      <c r="V951" s="209"/>
      <c r="W951" s="209"/>
      <c r="X951" s="209"/>
      <c r="Y951" s="209"/>
      <c r="Z951" s="209"/>
    </row>
    <row r="952" ht="12.75" customHeight="1">
      <c r="A952" s="209"/>
      <c r="B952" s="209"/>
      <c r="C952" s="209"/>
      <c r="D952" s="209"/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  <c r="S952" s="209"/>
      <c r="T952" s="209"/>
      <c r="U952" s="209"/>
      <c r="V952" s="209"/>
      <c r="W952" s="209"/>
      <c r="X952" s="209"/>
      <c r="Y952" s="209"/>
      <c r="Z952" s="209"/>
    </row>
    <row r="953" ht="12.75" customHeight="1">
      <c r="A953" s="209"/>
      <c r="B953" s="209"/>
      <c r="C953" s="209"/>
      <c r="D953" s="209"/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  <c r="S953" s="209"/>
      <c r="T953" s="209"/>
      <c r="U953" s="209"/>
      <c r="V953" s="209"/>
      <c r="W953" s="209"/>
      <c r="X953" s="209"/>
      <c r="Y953" s="209"/>
      <c r="Z953" s="209"/>
    </row>
    <row r="954" ht="12.75" customHeight="1">
      <c r="A954" s="209"/>
      <c r="B954" s="209"/>
      <c r="C954" s="209"/>
      <c r="D954" s="209"/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  <c r="S954" s="209"/>
      <c r="T954" s="209"/>
      <c r="U954" s="209"/>
      <c r="V954" s="209"/>
      <c r="W954" s="209"/>
      <c r="X954" s="209"/>
      <c r="Y954" s="209"/>
      <c r="Z954" s="209"/>
    </row>
    <row r="955" ht="12.75" customHeight="1">
      <c r="A955" s="209"/>
      <c r="B955" s="209"/>
      <c r="C955" s="209"/>
      <c r="D955" s="209"/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  <c r="S955" s="209"/>
      <c r="T955" s="209"/>
      <c r="U955" s="209"/>
      <c r="V955" s="209"/>
      <c r="W955" s="209"/>
      <c r="X955" s="209"/>
      <c r="Y955" s="209"/>
      <c r="Z955" s="209"/>
    </row>
    <row r="956" ht="12.75" customHeight="1">
      <c r="A956" s="209"/>
      <c r="B956" s="209"/>
      <c r="C956" s="209"/>
      <c r="D956" s="209"/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  <c r="S956" s="209"/>
      <c r="T956" s="209"/>
      <c r="U956" s="209"/>
      <c r="V956" s="209"/>
      <c r="W956" s="209"/>
      <c r="X956" s="209"/>
      <c r="Y956" s="209"/>
      <c r="Z956" s="209"/>
    </row>
    <row r="957" ht="12.75" customHeight="1">
      <c r="A957" s="209"/>
      <c r="B957" s="209"/>
      <c r="C957" s="209"/>
      <c r="D957" s="209"/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  <c r="S957" s="209"/>
      <c r="T957" s="209"/>
      <c r="U957" s="209"/>
      <c r="V957" s="209"/>
      <c r="W957" s="209"/>
      <c r="X957" s="209"/>
      <c r="Y957" s="209"/>
      <c r="Z957" s="209"/>
    </row>
    <row r="958" ht="12.75" customHeight="1">
      <c r="A958" s="209"/>
      <c r="B958" s="209"/>
      <c r="C958" s="209"/>
      <c r="D958" s="209"/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  <c r="S958" s="209"/>
      <c r="T958" s="209"/>
      <c r="U958" s="209"/>
      <c r="V958" s="209"/>
      <c r="W958" s="209"/>
      <c r="X958" s="209"/>
      <c r="Y958" s="209"/>
      <c r="Z958" s="209"/>
    </row>
    <row r="959" ht="12.75" customHeight="1">
      <c r="A959" s="209"/>
      <c r="B959" s="209"/>
      <c r="C959" s="209"/>
      <c r="D959" s="209"/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  <c r="S959" s="209"/>
      <c r="T959" s="209"/>
      <c r="U959" s="209"/>
      <c r="V959" s="209"/>
      <c r="W959" s="209"/>
      <c r="X959" s="209"/>
      <c r="Y959" s="209"/>
      <c r="Z959" s="209"/>
    </row>
    <row r="960" ht="12.75" customHeight="1">
      <c r="A960" s="209"/>
      <c r="B960" s="209"/>
      <c r="C960" s="209"/>
      <c r="D960" s="209"/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  <c r="S960" s="209"/>
      <c r="T960" s="209"/>
      <c r="U960" s="209"/>
      <c r="V960" s="209"/>
      <c r="W960" s="209"/>
      <c r="X960" s="209"/>
      <c r="Y960" s="209"/>
      <c r="Z960" s="209"/>
    </row>
    <row r="961" ht="12.75" customHeight="1">
      <c r="A961" s="209"/>
      <c r="B961" s="209"/>
      <c r="C961" s="209"/>
      <c r="D961" s="209"/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  <c r="S961" s="209"/>
      <c r="T961" s="209"/>
      <c r="U961" s="209"/>
      <c r="V961" s="209"/>
      <c r="W961" s="209"/>
      <c r="X961" s="209"/>
      <c r="Y961" s="209"/>
      <c r="Z961" s="209"/>
    </row>
    <row r="962" ht="12.75" customHeight="1">
      <c r="A962" s="209"/>
      <c r="B962" s="209"/>
      <c r="C962" s="209"/>
      <c r="D962" s="209"/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  <c r="S962" s="209"/>
      <c r="T962" s="209"/>
      <c r="U962" s="209"/>
      <c r="V962" s="209"/>
      <c r="W962" s="209"/>
      <c r="X962" s="209"/>
      <c r="Y962" s="209"/>
      <c r="Z962" s="209"/>
    </row>
    <row r="963" ht="12.75" customHeight="1">
      <c r="A963" s="209"/>
      <c r="B963" s="209"/>
      <c r="C963" s="209"/>
      <c r="D963" s="209"/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  <c r="S963" s="209"/>
      <c r="T963" s="209"/>
      <c r="U963" s="209"/>
      <c r="V963" s="209"/>
      <c r="W963" s="209"/>
      <c r="X963" s="209"/>
      <c r="Y963" s="209"/>
      <c r="Z963" s="209"/>
    </row>
    <row r="964" ht="12.75" customHeight="1">
      <c r="A964" s="209"/>
      <c r="B964" s="209"/>
      <c r="C964" s="209"/>
      <c r="D964" s="209"/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  <c r="S964" s="209"/>
      <c r="T964" s="209"/>
      <c r="U964" s="209"/>
      <c r="V964" s="209"/>
      <c r="W964" s="209"/>
      <c r="X964" s="209"/>
      <c r="Y964" s="209"/>
      <c r="Z964" s="209"/>
    </row>
    <row r="965" ht="12.75" customHeight="1">
      <c r="A965" s="209"/>
      <c r="B965" s="209"/>
      <c r="C965" s="209"/>
      <c r="D965" s="209"/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  <c r="S965" s="209"/>
      <c r="T965" s="209"/>
      <c r="U965" s="209"/>
      <c r="V965" s="209"/>
      <c r="W965" s="209"/>
      <c r="X965" s="209"/>
      <c r="Y965" s="209"/>
      <c r="Z965" s="209"/>
    </row>
    <row r="966" ht="12.75" customHeight="1">
      <c r="A966" s="209"/>
      <c r="B966" s="209"/>
      <c r="C966" s="209"/>
      <c r="D966" s="209"/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  <c r="S966" s="209"/>
      <c r="T966" s="209"/>
      <c r="U966" s="209"/>
      <c r="V966" s="209"/>
      <c r="W966" s="209"/>
      <c r="X966" s="209"/>
      <c r="Y966" s="209"/>
      <c r="Z966" s="209"/>
    </row>
    <row r="967" ht="12.75" customHeight="1">
      <c r="A967" s="209"/>
      <c r="B967" s="209"/>
      <c r="C967" s="209"/>
      <c r="D967" s="209"/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  <c r="S967" s="209"/>
      <c r="T967" s="209"/>
      <c r="U967" s="209"/>
      <c r="V967" s="209"/>
      <c r="W967" s="209"/>
      <c r="X967" s="209"/>
      <c r="Y967" s="209"/>
      <c r="Z967" s="209"/>
    </row>
    <row r="968" ht="12.75" customHeight="1">
      <c r="A968" s="209"/>
      <c r="B968" s="209"/>
      <c r="C968" s="209"/>
      <c r="D968" s="209"/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  <c r="S968" s="209"/>
      <c r="T968" s="209"/>
      <c r="U968" s="209"/>
      <c r="V968" s="209"/>
      <c r="W968" s="209"/>
      <c r="X968" s="209"/>
      <c r="Y968" s="209"/>
      <c r="Z968" s="209"/>
    </row>
    <row r="969" ht="12.75" customHeight="1">
      <c r="A969" s="209"/>
      <c r="B969" s="209"/>
      <c r="C969" s="209"/>
      <c r="D969" s="209"/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  <c r="S969" s="209"/>
      <c r="T969" s="209"/>
      <c r="U969" s="209"/>
      <c r="V969" s="209"/>
      <c r="W969" s="209"/>
      <c r="X969" s="209"/>
      <c r="Y969" s="209"/>
      <c r="Z969" s="209"/>
    </row>
    <row r="970" ht="12.75" customHeight="1">
      <c r="A970" s="209"/>
      <c r="B970" s="209"/>
      <c r="C970" s="209"/>
      <c r="D970" s="209"/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  <c r="S970" s="209"/>
      <c r="T970" s="209"/>
      <c r="U970" s="209"/>
      <c r="V970" s="209"/>
      <c r="W970" s="209"/>
      <c r="X970" s="209"/>
      <c r="Y970" s="209"/>
      <c r="Z970" s="209"/>
    </row>
    <row r="971" ht="12.75" customHeight="1">
      <c r="A971" s="209"/>
      <c r="B971" s="209"/>
      <c r="C971" s="209"/>
      <c r="D971" s="209"/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  <c r="S971" s="209"/>
      <c r="T971" s="209"/>
      <c r="U971" s="209"/>
      <c r="V971" s="209"/>
      <c r="W971" s="209"/>
      <c r="X971" s="209"/>
      <c r="Y971" s="209"/>
      <c r="Z971" s="209"/>
    </row>
    <row r="972" ht="12.75" customHeight="1">
      <c r="A972" s="209"/>
      <c r="B972" s="209"/>
      <c r="C972" s="209"/>
      <c r="D972" s="209"/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  <c r="S972" s="209"/>
      <c r="T972" s="209"/>
      <c r="U972" s="209"/>
      <c r="V972" s="209"/>
      <c r="W972" s="209"/>
      <c r="X972" s="209"/>
      <c r="Y972" s="209"/>
      <c r="Z972" s="209"/>
    </row>
    <row r="973" ht="12.75" customHeight="1">
      <c r="A973" s="209"/>
      <c r="B973" s="209"/>
      <c r="C973" s="209"/>
      <c r="D973" s="209"/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  <c r="S973" s="209"/>
      <c r="T973" s="209"/>
      <c r="U973" s="209"/>
      <c r="V973" s="209"/>
      <c r="W973" s="209"/>
      <c r="X973" s="209"/>
      <c r="Y973" s="209"/>
      <c r="Z973" s="209"/>
    </row>
    <row r="974" ht="12.75" customHeight="1">
      <c r="A974" s="209"/>
      <c r="B974" s="209"/>
      <c r="C974" s="209"/>
      <c r="D974" s="209"/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  <c r="S974" s="209"/>
      <c r="T974" s="209"/>
      <c r="U974" s="209"/>
      <c r="V974" s="209"/>
      <c r="W974" s="209"/>
      <c r="X974" s="209"/>
      <c r="Y974" s="209"/>
      <c r="Z974" s="209"/>
    </row>
    <row r="975" ht="12.75" customHeight="1">
      <c r="A975" s="209"/>
      <c r="B975" s="209"/>
      <c r="C975" s="209"/>
      <c r="D975" s="209"/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  <c r="S975" s="209"/>
      <c r="T975" s="209"/>
      <c r="U975" s="209"/>
      <c r="V975" s="209"/>
      <c r="W975" s="209"/>
      <c r="X975" s="209"/>
      <c r="Y975" s="209"/>
      <c r="Z975" s="209"/>
    </row>
    <row r="976" ht="12.75" customHeight="1">
      <c r="A976" s="209"/>
      <c r="B976" s="209"/>
      <c r="C976" s="209"/>
      <c r="D976" s="209"/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  <c r="S976" s="209"/>
      <c r="T976" s="209"/>
      <c r="U976" s="209"/>
      <c r="V976" s="209"/>
      <c r="W976" s="209"/>
      <c r="X976" s="209"/>
      <c r="Y976" s="209"/>
      <c r="Z976" s="209"/>
    </row>
    <row r="977" ht="12.75" customHeight="1">
      <c r="A977" s="209"/>
      <c r="B977" s="209"/>
      <c r="C977" s="209"/>
      <c r="D977" s="209"/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  <c r="S977" s="209"/>
      <c r="T977" s="209"/>
      <c r="U977" s="209"/>
      <c r="V977" s="209"/>
      <c r="W977" s="209"/>
      <c r="X977" s="209"/>
      <c r="Y977" s="209"/>
      <c r="Z977" s="209"/>
    </row>
    <row r="978" ht="12.75" customHeight="1">
      <c r="A978" s="209"/>
      <c r="B978" s="209"/>
      <c r="C978" s="209"/>
      <c r="D978" s="209"/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  <c r="S978" s="209"/>
      <c r="T978" s="209"/>
      <c r="U978" s="209"/>
      <c r="V978" s="209"/>
      <c r="W978" s="209"/>
      <c r="X978" s="209"/>
      <c r="Y978" s="209"/>
      <c r="Z978" s="209"/>
    </row>
    <row r="979" ht="12.75" customHeight="1">
      <c r="A979" s="209"/>
      <c r="B979" s="209"/>
      <c r="C979" s="209"/>
      <c r="D979" s="209"/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  <c r="S979" s="209"/>
      <c r="T979" s="209"/>
      <c r="U979" s="209"/>
      <c r="V979" s="209"/>
      <c r="W979" s="209"/>
      <c r="X979" s="209"/>
      <c r="Y979" s="209"/>
      <c r="Z979" s="209"/>
    </row>
    <row r="980" ht="12.75" customHeight="1">
      <c r="A980" s="209"/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  <c r="X980" s="209"/>
      <c r="Y980" s="209"/>
      <c r="Z980" s="209"/>
    </row>
    <row r="981" ht="12.75" customHeight="1">
      <c r="A981" s="209"/>
      <c r="B981" s="209"/>
      <c r="C981" s="209"/>
      <c r="D981" s="209"/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  <c r="S981" s="209"/>
      <c r="T981" s="209"/>
      <c r="U981" s="209"/>
      <c r="V981" s="209"/>
      <c r="W981" s="209"/>
      <c r="X981" s="209"/>
      <c r="Y981" s="209"/>
      <c r="Z981" s="209"/>
    </row>
    <row r="982" ht="12.75" customHeight="1">
      <c r="A982" s="209"/>
      <c r="B982" s="209"/>
      <c r="C982" s="209"/>
      <c r="D982" s="209"/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  <c r="S982" s="209"/>
      <c r="T982" s="209"/>
      <c r="U982" s="209"/>
      <c r="V982" s="209"/>
      <c r="W982" s="209"/>
      <c r="X982" s="209"/>
      <c r="Y982" s="209"/>
      <c r="Z982" s="209"/>
    </row>
    <row r="983" ht="12.75" customHeight="1">
      <c r="A983" s="209"/>
      <c r="B983" s="209"/>
      <c r="C983" s="209"/>
      <c r="D983" s="209"/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  <c r="S983" s="209"/>
      <c r="T983" s="209"/>
      <c r="U983" s="209"/>
      <c r="V983" s="209"/>
      <c r="W983" s="209"/>
      <c r="X983" s="209"/>
      <c r="Y983" s="209"/>
      <c r="Z983" s="209"/>
    </row>
    <row r="984" ht="12.75" customHeight="1">
      <c r="A984" s="209"/>
      <c r="B984" s="209"/>
      <c r="C984" s="209"/>
      <c r="D984" s="209"/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  <c r="S984" s="209"/>
      <c r="T984" s="209"/>
      <c r="U984" s="209"/>
      <c r="V984" s="209"/>
      <c r="W984" s="209"/>
      <c r="X984" s="209"/>
      <c r="Y984" s="209"/>
      <c r="Z984" s="209"/>
    </row>
    <row r="985" ht="12.75" customHeight="1">
      <c r="A985" s="209"/>
      <c r="B985" s="209"/>
      <c r="C985" s="209"/>
      <c r="D985" s="209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  <c r="S985" s="209"/>
      <c r="T985" s="209"/>
      <c r="U985" s="209"/>
      <c r="V985" s="209"/>
      <c r="W985" s="209"/>
      <c r="X985" s="209"/>
      <c r="Y985" s="209"/>
      <c r="Z985" s="209"/>
    </row>
    <row r="986" ht="12.75" customHeight="1">
      <c r="A986" s="209"/>
      <c r="B986" s="209"/>
      <c r="C986" s="209"/>
      <c r="D986" s="209"/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  <c r="S986" s="209"/>
      <c r="T986" s="209"/>
      <c r="U986" s="209"/>
      <c r="V986" s="209"/>
      <c r="W986" s="209"/>
      <c r="X986" s="209"/>
      <c r="Y986" s="209"/>
      <c r="Z986" s="209"/>
    </row>
    <row r="987" ht="12.75" customHeight="1">
      <c r="A987" s="209"/>
      <c r="B987" s="209"/>
      <c r="C987" s="209"/>
      <c r="D987" s="209"/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  <c r="S987" s="209"/>
      <c r="T987" s="209"/>
      <c r="U987" s="209"/>
      <c r="V987" s="209"/>
      <c r="W987" s="209"/>
      <c r="X987" s="209"/>
      <c r="Y987" s="209"/>
      <c r="Z987" s="209"/>
    </row>
    <row r="988" ht="12.75" customHeight="1">
      <c r="A988" s="209"/>
      <c r="B988" s="209"/>
      <c r="C988" s="209"/>
      <c r="D988" s="209"/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  <c r="S988" s="209"/>
      <c r="T988" s="209"/>
      <c r="U988" s="209"/>
      <c r="V988" s="209"/>
      <c r="W988" s="209"/>
      <c r="X988" s="209"/>
      <c r="Y988" s="209"/>
      <c r="Z988" s="209"/>
    </row>
    <row r="989" ht="12.75" customHeight="1">
      <c r="A989" s="209"/>
      <c r="B989" s="209"/>
      <c r="C989" s="209"/>
      <c r="D989" s="209"/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  <c r="S989" s="209"/>
      <c r="T989" s="209"/>
      <c r="U989" s="209"/>
      <c r="V989" s="209"/>
      <c r="W989" s="209"/>
      <c r="X989" s="209"/>
      <c r="Y989" s="209"/>
      <c r="Z989" s="209"/>
    </row>
    <row r="990" ht="12.75" customHeight="1">
      <c r="A990" s="209"/>
      <c r="B990" s="209"/>
      <c r="C990" s="209"/>
      <c r="D990" s="209"/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  <c r="S990" s="209"/>
      <c r="T990" s="209"/>
      <c r="U990" s="209"/>
      <c r="V990" s="209"/>
      <c r="W990" s="209"/>
      <c r="X990" s="209"/>
      <c r="Y990" s="209"/>
      <c r="Z990" s="209"/>
    </row>
    <row r="991" ht="12.75" customHeight="1">
      <c r="A991" s="209"/>
      <c r="B991" s="209"/>
      <c r="C991" s="209"/>
      <c r="D991" s="209"/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  <c r="S991" s="209"/>
      <c r="T991" s="209"/>
      <c r="U991" s="209"/>
      <c r="V991" s="209"/>
      <c r="W991" s="209"/>
      <c r="X991" s="209"/>
      <c r="Y991" s="209"/>
      <c r="Z991" s="209"/>
    </row>
    <row r="992" ht="12.75" customHeight="1">
      <c r="A992" s="209"/>
      <c r="B992" s="209"/>
      <c r="C992" s="209"/>
      <c r="D992" s="209"/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  <c r="S992" s="209"/>
      <c r="T992" s="209"/>
      <c r="U992" s="209"/>
      <c r="V992" s="209"/>
      <c r="W992" s="209"/>
      <c r="X992" s="209"/>
      <c r="Y992" s="209"/>
      <c r="Z992" s="209"/>
    </row>
    <row r="993" ht="12.75" customHeight="1">
      <c r="A993" s="209"/>
      <c r="B993" s="209"/>
      <c r="C993" s="209"/>
      <c r="D993" s="209"/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  <c r="S993" s="209"/>
      <c r="T993" s="209"/>
      <c r="U993" s="209"/>
      <c r="V993" s="209"/>
      <c r="W993" s="209"/>
      <c r="X993" s="209"/>
      <c r="Y993" s="209"/>
      <c r="Z993" s="209"/>
    </row>
    <row r="994" ht="12.75" customHeight="1">
      <c r="A994" s="209"/>
      <c r="B994" s="209"/>
      <c r="C994" s="209"/>
      <c r="D994" s="209"/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  <c r="S994" s="209"/>
      <c r="T994" s="209"/>
      <c r="U994" s="209"/>
      <c r="V994" s="209"/>
      <c r="W994" s="209"/>
      <c r="X994" s="209"/>
      <c r="Y994" s="209"/>
      <c r="Z994" s="209"/>
    </row>
    <row r="995" ht="12.75" customHeight="1">
      <c r="A995" s="209"/>
      <c r="B995" s="209"/>
      <c r="C995" s="209"/>
      <c r="D995" s="209"/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  <c r="S995" s="209"/>
      <c r="T995" s="209"/>
      <c r="U995" s="209"/>
      <c r="V995" s="209"/>
      <c r="W995" s="209"/>
      <c r="X995" s="209"/>
      <c r="Y995" s="209"/>
      <c r="Z995" s="209"/>
    </row>
    <row r="996" ht="12.75" customHeight="1">
      <c r="A996" s="209"/>
      <c r="B996" s="209"/>
      <c r="C996" s="209"/>
      <c r="D996" s="209"/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  <c r="S996" s="209"/>
      <c r="T996" s="209"/>
      <c r="U996" s="209"/>
      <c r="V996" s="209"/>
      <c r="W996" s="209"/>
      <c r="X996" s="209"/>
      <c r="Y996" s="209"/>
      <c r="Z996" s="209"/>
    </row>
    <row r="997" ht="12.75" customHeight="1">
      <c r="A997" s="209"/>
      <c r="B997" s="209"/>
      <c r="C997" s="209"/>
      <c r="D997" s="209"/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  <c r="S997" s="209"/>
      <c r="T997" s="209"/>
      <c r="U997" s="209"/>
      <c r="V997" s="209"/>
      <c r="W997" s="209"/>
      <c r="X997" s="209"/>
      <c r="Y997" s="209"/>
      <c r="Z997" s="209"/>
    </row>
    <row r="998" ht="12.75" customHeight="1">
      <c r="A998" s="209"/>
      <c r="B998" s="209"/>
      <c r="C998" s="209"/>
      <c r="D998" s="209"/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  <c r="S998" s="209"/>
      <c r="T998" s="209"/>
      <c r="U998" s="209"/>
      <c r="V998" s="209"/>
      <c r="W998" s="209"/>
      <c r="X998" s="209"/>
      <c r="Y998" s="209"/>
      <c r="Z998" s="209"/>
    </row>
    <row r="999" ht="12.75" customHeight="1">
      <c r="A999" s="209"/>
      <c r="B999" s="209"/>
      <c r="C999" s="209"/>
      <c r="D999" s="209"/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  <c r="S999" s="209"/>
      <c r="T999" s="209"/>
      <c r="U999" s="209"/>
      <c r="V999" s="209"/>
      <c r="W999" s="209"/>
      <c r="X999" s="209"/>
      <c r="Y999" s="209"/>
      <c r="Z999" s="209"/>
    </row>
    <row r="1000" ht="12.75" customHeight="1">
      <c r="A1000" s="209"/>
      <c r="B1000" s="209"/>
      <c r="C1000" s="209"/>
      <c r="D1000" s="209"/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  <c r="S1000" s="209"/>
      <c r="T1000" s="209"/>
      <c r="U1000" s="209"/>
      <c r="V1000" s="209"/>
      <c r="W1000" s="209"/>
      <c r="X1000" s="209"/>
      <c r="Y1000" s="209"/>
      <c r="Z1000" s="209"/>
    </row>
    <row r="1001" ht="12.75" customHeight="1">
      <c r="A1001" s="209"/>
      <c r="B1001" s="209"/>
      <c r="C1001" s="209"/>
      <c r="D1001" s="209"/>
      <c r="E1001" s="209"/>
      <c r="F1001" s="209"/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  <c r="S1001" s="209"/>
      <c r="T1001" s="209"/>
      <c r="U1001" s="209"/>
      <c r="V1001" s="209"/>
      <c r="W1001" s="209"/>
      <c r="X1001" s="209"/>
      <c r="Y1001" s="209"/>
      <c r="Z1001" s="209"/>
    </row>
    <row r="1002" ht="12.75" customHeight="1">
      <c r="A1002" s="209"/>
      <c r="B1002" s="209"/>
      <c r="C1002" s="209"/>
      <c r="D1002" s="209"/>
      <c r="E1002" s="209"/>
      <c r="F1002" s="209"/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  <c r="S1002" s="209"/>
      <c r="T1002" s="209"/>
      <c r="U1002" s="209"/>
      <c r="V1002" s="209"/>
      <c r="W1002" s="209"/>
      <c r="X1002" s="209"/>
      <c r="Y1002" s="209"/>
      <c r="Z1002" s="209"/>
    </row>
  </sheetData>
  <mergeCells count="89">
    <mergeCell ref="A1:K3"/>
    <mergeCell ref="A6:K6"/>
    <mergeCell ref="A7:K8"/>
    <mergeCell ref="A9:K10"/>
    <mergeCell ref="F11:G11"/>
    <mergeCell ref="H11:I11"/>
    <mergeCell ref="J11:K11"/>
    <mergeCell ref="G12:G13"/>
    <mergeCell ref="J12:J13"/>
    <mergeCell ref="K12:K13"/>
    <mergeCell ref="A14:K14"/>
    <mergeCell ref="C11:D11"/>
    <mergeCell ref="A12:A13"/>
    <mergeCell ref="B12:B13"/>
    <mergeCell ref="C12:C13"/>
    <mergeCell ref="D12:D13"/>
    <mergeCell ref="E12:E13"/>
    <mergeCell ref="F12:F13"/>
    <mergeCell ref="J15:J16"/>
    <mergeCell ref="K15:K16"/>
    <mergeCell ref="J18:J19"/>
    <mergeCell ref="K18:K19"/>
    <mergeCell ref="B15:B16"/>
    <mergeCell ref="C15:C16"/>
    <mergeCell ref="D15:D16"/>
    <mergeCell ref="E15:E16"/>
    <mergeCell ref="F15:F16"/>
    <mergeCell ref="G15:G16"/>
    <mergeCell ref="A17:K17"/>
    <mergeCell ref="G18:G19"/>
    <mergeCell ref="A20:K20"/>
    <mergeCell ref="A15:A16"/>
    <mergeCell ref="A18:A19"/>
    <mergeCell ref="B18:B19"/>
    <mergeCell ref="C18:C19"/>
    <mergeCell ref="D18:D19"/>
    <mergeCell ref="E18:E19"/>
    <mergeCell ref="F18:F19"/>
    <mergeCell ref="A27:A28"/>
    <mergeCell ref="B30:B31"/>
    <mergeCell ref="C30:C31"/>
    <mergeCell ref="D30:D31"/>
    <mergeCell ref="E30:E31"/>
    <mergeCell ref="F30:F31"/>
    <mergeCell ref="G30:G31"/>
    <mergeCell ref="A30:A31"/>
    <mergeCell ref="A32:A33"/>
    <mergeCell ref="B32:B33"/>
    <mergeCell ref="C32:C33"/>
    <mergeCell ref="D32:D33"/>
    <mergeCell ref="E32:E33"/>
    <mergeCell ref="F32:F33"/>
    <mergeCell ref="J21:J22"/>
    <mergeCell ref="K21:K22"/>
    <mergeCell ref="J24:J25"/>
    <mergeCell ref="K24:K25"/>
    <mergeCell ref="B21:B22"/>
    <mergeCell ref="C21:C22"/>
    <mergeCell ref="D21:D22"/>
    <mergeCell ref="E21:E22"/>
    <mergeCell ref="F21:F22"/>
    <mergeCell ref="G21:G22"/>
    <mergeCell ref="A23:K23"/>
    <mergeCell ref="G24:G25"/>
    <mergeCell ref="A26:K26"/>
    <mergeCell ref="A21:A22"/>
    <mergeCell ref="A24:A25"/>
    <mergeCell ref="B24:B25"/>
    <mergeCell ref="C24:C25"/>
    <mergeCell ref="D24:D25"/>
    <mergeCell ref="E24:E25"/>
    <mergeCell ref="F24:F25"/>
    <mergeCell ref="J27:J28"/>
    <mergeCell ref="K27:K28"/>
    <mergeCell ref="J30:J31"/>
    <mergeCell ref="K30:K31"/>
    <mergeCell ref="J32:J33"/>
    <mergeCell ref="K32:K33"/>
    <mergeCell ref="B27:B28"/>
    <mergeCell ref="C27:C28"/>
    <mergeCell ref="D27:D28"/>
    <mergeCell ref="E27:E28"/>
    <mergeCell ref="F27:F28"/>
    <mergeCell ref="G27:G28"/>
    <mergeCell ref="A29:K29"/>
    <mergeCell ref="G32:G33"/>
    <mergeCell ref="A34:K34"/>
    <mergeCell ref="A35:G35"/>
    <mergeCell ref="A36:K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Anthony Sammut</dc:creator>
</cp:coreProperties>
</file>