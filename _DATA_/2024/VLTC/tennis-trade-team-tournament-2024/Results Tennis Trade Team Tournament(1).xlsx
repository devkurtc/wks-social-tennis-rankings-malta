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Semi Final" sheetId="9" r:id="rId12"/>
    <sheet state="visible" name="Final" sheetId="10" r:id="rId13"/>
  </sheets>
  <definedNames>
    <definedName hidden="1" localSheetId="1" name="_xlnm._FilterDatabase">'Encounters Played'!$A$5:$Q$18</definedName>
  </definedNames>
  <calcPr/>
  <extLst>
    <ext uri="GoogleSheetsCustomDataVersion2">
      <go:sheetsCustomData xmlns:go="http://customooxmlschemas.google.com/" r:id="rId14" roundtripDataChecksum="Ehp2Lup0xKn66Fw7+vqAXGY1tCpcmEWgrLgKN8H9OAg="/>
    </ext>
  </extLst>
</workbook>
</file>

<file path=xl/sharedStrings.xml><?xml version="1.0" encoding="utf-8"?>
<sst xmlns="http://schemas.openxmlformats.org/spreadsheetml/2006/main" count="1612" uniqueCount="294">
  <si>
    <t xml:space="preserve">  </t>
  </si>
  <si>
    <t>TENNIS TRADE TEAM TOURNAMENT 2024</t>
  </si>
  <si>
    <t>A</t>
  </si>
  <si>
    <t>B</t>
  </si>
  <si>
    <t>C</t>
  </si>
  <si>
    <t>D</t>
  </si>
  <si>
    <t>E</t>
  </si>
  <si>
    <t>F</t>
  </si>
  <si>
    <t>CAPTAIN</t>
  </si>
  <si>
    <t>Alison Muscat</t>
  </si>
  <si>
    <t>Lonia Carabott</t>
  </si>
  <si>
    <t>Kaya Sammut</t>
  </si>
  <si>
    <t>Kelsey Gauci</t>
  </si>
  <si>
    <t>Juan Sammut</t>
  </si>
  <si>
    <t>Francesca Sciortino</t>
  </si>
  <si>
    <t>Alla Maghna</t>
  </si>
  <si>
    <t>Love All</t>
  </si>
  <si>
    <t>Challengers</t>
  </si>
  <si>
    <t>Destroyers</t>
  </si>
  <si>
    <t>Elite</t>
  </si>
  <si>
    <t>Fireball</t>
  </si>
  <si>
    <t>MEN</t>
  </si>
  <si>
    <t>A1</t>
  </si>
  <si>
    <t>Matthew Mifsud</t>
  </si>
  <si>
    <t>Clayton Zammit Cesare</t>
  </si>
  <si>
    <t>Jesmond Pule'</t>
  </si>
  <si>
    <t>Melchior Farrugia</t>
  </si>
  <si>
    <t>Matthew Borg</t>
  </si>
  <si>
    <t>Adrian Chetcuti</t>
  </si>
  <si>
    <t>A2</t>
  </si>
  <si>
    <t>Clyde Grech</t>
  </si>
  <si>
    <t>Kurt Carabott</t>
  </si>
  <si>
    <t>Jean Attard</t>
  </si>
  <si>
    <t>Marco Mercieca</t>
  </si>
  <si>
    <t>Duncan D'Alessandro</t>
  </si>
  <si>
    <t>Claude Mifsud Wismayer</t>
  </si>
  <si>
    <t>A3</t>
  </si>
  <si>
    <t>David Schembri</t>
  </si>
  <si>
    <t>Keith Micallef</t>
  </si>
  <si>
    <t>Manuel Bonello</t>
  </si>
  <si>
    <t>Gabriel Pace</t>
  </si>
  <si>
    <t>Kurt Cassar</t>
  </si>
  <si>
    <t>John Azzopardi</t>
  </si>
  <si>
    <t>B1</t>
  </si>
  <si>
    <t>Chi Chi Canonce</t>
  </si>
  <si>
    <t>Roderick Spiteri</t>
  </si>
  <si>
    <t>Jonathan Vella</t>
  </si>
  <si>
    <t>Ivan Cachia</t>
  </si>
  <si>
    <t>Roberto Murdocco</t>
  </si>
  <si>
    <t>Cyril Lastimosa</t>
  </si>
  <si>
    <t>B2</t>
  </si>
  <si>
    <t>Lydon Vella</t>
  </si>
  <si>
    <t>Kevin Formosa</t>
  </si>
  <si>
    <t>Jayboy Lastimosa</t>
  </si>
  <si>
    <t>Clint Agius</t>
  </si>
  <si>
    <t>Emman Xuereb</t>
  </si>
  <si>
    <t>Kristen Cachia</t>
  </si>
  <si>
    <t>B3</t>
  </si>
  <si>
    <t>Mavric Sawyer</t>
  </si>
  <si>
    <t>Julian Bilocca</t>
  </si>
  <si>
    <t>Gene Zammit</t>
  </si>
  <si>
    <t>Ivan Cassar</t>
  </si>
  <si>
    <t>Willem Steenkamer</t>
  </si>
  <si>
    <t>Neville Sciriha</t>
  </si>
  <si>
    <t>C1</t>
  </si>
  <si>
    <t>Kyle Magro</t>
  </si>
  <si>
    <t>Manuel Mifsud</t>
  </si>
  <si>
    <t>Jean Paul Vella</t>
  </si>
  <si>
    <t>Frans Ellul</t>
  </si>
  <si>
    <t>Max Anastasi</t>
  </si>
  <si>
    <t>Julian Esposito</t>
  </si>
  <si>
    <t>C2</t>
  </si>
  <si>
    <t>Juan Debono</t>
  </si>
  <si>
    <t>Maurice Borg</t>
  </si>
  <si>
    <t>Steve Gambin</t>
  </si>
  <si>
    <t>Darrel Pace</t>
  </si>
  <si>
    <t>Charles Sacco</t>
  </si>
  <si>
    <t>Matthew Schembri</t>
  </si>
  <si>
    <t>C3</t>
  </si>
  <si>
    <t>Victor Rutter</t>
  </si>
  <si>
    <t>Ryan Ebejer</t>
  </si>
  <si>
    <t>Dunstan Vella</t>
  </si>
  <si>
    <t>Isaac Joseph Zammit</t>
  </si>
  <si>
    <t>David Camilleri</t>
  </si>
  <si>
    <t>Charles Micallef</t>
  </si>
  <si>
    <t>D1</t>
  </si>
  <si>
    <t>Donald Deguzman</t>
  </si>
  <si>
    <t>Cory Greenland</t>
  </si>
  <si>
    <t>Matthew Micallef</t>
  </si>
  <si>
    <t>Kenneth Caruana</t>
  </si>
  <si>
    <t>Antoine Bugeja</t>
  </si>
  <si>
    <t>Charles Borg Grech</t>
  </si>
  <si>
    <t>D2</t>
  </si>
  <si>
    <t>Joseph Randich</t>
  </si>
  <si>
    <t>JP Sciberras</t>
  </si>
  <si>
    <t>Justin Scicluna</t>
  </si>
  <si>
    <t>Isaac Baldacchino</t>
  </si>
  <si>
    <t>Adam Green</t>
  </si>
  <si>
    <t>Glenn Micallef</t>
  </si>
  <si>
    <t>D3</t>
  </si>
  <si>
    <t>Chris Vella</t>
  </si>
  <si>
    <t>Mario Abdilla</t>
  </si>
  <si>
    <t>Michael Bugeja</t>
  </si>
  <si>
    <t>Kevin Sciberras</t>
  </si>
  <si>
    <t>Twanny Pule'</t>
  </si>
  <si>
    <t>Robert Attard</t>
  </si>
  <si>
    <t>LADIES</t>
  </si>
  <si>
    <t>Natalya Abela</t>
  </si>
  <si>
    <t>Lara Pule'</t>
  </si>
  <si>
    <t>Annmarie Mangion</t>
  </si>
  <si>
    <t>Martina Cuschieri</t>
  </si>
  <si>
    <t>Kim Fava</t>
  </si>
  <si>
    <t>Renette Magro</t>
  </si>
  <si>
    <t>Amanda Falzon</t>
  </si>
  <si>
    <t>Kirsty Mercieca</t>
  </si>
  <si>
    <t>Pierina Holmin</t>
  </si>
  <si>
    <t>Anthea Gauci</t>
  </si>
  <si>
    <t>Olivia Belli</t>
  </si>
  <si>
    <t>Diane Fenech</t>
  </si>
  <si>
    <t>Tiziana Anastasi</t>
  </si>
  <si>
    <t>Anabel Borg</t>
  </si>
  <si>
    <t>Annabelle Abela</t>
  </si>
  <si>
    <t>Julie Spiteri</t>
  </si>
  <si>
    <t>Doriana Portelli</t>
  </si>
  <si>
    <t>Kristina Briffa</t>
  </si>
  <si>
    <t>Romina Gauci</t>
  </si>
  <si>
    <t>Alexia Gouder</t>
  </si>
  <si>
    <t>Silvana Portelli</t>
  </si>
  <si>
    <t>Marcette Sciriha</t>
  </si>
  <si>
    <t>Mariska Steenkamer</t>
  </si>
  <si>
    <t>Stephanie Farrugia</t>
  </si>
  <si>
    <t>Dominique Francica</t>
  </si>
  <si>
    <t>Brenda Baldacchino</t>
  </si>
  <si>
    <t>Jin Attard</t>
  </si>
  <si>
    <t>Ann Marie Attard</t>
  </si>
  <si>
    <t>Sarah Axiaq</t>
  </si>
  <si>
    <t>Angele Pule'</t>
  </si>
  <si>
    <t>Tanya Cassar</t>
  </si>
  <si>
    <t>Deborah Farrugia</t>
  </si>
  <si>
    <t>Heidi Tabone</t>
  </si>
  <si>
    <t>Maria Ellul</t>
  </si>
  <si>
    <t>Ruth Micallef</t>
  </si>
  <si>
    <t>Maria Angela Gambin</t>
  </si>
  <si>
    <t>Christine Seychell</t>
  </si>
  <si>
    <t>Daphne Vella</t>
  </si>
  <si>
    <t>Marica Cassar</t>
  </si>
  <si>
    <t>Leanne Sammut</t>
  </si>
  <si>
    <t>Janice Galea</t>
  </si>
  <si>
    <t>Jodie Stivala</t>
  </si>
  <si>
    <t>Anna Napier</t>
  </si>
  <si>
    <t>Christine Scerri</t>
  </si>
  <si>
    <t>Stefania Camilleri</t>
  </si>
  <si>
    <t>Jean Frendo</t>
  </si>
  <si>
    <t>Mary Borg</t>
  </si>
  <si>
    <t>Ben Fenech</t>
  </si>
  <si>
    <t>Lillian Baldacchino</t>
  </si>
  <si>
    <t>VITTORIOSA LAWN TENNIS CLUB</t>
  </si>
  <si>
    <t>Day</t>
  </si>
  <si>
    <t>Total</t>
  </si>
  <si>
    <t>Alison Muscat (Alla Maghna)</t>
  </si>
  <si>
    <t>Lonia Carabott (Love All)</t>
  </si>
  <si>
    <t>Lara Pule`</t>
  </si>
  <si>
    <t>Kaya Sammut (Challengers)</t>
  </si>
  <si>
    <t>Column 1</t>
  </si>
  <si>
    <t>Column 2</t>
  </si>
  <si>
    <t>Column 3</t>
  </si>
  <si>
    <t>Column 4</t>
  </si>
  <si>
    <t>Column 5</t>
  </si>
  <si>
    <t>Column 6</t>
  </si>
  <si>
    <t>Kelsey Gauci (Destroyers)</t>
  </si>
  <si>
    <t>Column 7</t>
  </si>
  <si>
    <t>Column 8</t>
  </si>
  <si>
    <t>Column 9</t>
  </si>
  <si>
    <t>Column 10</t>
  </si>
  <si>
    <t>Column 11</t>
  </si>
  <si>
    <t>Column 12</t>
  </si>
  <si>
    <t>Jesmond Pule`</t>
  </si>
  <si>
    <t>Darrell Pace</t>
  </si>
  <si>
    <t>Ann Marie Mangion</t>
  </si>
  <si>
    <t>Angele Pule`</t>
  </si>
  <si>
    <t>Juan Sammut (Elite)</t>
  </si>
  <si>
    <t>Francesca Sciortino (Fireball)</t>
  </si>
  <si>
    <t>Duncan D`alessandro</t>
  </si>
  <si>
    <t>Twanny Pule`</t>
  </si>
  <si>
    <t>Bernardette Fenech</t>
  </si>
  <si>
    <t>TENNIS TRADE TEAM TOURNAMENT 2023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</si>
  <si>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</si>
  <si>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</si>
  <si>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</si>
  <si>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</si>
  <si>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</si>
  <si>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</si>
  <si>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</si>
  <si>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</si>
  <si>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</si>
  <si>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</si>
  <si>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</si>
  <si>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</si>
  <si>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</si>
  <si>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TEAM A: Alison Muscat (Alla Maghna)</t>
  </si>
  <si>
    <t>Wednesday</t>
  </si>
  <si>
    <t>Friday</t>
  </si>
  <si>
    <t>TEAM B:  Lonia Carabott (Love All)</t>
  </si>
  <si>
    <t>TEAM C:   Kaya Sammut (Challengers)</t>
  </si>
  <si>
    <t>TEAM D:  Kelsey Gauci (Destroyers)</t>
  </si>
  <si>
    <t>TEAM E:  Juan Sammut (Elite)</t>
  </si>
  <si>
    <t>TEAM F:  Francesca Sciortino (Fireball)</t>
  </si>
  <si>
    <t>Winners:</t>
  </si>
  <si>
    <t>Runners Up:</t>
  </si>
  <si>
    <t>DAY 1 - 30/10/2024 &amp; 01/11/2024</t>
  </si>
  <si>
    <t>Court 1</t>
  </si>
  <si>
    <t>Time</t>
  </si>
  <si>
    <t>Rubber</t>
  </si>
  <si>
    <t>Team A: Alison (Alla Maghna)</t>
  </si>
  <si>
    <t>vs</t>
  </si>
  <si>
    <t>Team C: Kaya (Challengers)</t>
  </si>
  <si>
    <t>Games</t>
  </si>
  <si>
    <t>6.30 pm</t>
  </si>
  <si>
    <t>Men D</t>
  </si>
  <si>
    <t>w/o 0-5</t>
  </si>
  <si>
    <t>7.45 pm</t>
  </si>
  <si>
    <t>Lad A</t>
  </si>
  <si>
    <t>9.00 pm</t>
  </si>
  <si>
    <t>Lad B</t>
  </si>
  <si>
    <t>Total Day 1 A</t>
  </si>
  <si>
    <t>Men A</t>
  </si>
  <si>
    <t>Men B</t>
  </si>
  <si>
    <t>Lad C</t>
  </si>
  <si>
    <t>Men C</t>
  </si>
  <si>
    <t>Total Day 1B</t>
  </si>
  <si>
    <t xml:space="preserve">Total Day 1 </t>
  </si>
  <si>
    <t>Court 2</t>
  </si>
  <si>
    <t>Team B: Lonia  (Love all)</t>
  </si>
  <si>
    <t>Team E: Juan  (Elite)</t>
  </si>
  <si>
    <t xml:space="preserve">7.45 pm </t>
  </si>
  <si>
    <t>Court 4</t>
  </si>
  <si>
    <t>Team D: Kelsey (Destroyers)</t>
  </si>
  <si>
    <t>Team F: Francesca (Fireball)</t>
  </si>
  <si>
    <t>8.00 pm</t>
  </si>
  <si>
    <t xml:space="preserve"> </t>
  </si>
  <si>
    <t>DAY 2 - 08/11/2024 &amp; 04/12/2024</t>
  </si>
  <si>
    <t>Team B: Lonia  (Love All)</t>
  </si>
  <si>
    <t>Total Day 2 A</t>
  </si>
  <si>
    <t>Mario Abdilla (pro Ryan Ebejer)</t>
  </si>
  <si>
    <t>Total Day 2 B</t>
  </si>
  <si>
    <t xml:space="preserve">Total Day 2 </t>
  </si>
  <si>
    <t>7.45pm</t>
  </si>
  <si>
    <t>Natalaya Abela</t>
  </si>
  <si>
    <t>Lydon Vella (PRO)Chi Chi Canonce</t>
  </si>
  <si>
    <t>Kyle Magro (PRO)Mavric Sawyer</t>
  </si>
  <si>
    <t>Julian Esposito (PRO) Neville Sciriha</t>
  </si>
  <si>
    <t>Team E: Juan (Elite)</t>
  </si>
  <si>
    <t>Justin Scicluna (Dem) Michael Bugeja</t>
  </si>
  <si>
    <t>Day 3 - 13/11/2024 &amp; 15/11/2024</t>
  </si>
  <si>
    <t>Anthony Pule'</t>
  </si>
  <si>
    <t>Total Day 3 A</t>
  </si>
  <si>
    <t>Domenique Francica</t>
  </si>
  <si>
    <t>Willem Stennkamer</t>
  </si>
  <si>
    <t>Total Day 3 B</t>
  </si>
  <si>
    <t xml:space="preserve">Total Day 3 </t>
  </si>
  <si>
    <t>Leanne Sammur</t>
  </si>
  <si>
    <t>Jean Atard</t>
  </si>
  <si>
    <t>9.00pm</t>
  </si>
  <si>
    <t>Day 4 - 20/11/2024 &amp; 22/11/2024</t>
  </si>
  <si>
    <t>Total Day 4 A</t>
  </si>
  <si>
    <t>Total Day 4 B</t>
  </si>
  <si>
    <t xml:space="preserve">Total Day 4 </t>
  </si>
  <si>
    <t>Duncan D`Alessandro</t>
  </si>
  <si>
    <t>w/o</t>
  </si>
  <si>
    <t>Anthony Pule`</t>
  </si>
  <si>
    <t>Mon 16th  8.30pm</t>
  </si>
  <si>
    <t>Day 5 - 29/11/2024 &amp; 02/12/2024</t>
  </si>
  <si>
    <t>18 Dec 8.30 pm</t>
  </si>
  <si>
    <t>Total Day 5 A</t>
  </si>
  <si>
    <t>Total Day 5B</t>
  </si>
  <si>
    <t xml:space="preserve">Total Day 5 </t>
  </si>
  <si>
    <t>Max Anastasi (pro Willen Steenkamer)</t>
  </si>
  <si>
    <t>Jean Paul Sciberras</t>
  </si>
  <si>
    <t>Ann-Marie Attard</t>
  </si>
  <si>
    <t>Total Day 5 B</t>
  </si>
  <si>
    <t xml:space="preserve">Semi Final - </t>
  </si>
  <si>
    <t xml:space="preserve">Team : CHALLENGERS </t>
  </si>
  <si>
    <t xml:space="preserve">Team : ELITE CREW </t>
  </si>
  <si>
    <t xml:space="preserve">Max Anastasi </t>
  </si>
  <si>
    <t>Total Day 2B</t>
  </si>
  <si>
    <t>Team : FIREBALL</t>
  </si>
  <si>
    <t>Team : ALLA MAGHNA</t>
  </si>
  <si>
    <t xml:space="preserve">Natalya Abela </t>
  </si>
  <si>
    <t>Final - 22/01/25</t>
  </si>
  <si>
    <t>Team C: Kaya Sammut (Challengers)</t>
  </si>
  <si>
    <t>Team E: Francesca Sciortino (Fireball)</t>
  </si>
  <si>
    <t>Mariska Stennkamer</t>
  </si>
  <si>
    <t>Jean Paul Tabone</t>
  </si>
  <si>
    <t>Total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</si>
</sst>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7">
    <font>
      <sz val="10.0"/>
      <color rgb="FF000000"/>
      <name val="Arial"/>
      <scheme val="minor"/>
    </font>
    <font>
      <b/>
      <sz val="18.0"/>
      <color theme="1"/>
      <name val="Arial"/>
    </font>
    <font>
      <sz val="11.0"/>
      <color theme="1"/>
      <name val="Calibri"/>
    </font>
    <font>
      <b/>
      <i/>
      <sz val="15.0"/>
      <color theme="1"/>
      <name val="Arial"/>
    </font>
    <font/>
    <font>
      <sz val="10.0"/>
      <color theme="1"/>
      <name val="Arial"/>
    </font>
    <font>
      <b/>
      <sz val="12.0"/>
      <color theme="1"/>
      <name val="Tahoma"/>
    </font>
    <font>
      <sz val="12.0"/>
      <color theme="1"/>
      <name val="Calibri"/>
    </font>
    <font>
      <sz val="12.0"/>
      <color theme="1"/>
      <name val="Arial"/>
      <scheme val="minor"/>
    </font>
    <font>
      <b/>
      <sz val="13.0"/>
      <color theme="1"/>
      <name val="Tahoma"/>
    </font>
    <font>
      <b/>
      <sz val="14.0"/>
      <color rgb="FF000000"/>
      <name val="Tahoma"/>
    </font>
    <font>
      <b/>
      <sz val="13.0"/>
      <color theme="1"/>
      <name val="Arial"/>
    </font>
    <font>
      <sz val="11.0"/>
      <color rgb="FF000000"/>
      <name val="Arial"/>
    </font>
    <font>
      <sz val="13.0"/>
      <color theme="1"/>
      <name val="Arial"/>
    </font>
    <font>
      <color rgb="FF000000"/>
      <name val="Arial"/>
    </font>
    <font>
      <sz val="12.0"/>
      <color theme="1"/>
      <name val="Arial"/>
    </font>
    <font>
      <b/>
      <sz val="14.0"/>
      <color rgb="FF000000"/>
      <name val="Arial"/>
    </font>
    <font>
      <b/>
      <color rgb="FF000000"/>
      <name val="Arial"/>
    </font>
    <font>
      <b/>
      <sz val="16.0"/>
      <color theme="1"/>
      <name val="Tahoma"/>
    </font>
    <font>
      <b/>
      <sz val="12.0"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0.0"/>
      <color theme="1"/>
      <name val="Tahoma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FF0000"/>
      <name val="Arial"/>
    </font>
    <font>
      <b/>
      <sz val="11.0"/>
      <color theme="1"/>
      <name val="Arial"/>
    </font>
    <font>
      <b/>
      <sz val="12.0"/>
      <color rgb="FF008000"/>
      <name val="Arial"/>
    </font>
    <font>
      <b/>
      <sz val="12.0"/>
      <color rgb="FF800000"/>
      <name val="Arial"/>
    </font>
    <font>
      <b/>
      <sz val="14.0"/>
      <color rgb="FF800000"/>
      <name val="Arial"/>
    </font>
    <font>
      <sz val="16.0"/>
      <color theme="1"/>
      <name val="Arial"/>
    </font>
    <font>
      <b/>
      <sz val="14.0"/>
      <color rgb="FF008000"/>
      <name val="Arial"/>
    </font>
    <font>
      <b/>
      <sz val="16.0"/>
      <color theme="1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sz val="10.0"/>
      <color theme="1"/>
      <name val="Tahoma"/>
    </font>
    <font>
      <b/>
      <sz val="14.0"/>
      <color theme="1"/>
      <name val="Tahoma"/>
    </font>
    <font>
      <b/>
      <sz val="9.0"/>
      <color theme="1"/>
      <name val="Tahoma"/>
    </font>
    <font>
      <sz val="9.0"/>
      <color theme="1"/>
      <name val="Tahoma"/>
    </font>
    <font>
      <b/>
      <sz val="16.0"/>
      <color rgb="FF000000"/>
      <name val="Tahoma"/>
    </font>
    <font>
      <b/>
      <sz val="8.0"/>
      <color theme="1"/>
      <name val="Tahoma"/>
    </font>
  </fonts>
  <fills count="11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CC"/>
        <bgColor rgb="FFFF99CC"/>
      </patternFill>
    </fill>
  </fills>
  <borders count="67">
    <border/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3366FF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3366FF"/>
      </bottom>
    </border>
    <border>
      <left style="medium">
        <color rgb="FF000000"/>
      </left>
      <right style="thin">
        <color rgb="FF3366FF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3366FF"/>
      </left>
      <right style="thin">
        <color rgb="FF000000"/>
      </right>
      <top style="thin">
        <color rgb="FF000000"/>
      </top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2" fillId="2" fontId="5" numFmtId="0" xfId="0" applyBorder="1" applyFill="1" applyFont="1"/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0" fillId="0" fontId="7" numFmtId="0" xfId="0" applyFont="1"/>
    <xf borderId="0" fillId="0" fontId="8" numFmtId="0" xfId="0" applyFont="1"/>
    <xf borderId="9" fillId="3" fontId="9" numFmtId="0" xfId="0" applyAlignment="1" applyBorder="1" applyFill="1" applyFont="1">
      <alignment horizontal="center" vertical="center"/>
    </xf>
    <xf borderId="9" fillId="3" fontId="9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9" fillId="2" fontId="11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readingOrder="0" vertical="bottom"/>
    </xf>
    <xf borderId="14" fillId="3" fontId="13" numFmtId="0" xfId="0" applyAlignment="1" applyBorder="1" applyFont="1">
      <alignment horizontal="center" vertical="center"/>
    </xf>
    <xf borderId="15" fillId="0" fontId="4" numFmtId="0" xfId="0" applyBorder="1" applyFont="1"/>
    <xf borderId="13" fillId="0" fontId="14" numFmtId="0" xfId="0" applyAlignment="1" applyBorder="1" applyFont="1">
      <alignment horizontal="center" readingOrder="0" vertical="bottom"/>
    </xf>
    <xf borderId="13" fillId="4" fontId="14" numFmtId="0" xfId="0" applyAlignment="1" applyBorder="1" applyFill="1" applyFont="1">
      <alignment horizontal="center" readingOrder="0" vertical="bottom"/>
    </xf>
    <xf borderId="14" fillId="3" fontId="15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3" fillId="0" fontId="17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16" fillId="5" fontId="15" numFmtId="0" xfId="0" applyBorder="1" applyFill="1" applyFont="1"/>
    <xf borderId="9" fillId="5" fontId="19" numFmtId="0" xfId="0" applyBorder="1" applyFont="1"/>
    <xf borderId="9" fillId="5" fontId="19" numFmtId="0" xfId="0" applyAlignment="1" applyBorder="1" applyFont="1">
      <alignment horizontal="center"/>
    </xf>
    <xf borderId="16" fillId="5" fontId="19" numFmtId="0" xfId="0" applyBorder="1" applyFont="1"/>
    <xf borderId="9" fillId="6" fontId="19" numFmtId="0" xfId="0" applyAlignment="1" applyBorder="1" applyFill="1" applyFont="1">
      <alignment horizontal="center"/>
    </xf>
    <xf borderId="9" fillId="7" fontId="6" numFmtId="0" xfId="0" applyAlignment="1" applyBorder="1" applyFill="1" applyFont="1">
      <alignment horizontal="center" readingOrder="0" vertical="center"/>
    </xf>
    <xf borderId="9" fillId="7" fontId="15" numFmtId="0" xfId="0" applyAlignment="1" applyBorder="1" applyFont="1">
      <alignment horizontal="center"/>
    </xf>
    <xf borderId="9" fillId="7" fontId="15" numFmtId="0" xfId="0" applyBorder="1" applyFont="1"/>
    <xf borderId="17" fillId="7" fontId="6" numFmtId="0" xfId="0" applyAlignment="1" applyBorder="1" applyFont="1">
      <alignment horizontal="center" readingOrder="0" vertical="center"/>
    </xf>
    <xf borderId="17" fillId="7" fontId="15" numFmtId="0" xfId="0" applyAlignment="1" applyBorder="1" applyFont="1">
      <alignment horizontal="center"/>
    </xf>
    <xf borderId="17" fillId="7" fontId="19" numFmtId="0" xfId="0" applyAlignment="1" applyBorder="1" applyFont="1">
      <alignment horizontal="center"/>
    </xf>
    <xf borderId="9" fillId="7" fontId="19" numFmtId="0" xfId="0" applyAlignment="1" applyBorder="1" applyFont="1">
      <alignment horizontal="center" vertical="center"/>
    </xf>
    <xf borderId="13" fillId="0" fontId="20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/>
    </xf>
    <xf borderId="9" fillId="0" fontId="19" numFmtId="0" xfId="0" applyAlignment="1" applyBorder="1" applyFont="1">
      <alignment horizontal="center"/>
    </xf>
    <xf borderId="9" fillId="7" fontId="15" numFmtId="0" xfId="0" applyAlignment="1" applyBorder="1" applyFont="1">
      <alignment horizontal="center" readingOrder="0"/>
    </xf>
    <xf borderId="9" fillId="8" fontId="15" numFmtId="0" xfId="0" applyAlignment="1" applyBorder="1" applyFill="1" applyFont="1">
      <alignment horizontal="center" readingOrder="0"/>
    </xf>
    <xf borderId="18" fillId="9" fontId="20" numFmtId="0" xfId="0" applyAlignment="1" applyBorder="1" applyFill="1" applyFont="1">
      <alignment horizontal="center" readingOrder="0"/>
    </xf>
    <xf borderId="0" fillId="0" fontId="20" numFmtId="0" xfId="0" applyFont="1"/>
    <xf borderId="0" fillId="0" fontId="15" numFmtId="0" xfId="0" applyFont="1"/>
    <xf borderId="0" fillId="0" fontId="19" numFmtId="0" xfId="0" applyFont="1"/>
    <xf borderId="19" fillId="10" fontId="19" numFmtId="0" xfId="0" applyAlignment="1" applyBorder="1" applyFill="1" applyFont="1">
      <alignment horizontal="center" vertical="center"/>
    </xf>
    <xf borderId="9" fillId="0" fontId="20" numFmtId="0" xfId="0" applyAlignment="1" applyBorder="1" applyFont="1">
      <alignment horizontal="center" readingOrder="0"/>
    </xf>
    <xf borderId="9" fillId="10" fontId="15" numFmtId="0" xfId="0" applyAlignment="1" applyBorder="1" applyFont="1">
      <alignment horizontal="center" readingOrder="0"/>
    </xf>
    <xf borderId="9" fillId="10" fontId="15" numFmtId="0" xfId="0" applyAlignment="1" applyBorder="1" applyFont="1">
      <alignment horizontal="center"/>
    </xf>
    <xf borderId="20" fillId="10" fontId="19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5" numFmtId="0" xfId="0" applyFont="1"/>
    <xf borderId="0" fillId="0" fontId="19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21" fillId="0" fontId="19" numFmtId="0" xfId="0" applyAlignment="1" applyBorder="1" applyFont="1">
      <alignment horizontal="center" readingOrder="0" shrinkToFit="0" vertical="center" wrapText="0"/>
    </xf>
    <xf borderId="22" fillId="0" fontId="6" numFmtId="0" xfId="0" applyAlignment="1" applyBorder="1" applyFont="1">
      <alignment horizontal="center" readingOrder="0" shrinkToFit="0" vertical="center" wrapText="0"/>
    </xf>
    <xf borderId="22" fillId="0" fontId="15" numFmtId="0" xfId="0" applyAlignment="1" applyBorder="1" applyFont="1">
      <alignment horizontal="center" readingOrder="0" shrinkToFit="0" vertical="center" wrapText="0"/>
    </xf>
    <xf borderId="22" fillId="0" fontId="15" numFmtId="0" xfId="0" applyAlignment="1" applyBorder="1" applyFont="1">
      <alignment horizontal="left" readingOrder="0" shrinkToFit="0" vertical="center" wrapText="0"/>
    </xf>
    <xf borderId="22" fillId="0" fontId="19" numFmtId="0" xfId="0" applyAlignment="1" applyBorder="1" applyFont="1">
      <alignment horizontal="center" readingOrder="0" shrinkToFit="0" vertical="center" wrapText="0"/>
    </xf>
    <xf borderId="23" fillId="0" fontId="19" numFmtId="0" xfId="0" applyAlignment="1" applyBorder="1" applyFont="1">
      <alignment horizontal="center" readingOrder="0" shrinkToFit="0" vertical="center" wrapText="0"/>
    </xf>
    <xf borderId="9" fillId="7" fontId="19" numFmtId="0" xfId="0" applyAlignment="1" applyBorder="1" applyFont="1">
      <alignment horizontal="center" shrinkToFit="0" vertical="center" wrapText="0"/>
    </xf>
    <xf borderId="24" fillId="0" fontId="20" numFmtId="0" xfId="0" applyAlignment="1" applyBorder="1" applyFont="1">
      <alignment horizontal="center" readingOrder="0" shrinkToFit="0" vertical="center" wrapText="0"/>
    </xf>
    <xf borderId="9" fillId="7" fontId="15" numFmtId="0" xfId="0" applyAlignment="1" applyBorder="1" applyFont="1">
      <alignment horizontal="center" readingOrder="0" shrinkToFit="0" vertical="center" wrapText="0"/>
    </xf>
    <xf borderId="9" fillId="7" fontId="15" numFmtId="0" xfId="0" applyAlignment="1" applyBorder="1" applyFont="1">
      <alignment horizontal="center" shrinkToFit="0" vertical="center" wrapText="0"/>
    </xf>
    <xf borderId="9" fillId="0" fontId="19" numFmtId="0" xfId="0" applyAlignment="1" applyBorder="1" applyFont="1">
      <alignment horizontal="center" shrinkToFit="0" vertical="center" wrapText="0"/>
    </xf>
    <xf borderId="25" fillId="0" fontId="20" numFmtId="0" xfId="0" applyAlignment="1" applyBorder="1" applyFont="1">
      <alignment horizontal="center" readingOrder="0" shrinkToFit="0" vertical="center" wrapText="0"/>
    </xf>
    <xf borderId="18" fillId="9" fontId="20" numFmtId="0" xfId="0" applyAlignment="1" applyBorder="1" applyFont="1">
      <alignment horizontal="center" readingOrder="0" shrinkToFit="0" vertical="center" wrapText="0"/>
    </xf>
    <xf borderId="9" fillId="8" fontId="15" numFmtId="0" xfId="0" applyAlignment="1" applyBorder="1" applyFont="1">
      <alignment horizontal="center" readingOrder="0" shrinkToFit="0" vertical="center" wrapText="0"/>
    </xf>
    <xf borderId="26" fillId="0" fontId="15" numFmtId="0" xfId="0" applyAlignment="1" applyBorder="1" applyFont="1">
      <alignment shrinkToFit="0" vertical="center" wrapText="0"/>
    </xf>
    <xf borderId="27" fillId="0" fontId="15" numFmtId="0" xfId="0" applyAlignment="1" applyBorder="1" applyFont="1">
      <alignment shrinkToFit="0" vertical="center" wrapText="0"/>
    </xf>
    <xf borderId="28" fillId="0" fontId="19" numFmtId="0" xfId="0" applyAlignment="1" applyBorder="1" applyFont="1">
      <alignment shrinkToFit="0" vertical="center" wrapText="0"/>
    </xf>
    <xf borderId="19" fillId="10" fontId="19" numFmtId="0" xfId="0" applyAlignment="1" applyBorder="1" applyFont="1">
      <alignment horizontal="center" shrinkToFit="0" vertical="center" wrapText="0"/>
    </xf>
    <xf borderId="9" fillId="10" fontId="15" numFmtId="0" xfId="0" applyAlignment="1" applyBorder="1" applyFont="1">
      <alignment horizontal="center" readingOrder="0" shrinkToFit="0" vertical="center" wrapText="0"/>
    </xf>
    <xf borderId="9" fillId="10" fontId="15" numFmtId="0" xfId="0" applyAlignment="1" applyBorder="1" applyFont="1">
      <alignment horizontal="center" shrinkToFit="0" vertical="center" wrapText="0"/>
    </xf>
    <xf borderId="25" fillId="0" fontId="21" numFmtId="0" xfId="0" applyAlignment="1" applyBorder="1" applyFont="1">
      <alignment horizontal="center" readingOrder="0" shrinkToFit="0" vertical="center" wrapText="0"/>
    </xf>
    <xf borderId="24" fillId="0" fontId="21" numFmtId="0" xfId="0" applyAlignment="1" applyBorder="1" applyFont="1">
      <alignment horizontal="center" readingOrder="0" shrinkToFit="0" vertical="center" wrapText="0"/>
    </xf>
    <xf borderId="29" fillId="0" fontId="15" numFmtId="0" xfId="0" applyBorder="1" applyFont="1"/>
    <xf borderId="29" fillId="0" fontId="15" numFmtId="0" xfId="0" applyAlignment="1" applyBorder="1" applyFont="1">
      <alignment readingOrder="0"/>
    </xf>
    <xf borderId="29" fillId="0" fontId="19" numFmtId="0" xfId="0" applyBorder="1" applyFont="1"/>
    <xf borderId="0" fillId="0" fontId="22" numFmtId="0" xfId="0" applyAlignment="1" applyFont="1">
      <alignment horizontal="left"/>
    </xf>
    <xf borderId="0" fillId="0" fontId="23" numFmtId="0" xfId="0" applyAlignment="1" applyFont="1">
      <alignment horizontal="center"/>
    </xf>
    <xf borderId="0" fillId="0" fontId="23" numFmtId="0" xfId="0" applyFont="1"/>
    <xf borderId="30" fillId="3" fontId="24" numFmtId="0" xfId="0" applyAlignment="1" applyBorder="1" applyFont="1">
      <alignment horizontal="left"/>
    </xf>
    <xf borderId="31" fillId="3" fontId="25" numFmtId="0" xfId="0" applyAlignment="1" applyBorder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4" fillId="3" fontId="22" numFmtId="0" xfId="0" applyAlignment="1" applyBorder="1" applyFont="1">
      <alignment horizontal="left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0" fillId="0" fontId="26" numFmtId="0" xfId="0" applyFont="1"/>
    <xf borderId="34" fillId="3" fontId="26" numFmtId="0" xfId="0" applyAlignment="1" applyBorder="1" applyFont="1">
      <alignment horizontal="left"/>
    </xf>
    <xf borderId="16" fillId="3" fontId="27" numFmtId="0" xfId="0" applyAlignment="1" applyBorder="1" applyFont="1">
      <alignment horizontal="center"/>
    </xf>
    <xf borderId="9" fillId="3" fontId="19" numFmtId="0" xfId="0" applyAlignment="1" applyBorder="1" applyFont="1">
      <alignment horizontal="center" vertical="center"/>
    </xf>
    <xf borderId="38" fillId="0" fontId="19" numFmtId="0" xfId="0" applyAlignment="1" applyBorder="1" applyFont="1">
      <alignment horizontal="center"/>
    </xf>
    <xf borderId="34" fillId="3" fontId="19" numFmtId="0" xfId="0" applyAlignment="1" applyBorder="1" applyFont="1">
      <alignment horizontal="left"/>
    </xf>
    <xf borderId="16" fillId="3" fontId="23" numFmtId="0" xfId="0" applyAlignment="1" applyBorder="1" applyFont="1">
      <alignment horizontal="center"/>
    </xf>
    <xf borderId="9" fillId="0" fontId="28" numFmtId="0" xfId="0" applyAlignment="1" applyBorder="1" applyFont="1">
      <alignment horizontal="center"/>
    </xf>
    <xf borderId="9" fillId="3" fontId="29" numFmtId="0" xfId="0" applyAlignment="1" applyBorder="1" applyFont="1">
      <alignment horizontal="center" vertical="center"/>
    </xf>
    <xf borderId="39" fillId="3" fontId="19" numFmtId="0" xfId="0" applyAlignment="1" applyBorder="1" applyFont="1">
      <alignment horizontal="left"/>
    </xf>
    <xf borderId="16" fillId="3" fontId="30" numFmtId="0" xfId="0" applyBorder="1" applyFont="1"/>
    <xf borderId="34" fillId="3" fontId="30" numFmtId="0" xfId="0" applyBorder="1" applyFont="1"/>
    <xf borderId="40" fillId="0" fontId="31" numFmtId="0" xfId="0" applyAlignment="1" applyBorder="1" applyFont="1">
      <alignment horizontal="left" readingOrder="0" vertical="center"/>
    </xf>
    <xf borderId="9" fillId="0" fontId="15" numFmtId="0" xfId="0" applyAlignment="1" applyBorder="1" applyFont="1">
      <alignment horizontal="center" vertical="center"/>
    </xf>
    <xf borderId="9" fillId="0" fontId="32" numFmtId="1" xfId="0" applyAlignment="1" applyBorder="1" applyFont="1" applyNumberFormat="1">
      <alignment horizontal="center" vertical="center"/>
    </xf>
    <xf borderId="41" fillId="0" fontId="32" numFmtId="1" xfId="0" applyAlignment="1" applyBorder="1" applyFont="1" applyNumberFormat="1">
      <alignment horizontal="center" vertical="center"/>
    </xf>
    <xf borderId="9" fillId="3" fontId="33" numFmtId="0" xfId="0" applyAlignment="1" applyBorder="1" applyFont="1">
      <alignment horizontal="center" vertical="center"/>
    </xf>
    <xf borderId="9" fillId="3" fontId="34" numFmtId="0" xfId="0" applyAlignment="1" applyBorder="1" applyFont="1">
      <alignment horizontal="center" vertical="center"/>
    </xf>
    <xf borderId="0" fillId="0" fontId="35" numFmtId="0" xfId="0" applyAlignment="1" applyFont="1">
      <alignment horizontal="center" vertical="center"/>
    </xf>
    <xf borderId="40" fillId="0" fontId="4" numFmtId="0" xfId="0" applyBorder="1" applyFont="1"/>
    <xf borderId="8" fillId="0" fontId="4" numFmtId="0" xfId="0" applyBorder="1" applyFont="1"/>
    <xf borderId="34" fillId="3" fontId="31" numFmtId="0" xfId="0" applyAlignment="1" applyBorder="1" applyFont="1">
      <alignment horizontal="left" vertical="center"/>
    </xf>
    <xf borderId="9" fillId="3" fontId="23" numFmtId="0" xfId="0" applyAlignment="1" applyBorder="1" applyFont="1">
      <alignment horizontal="center" vertical="center"/>
    </xf>
    <xf borderId="9" fillId="3" fontId="32" numFmtId="0" xfId="0" applyAlignment="1" applyBorder="1" applyFont="1">
      <alignment horizontal="center" vertical="center"/>
    </xf>
    <xf borderId="0" fillId="0" fontId="35" numFmtId="0" xfId="0" applyFont="1"/>
    <xf borderId="9" fillId="0" fontId="36" numFmtId="1" xfId="0" applyAlignment="1" applyBorder="1" applyFont="1" applyNumberFormat="1">
      <alignment horizontal="center" vertical="center"/>
    </xf>
    <xf borderId="0" fillId="0" fontId="37" numFmtId="0" xfId="0" applyFont="1"/>
    <xf borderId="42" fillId="0" fontId="4" numFmtId="0" xfId="0" applyBorder="1" applyFont="1"/>
    <xf borderId="43" fillId="3" fontId="38" numFmtId="0" xfId="0" applyAlignment="1" applyBorder="1" applyFont="1">
      <alignment horizontal="left" vertical="center"/>
    </xf>
    <xf borderId="44" fillId="3" fontId="39" numFmtId="0" xfId="0" applyAlignment="1" applyBorder="1" applyFont="1">
      <alignment horizontal="center" vertical="center"/>
    </xf>
    <xf borderId="44" fillId="3" fontId="33" numFmtId="0" xfId="0" applyAlignment="1" applyBorder="1" applyFont="1">
      <alignment vertical="center"/>
    </xf>
    <xf borderId="44" fillId="3" fontId="32" numFmtId="0" xfId="0" applyAlignment="1" applyBorder="1" applyFont="1">
      <alignment vertical="center"/>
    </xf>
    <xf borderId="0" fillId="0" fontId="40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40" numFmtId="0" xfId="0" applyAlignment="1" applyFont="1">
      <alignment horizontal="left"/>
    </xf>
    <xf borderId="0" fillId="0" fontId="41" numFmtId="0" xfId="0" applyFont="1"/>
    <xf borderId="14" fillId="0" fontId="18" numFmtId="0" xfId="0" applyAlignment="1" applyBorder="1" applyFont="1">
      <alignment horizontal="center" vertical="center"/>
    </xf>
    <xf borderId="45" fillId="3" fontId="41" numFmtId="0" xfId="0" applyAlignment="1" applyBorder="1" applyFont="1">
      <alignment horizontal="center"/>
    </xf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29" fillId="0" fontId="4" numFmtId="0" xfId="0" applyBorder="1" applyFont="1"/>
    <xf borderId="13" fillId="0" fontId="4" numFmtId="0" xfId="0" applyBorder="1" applyFont="1"/>
    <xf borderId="45" fillId="0" fontId="42" numFmtId="0" xfId="0" applyAlignment="1" applyBorder="1" applyFont="1">
      <alignment horizontal="center" vertical="center"/>
    </xf>
    <xf borderId="9" fillId="0" fontId="24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center" readingOrder="0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41" fillId="0" fontId="24" numFmtId="2" xfId="0" applyAlignment="1" applyBorder="1" applyFont="1" applyNumberFormat="1">
      <alignment horizontal="center" vertical="center"/>
    </xf>
    <xf borderId="41" fillId="0" fontId="43" numFmtId="1" xfId="0" applyAlignment="1" applyBorder="1" applyFont="1" applyNumberFormat="1">
      <alignment horizontal="center" readingOrder="0" shrinkToFit="0" vertical="center" wrapText="1"/>
    </xf>
    <xf borderId="41" fillId="0" fontId="41" numFmtId="1" xfId="0" applyAlignment="1" applyBorder="1" applyFont="1" applyNumberFormat="1">
      <alignment horizontal="center" readingOrder="0" shrinkToFit="0" vertical="center" wrapText="1"/>
    </xf>
    <xf borderId="41" fillId="0" fontId="24" numFmtId="1" xfId="0" applyAlignment="1" applyBorder="1" applyFont="1" applyNumberFormat="1">
      <alignment horizontal="center" shrinkToFit="0" vertical="center" wrapText="1"/>
    </xf>
    <xf borderId="49" fillId="0" fontId="41" numFmtId="1" xfId="0" applyAlignment="1" applyBorder="1" applyFont="1" applyNumberFormat="1">
      <alignment horizontal="center" readingOrder="0" shrinkToFit="0" vertical="center" wrapText="1"/>
    </xf>
    <xf borderId="47" fillId="0" fontId="41" numFmtId="1" xfId="0" applyAlignment="1" applyBorder="1" applyFont="1" applyNumberFormat="1">
      <alignment horizontal="center" readingOrder="0" shrinkToFit="0" vertical="center" wrapText="1"/>
    </xf>
    <xf borderId="0" fillId="0" fontId="41" numFmtId="0" xfId="0" applyAlignment="1" applyFont="1">
      <alignment readingOrder="0"/>
    </xf>
    <xf borderId="50" fillId="0" fontId="4" numFmtId="0" xfId="0" applyBorder="1" applyFont="1"/>
    <xf borderId="14" fillId="3" fontId="24" numFmtId="1" xfId="0" applyAlignment="1" applyBorder="1" applyFont="1" applyNumberFormat="1">
      <alignment horizontal="center" vertical="center"/>
    </xf>
    <xf borderId="14" fillId="0" fontId="41" numFmtId="1" xfId="0" applyAlignment="1" applyBorder="1" applyFont="1" applyNumberFormat="1">
      <alignment horizontal="center" vertical="center"/>
    </xf>
    <xf borderId="51" fillId="0" fontId="41" numFmtId="1" xfId="0" applyAlignment="1" applyBorder="1" applyFont="1" applyNumberFormat="1">
      <alignment horizontal="center" shrinkToFit="0" vertical="center" wrapText="1"/>
    </xf>
    <xf borderId="9" fillId="0" fontId="41" numFmtId="1" xfId="0" applyAlignment="1" applyBorder="1" applyFont="1" applyNumberFormat="1">
      <alignment horizontal="center" shrinkToFit="0" vertical="center" wrapText="1"/>
    </xf>
    <xf borderId="41" fillId="0" fontId="41" numFmtId="0" xfId="0" applyAlignment="1" applyBorder="1" applyFont="1">
      <alignment horizontal="center" readingOrder="0" shrinkToFit="0" vertical="center" wrapText="1"/>
    </xf>
    <xf borderId="52" fillId="0" fontId="41" numFmtId="1" xfId="0" applyAlignment="1" applyBorder="1" applyFont="1" applyNumberFormat="1">
      <alignment horizontal="center" readingOrder="0" shrinkToFit="0" vertical="center" wrapText="1"/>
    </xf>
    <xf borderId="53" fillId="0" fontId="4" numFmtId="0" xfId="0" applyBorder="1" applyFont="1"/>
    <xf borderId="54" fillId="0" fontId="41" numFmtId="0" xfId="0" applyBorder="1" applyFont="1"/>
    <xf borderId="41" fillId="0" fontId="24" numFmtId="2" xfId="0" applyAlignment="1" applyBorder="1" applyFont="1" applyNumberFormat="1">
      <alignment horizontal="center" readingOrder="0" vertical="center"/>
    </xf>
    <xf borderId="52" fillId="0" fontId="41" numFmtId="0" xfId="0" applyAlignment="1" applyBorder="1" applyFont="1">
      <alignment horizontal="center" readingOrder="0" shrinkToFit="0" vertical="center" wrapText="1"/>
    </xf>
    <xf borderId="41" fillId="0" fontId="24" numFmtId="1" xfId="0" applyAlignment="1" applyBorder="1" applyFont="1" applyNumberFormat="1">
      <alignment horizontal="center" readingOrder="0" vertical="center"/>
    </xf>
    <xf borderId="14" fillId="0" fontId="24" numFmtId="1" xfId="0" applyAlignment="1" applyBorder="1" applyFont="1" applyNumberFormat="1">
      <alignment horizontal="center" vertical="center"/>
    </xf>
    <xf borderId="14" fillId="0" fontId="24" numFmtId="1" xfId="0" applyAlignment="1" applyBorder="1" applyFont="1" applyNumberFormat="1">
      <alignment horizontal="center" shrinkToFit="0" vertical="center" wrapText="1"/>
    </xf>
    <xf borderId="55" fillId="0" fontId="24" numFmtId="1" xfId="0" applyAlignment="1" applyBorder="1" applyFont="1" applyNumberFormat="1">
      <alignment horizontal="center" shrinkToFit="0" vertical="center" wrapText="1"/>
    </xf>
    <xf borderId="47" fillId="0" fontId="41" numFmtId="0" xfId="0" applyAlignment="1" applyBorder="1" applyFont="1">
      <alignment horizontal="center" readingOrder="0" shrinkToFit="0" vertical="center" wrapText="1"/>
    </xf>
    <xf borderId="45" fillId="0" fontId="41" numFmtId="0" xfId="0" applyAlignment="1" applyBorder="1" applyFont="1">
      <alignment horizontal="center" readingOrder="0" shrinkToFit="0" vertical="center" wrapText="1"/>
    </xf>
    <xf borderId="46" fillId="0" fontId="41" numFmtId="1" xfId="0" applyAlignment="1" applyBorder="1" applyFont="1" applyNumberFormat="1">
      <alignment horizontal="center" readingOrder="0" shrinkToFit="0" vertical="center" wrapText="1"/>
    </xf>
    <xf borderId="56" fillId="0" fontId="41" numFmtId="1" xfId="0" applyAlignment="1" applyBorder="1" applyFont="1" applyNumberFormat="1">
      <alignment horizontal="center" readingOrder="0" shrinkToFit="0" vertical="center" wrapText="1"/>
    </xf>
    <xf borderId="57" fillId="0" fontId="4" numFmtId="0" xfId="0" applyBorder="1" applyFont="1"/>
    <xf borderId="58" fillId="3" fontId="24" numFmtId="1" xfId="0" applyAlignment="1" applyBorder="1" applyFont="1" applyNumberForma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15" fillId="0" fontId="41" numFmtId="1" xfId="0" applyAlignment="1" applyBorder="1" applyFont="1" applyNumberFormat="1">
      <alignment horizontal="center" shrinkToFit="0" vertical="center" wrapText="1"/>
    </xf>
    <xf borderId="9" fillId="0" fontId="24" numFmtId="2" xfId="0" applyAlignment="1" applyBorder="1" applyFont="1" applyNumberFormat="1">
      <alignment horizontal="center" shrinkToFit="0" vertical="center" wrapText="1"/>
    </xf>
    <xf borderId="14" fillId="0" fontId="18" numFmtId="0" xfId="0" applyAlignment="1" applyBorder="1" applyFont="1">
      <alignment horizontal="center" readingOrder="0" vertical="center"/>
    </xf>
    <xf borderId="14" fillId="0" fontId="24" numFmtId="0" xfId="0" applyAlignment="1" applyBorder="1" applyFont="1">
      <alignment horizontal="center"/>
    </xf>
    <xf borderId="41" fillId="0" fontId="24" numFmtId="1" xfId="0" applyAlignment="1" applyBorder="1" applyFont="1" applyNumberFormat="1">
      <alignment horizontal="center" readingOrder="0" shrinkToFit="0" vertical="center" wrapText="1"/>
    </xf>
    <xf borderId="9" fillId="0" fontId="24" numFmtId="1" xfId="0" applyAlignment="1" applyBorder="1" applyFont="1" applyNumberFormat="1">
      <alignment horizontal="center" shrinkToFit="0" vertical="center" wrapText="1"/>
    </xf>
    <xf borderId="0" fillId="0" fontId="24" numFmtId="0" xfId="0" applyFont="1"/>
    <xf borderId="0" fillId="0" fontId="41" numFmtId="0" xfId="0" applyAlignment="1" applyFont="1">
      <alignment horizontal="center" shrinkToFit="0" vertical="center" wrapText="1"/>
    </xf>
    <xf borderId="41" fillId="0" fontId="44" numFmtId="1" xfId="0" applyAlignment="1" applyBorder="1" applyFont="1" applyNumberFormat="1">
      <alignment horizontal="center" readingOrder="0" shrinkToFit="0" vertical="center" wrapText="1"/>
    </xf>
    <xf borderId="0" fillId="0" fontId="41" numFmtId="1" xfId="0" applyAlignment="1" applyFont="1" applyNumberFormat="1">
      <alignment horizontal="center" shrinkToFit="0" vertical="center" wrapText="1"/>
    </xf>
    <xf borderId="41" fillId="0" fontId="24" numFmtId="0" xfId="0" applyAlignment="1" applyBorder="1" applyFont="1">
      <alignment horizontal="center" readingOrder="0" vertical="center"/>
    </xf>
    <xf borderId="14" fillId="4" fontId="45" numFmtId="0" xfId="0" applyAlignment="1" applyBorder="1" applyFont="1">
      <alignment horizontal="center"/>
    </xf>
    <xf borderId="41" fillId="0" fontId="24" numFmtId="164" xfId="0" applyAlignment="1" applyBorder="1" applyFont="1" applyNumberFormat="1">
      <alignment horizontal="center" readingOrder="0" vertical="center"/>
    </xf>
    <xf borderId="41" fillId="0" fontId="43" numFmtId="2" xfId="0" applyAlignment="1" applyBorder="1" applyFont="1" applyNumberFormat="1">
      <alignment horizontal="center" readingOrder="0" shrinkToFit="0" vertical="center" wrapText="1"/>
    </xf>
    <xf borderId="41" fillId="0" fontId="46" numFmtId="2" xfId="0" applyAlignment="1" applyBorder="1" applyFont="1" applyNumberFormat="1">
      <alignment horizontal="center" readingOrder="0" shrinkToFit="0" vertical="center" wrapText="1"/>
    </xf>
    <xf borderId="41" fillId="0" fontId="44" numFmtId="0" xfId="0" applyAlignment="1" applyBorder="1" applyFont="1">
      <alignment horizontal="center" readingOrder="0" shrinkToFit="0" vertical="center" wrapText="1"/>
    </xf>
    <xf borderId="41" fillId="9" fontId="41" numFmtId="1" xfId="0" applyAlignment="1" applyBorder="1" applyFont="1" applyNumberFormat="1">
      <alignment horizontal="center" readingOrder="0" shrinkToFit="0" vertical="center" wrapText="1"/>
    </xf>
    <xf borderId="41" fillId="0" fontId="24" numFmtId="1" xfId="0" applyAlignment="1" applyBorder="1" applyFont="1" applyNumberFormat="1">
      <alignment horizontal="center" vertical="center"/>
    </xf>
    <xf borderId="0" fillId="0" fontId="24" numFmtId="16" xfId="0" applyFont="1" applyNumberFormat="1"/>
    <xf borderId="61" fillId="0" fontId="24" numFmtId="0" xfId="0" applyAlignment="1" applyBorder="1" applyFont="1">
      <alignment horizontal="center"/>
    </xf>
    <xf borderId="62" fillId="0" fontId="4" numFmtId="0" xfId="0" applyBorder="1" applyFont="1"/>
    <xf borderId="0" fillId="0" fontId="41" numFmtId="16" xfId="0" applyFont="1" applyNumberFormat="1"/>
    <xf borderId="41" fillId="9" fontId="24" numFmtId="1" xfId="0" applyAlignment="1" applyBorder="1" applyFont="1" applyNumberFormat="1">
      <alignment horizontal="center" vertical="center"/>
    </xf>
    <xf borderId="41" fillId="9" fontId="41" numFmtId="1" xfId="0" applyAlignment="1" applyBorder="1" applyFont="1" applyNumberFormat="1">
      <alignment horizontal="center" vertical="center"/>
    </xf>
    <xf borderId="63" fillId="9" fontId="41" numFmtId="1" xfId="0" applyAlignment="1" applyBorder="1" applyFont="1" applyNumberFormat="1">
      <alignment horizontal="center" vertical="center"/>
    </xf>
    <xf borderId="41" fillId="0" fontId="41" numFmtId="1" xfId="0" applyAlignment="1" applyBorder="1" applyFont="1" applyNumberFormat="1">
      <alignment horizontal="center" shrinkToFit="0" vertical="center" wrapText="1"/>
    </xf>
    <xf borderId="64" fillId="0" fontId="4" numFmtId="0" xfId="0" applyBorder="1" applyFont="1"/>
    <xf borderId="9" fillId="3" fontId="24" numFmtId="1" xfId="0" applyAlignment="1" applyBorder="1" applyFont="1" applyNumberFormat="1">
      <alignment horizontal="center" vertical="center"/>
    </xf>
    <xf borderId="65" fillId="3" fontId="24" numFmtId="1" xfId="0" applyAlignment="1" applyBorder="1" applyFont="1" applyNumberFormat="1">
      <alignment horizontal="center" vertical="center"/>
    </xf>
    <xf borderId="66" fillId="3" fontId="24" numFmtId="1" xfId="0" applyAlignment="1" applyBorder="1" applyFont="1" applyNumberFormat="1">
      <alignment horizontal="center" vertical="center"/>
    </xf>
    <xf borderId="41" fillId="0" fontId="43" numFmtId="1" xfId="0" applyAlignment="1" applyBorder="1" applyFont="1" applyNumberFormat="1">
      <alignment horizontal="center" shrinkToFit="0" vertical="center" wrapText="1"/>
    </xf>
    <xf borderId="14" fillId="0" fontId="6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Encounters Playe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3</xdr:row>
      <xdr:rowOff>19050</xdr:rowOff>
    </xdr:from>
    <xdr:ext cx="342900" cy="36195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3" name="Shape 3"/>
        <xdr:cNvSpPr/>
      </xdr:nvSpPr>
      <xdr:spPr>
        <a:xfrm>
          <a:off x="5179313" y="3603788"/>
          <a:ext cx="333375" cy="352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20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1</xdr:row>
      <xdr:rowOff>0</xdr:rowOff>
    </xdr:from>
    <xdr:ext cx="342900" cy="342900"/>
    <xdr:sp>
      <xdr:nvSpPr>
        <xdr:cNvPr descr="data:image/png;base64,iVBORw0KGgoAAAANSUhEUgAAAEwAAABDCAYAAAA2weP+AAAAAXNSR0IArs4c6QAACyRJREFUeF7tmglwVdUZx3/n3PseZIFAIGERqkEWcUQFqxShZlCx2mrRulCx6iCiDlZEZHMFW5baKojCIEioYhzAIrWKAlVEIBABO1aLlAFEKrIkgAugIe/de07nnPtCSALiy3uN0b4vE4a8d+5yfvf/Lec7V5SVlWlS9q0JiBSwb83KDkwBi49XClicvFLAUsDiJRDn+FQMSwGLk0Ccw1MKSwGLk0Ccw1MKSwGLk0Ccw1MKSwGLk0Ccw1MKq1tgGo2wPxINQqNts8j+lQQzZxEo5SMESCnRWiLQKOEjtEzCNeI7RYIKE3ZCUio8LVn46joWLV6Dr4KJBr+JmoGiaZrVkMcmDiIkFY4WKHvu5DyWeO4wYWDmaRuVvfT6B0yb9SalpV+i7B2YyThWbQmZFla5mekuv701nxuv64mw6jJXrntLEJjRkOZfm3YxdfZqVq3/CK2VBYhQYCabEDBzDmmBZaS5DLjmxwy55SJ8aR6JDr6rY0sQWPD0n5+3mskzllOuHLQNYoG7KB1FRMsQjkDINBBulelpoXH8EL7jIVU5RMvxwg0I0Rilv0JLc74Qjigjp1kLXpw1iNym5tTmPDp4HnVsiQET5rYlf567hknT38BHYkKyEpom6Q7D77iUi3p15IOtJUye8Rabt5ZUnZ520SIKUjHhwf707NYEITPp/auJeNEwUhj40jwTWuSGeXPBaKSMoJVxdS9B9daOdGLA0Oz/opyZz79D4YLV+EZdSuAKj/uG/Zzr+p5DyNE8OG4uryzbjuc71oUrzahEI3WYN18aSm5OiJDvMuj+5yha/SlID3QYJ+TTu3sbpky4AW3jovH272OWFJqi4i1MmrmCTdv2IbS2AXn4HZfwm2u64zoST0hGjpnP39/eYtPD0ZlNC4VUgkj5F6xZPIbm2VkIPA7TkG75D6BxLeCsrAxemHYb7dqmWUWb+GhKiuB8dWsJKczUX1u2lzBzThHLi7chiHL7TfncfE0vQm6QK3fti/Dgo3/jnfVbaszMHO8Ln8vzO/K7UVeSluHi+GGUqxh8z0zWfvg5wgnToQ0UTr/Hli/ftSUEzCYqNIc9OBxVpLkOaWETif1ACQjmLVzLM3OL2VN6qEZdZopRk+n+WjiUDm3TY99HQJpiNcRnX0WQKLIyGiJ8hXTqXlHVH1BiwGwsMYlSIkwgFj5KmGDsIE2dJBQjx/yFRW9tQsggs1UxIZC6nCULRtA6J82mjKCCDyO1h8INziOj+MJD6tB3LbBk7BpV5PYKGEFlbqwsAg+Mf4Wlb284TlUuOPv0LJ4aP5DsbNcG9GChZXRrYpSwGfKICf+HAKz6HII6zCjv3fd28NjTb7Fh4x6rvhqmNE9M7E/+T/IIhRS7D+3mM7/UZk5byVelVUtYAfFGMovchi3JcDKPSj7xF3IJu2S1wsrCMpM1mWzcpJeZ/9oGPD/IdjWTWpRFLwwjr00aH5d9zIytkyn6Yjnl4a9pEG2I50RrCanmXXVMP53Bp4ygR5N8hAq8oOoD+XaXSi4wq4zgZjwlefjRV3l56T+DBGBKjmr3lNvM5flpt9G2ZSOGb7yTFQeX4OkoUksLK5ndCNNPuTfvYa5vNRBpC9/aWXKBHVkUaf6z6xCPPvUGK9dsisWjyv5CULxKBlx/Hrf3Px8/O0K/4nz2efssKNeUFtJD+CboS1zpEqG85gyNy1o1g6MdXEJ42sOTgTKt0m1i0oT9BgxvN5ZrW98UtAtqua5KOrCKrkvhgjUUzF1L6b6yKhMN5mfUJil8ehBndWrOsoNL+P2moRxUB4PK32Zc6Jndm7bkmcUDC0qfxXNMBj7aYt04LckLd+CCphdTGtnDu2VrKDm8GxHULfbxdHA7c1feaH7a/OLgBLWsUJIPzCy6EUyY9BrzX3kPdVRHwdy++c5MpIEsZ0HBYPJOzWHY+ltYFVmGL6MIJfAdRfdGvbivw3jy3I7s9HfQ952e+E71xBEAy1RZ9M3tx/D2YymJ7KJg95Ms2FmIihW6Rk1Xn3QDA9sMoaU86Ugero1TJh2YUc+BMpg4ZSmvLn4P0+yptMAVzb89u7Vm/KgryWmVRd+1vfhEbQ+Up+Fktz2PdH6cszLORSnNa4fm89DGYcfoRwau1S69E0NOuY/ejS7Fkx6vly7ksW1j+FJ/bi8tfYfB7YZzc+vBGMcNrHYNyCQBi8WKGI6i9R8xZdZKPty0u4YLVQD740NX0+eCU3HS4Oqi3uwQ26yftHM7c8ePhtIn9wp7bFm0jLs/uJF3I8W2C1LNI61aujftxYTOU2mmclFC8UnZNmZ+Opkle1+2Lt4loyuD247ivCa90LIifn2XwEyssOtq444wtWAZz764jsPlVTOj7cWbjKkU858ZRJdOLWwvbOmni9gX3okkRJ5sR49mF+Ka3ppQ7NV76bvyfMoafF0z7GhwlEvvxpfxh7Om2v/bPQDpsblsI/84UIzC57S0Mzgj/RzSpFl+JWbJUZgVmEBpQVHxZqbOXs6GzSU2sNeQhC0xfOY9cztdOrawDUgjnIgstw3UsJm07bIGS673Wc/NxVfYuFcjTmvIkS24vuVABpx8Z+yYQO1GaVERlCauaTgGvc6ELTnArDM5LF72PrMKV7JtxwEinmnB1Lw/uzTXmkt6tWX0vZfTqlk2UoMvjVrMWtKwj9rWjtIekz95hMLdBTi+UU7NE3Zp3JWxnR6nndPpqIsF6cUo1KjOQPNlcpZVyQOmHabNXsbMOavQBIvk6pqw0zUUlc8FPdry0PAraZnTxH5UsywSlKmv6Vt8PqXOXgu1emVuMmqPxvlMOrOAsGpg41l1s58c8/y1E1uSgAWbHTtLvmTP3oOx3aKqzcKKzBQsq6F5E4fWLbNx3eNX3fvEXn5W1BXfCVJFdX1l0ohfNu3HiE5jg4ZiMnzuBByTBKziKrHgfyRgmL+rPnXjJnYv0+wufcPa1+BZuG8u47beazc9hOmx2UK00vIy2zO63TjOzehpi93vCbCj2zsVO0YxTpZI5STN9mtgBlZskX6cJ6q04tpVffg4vNFm1qC/VqkxU391bXwuT545hwy/Uax0j7/7EK9jJllhJ7p8JdBjjbQxKNZ49KVHj1XtiR7pWAjb/zfVu1Gp6Wb0TLuQyd1m288s0BNdPgnf1zGwb75js9A25YCB9ZHzb35ddFlsn7PyOKMsU2flhFpya6sh9Gs1AKkde0wyuxvHu9N6Bcwox6jMUSHGbR3Ji/ufq3bfwcLcwOmcdSZPdZlDc69FrGFpypgfnEueyCdMEWuARMhf1oVD6QeOeYCDQ7f07kzvOg836gbLnVhj+0RXSPT7eqUwE4tcL0xJwx1cuuI8655VLPY6RbZqQp/sqxh12u+sqoxLKhm8oPK/tnoFzLSOy2WEgt1PMGP74whRfWllgHhkh1txV+uRXNWif6x/WHdbuvUK2P7oftaxnEfWjSAqzZZd1eWMLUu0Q0OnAb9odh2j248jpEJ22VMX6jLqrVfApm36EwVfTDnSqapSiNoXHM0epbJNxjMyz2Z6t7lkRprY9yyC/dH/M5d8+sPJrHNWEKaBfQes6lo72LozDSLHc+jgnM7dp92PW8ebu/VKYaby9JSHDhlYZo1ZWYoGsMxmR+ydWuWgYiuHoHdfN1avgFX2QM0rUG7NLGnf9jGfV7hg3UA6+ir1ClhFpR90HoJFeqUF3Q/TlDTlRsX+Z10jq1fAgi22oJSoi85DbWDXK2C1mUBdH5MCFifxFLAUsDgJxDk8pbAUsDgJxDk8pbAUsDgJxDk8pbAUsDgJxDk8pbAUsDgJxDn8v+G2QTtXP4CPAAAAAElFTkSuQmCC" id="4" name="Shape 4"/>
        <xdr:cNvSpPr/>
      </xdr:nvSpPr>
      <xdr:spPr>
        <a:xfrm>
          <a:off x="5179313" y="3613313"/>
          <a:ext cx="333375" cy="3333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57</xdr:row>
      <xdr:rowOff>0</xdr:rowOff>
    </xdr:from>
    <xdr:ext cx="342900" cy="352425"/>
    <xdr:sp>
      <xdr:nvSpPr>
        <xdr:cNvPr descr="blob:https://web.whatsapp.com/93c38577-0172-4bbd-aa7d-c50c28bb8983" id="5" name="Shape 5"/>
        <xdr:cNvSpPr/>
      </xdr:nvSpPr>
      <xdr:spPr>
        <a:xfrm>
          <a:off x="5179313" y="3608550"/>
          <a:ext cx="333375" cy="342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419100</xdr:colOff>
      <xdr:row>0</xdr:row>
      <xdr:rowOff>0</xdr:rowOff>
    </xdr:from>
    <xdr:ext cx="819150" cy="609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0</xdr:row>
      <xdr:rowOff>28575</xdr:rowOff>
    </xdr:from>
    <xdr:ext cx="561975" cy="542925"/>
    <xdr:pic>
      <xdr:nvPicPr>
        <xdr:cNvPr descr="A logo with a gold ribbon&#10;&#10;Description automatically generated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0</xdr:row>
      <xdr:rowOff>0</xdr:rowOff>
    </xdr:from>
    <xdr:ext cx="9239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0</xdr:row>
      <xdr:rowOff>76200</xdr:rowOff>
    </xdr:from>
    <xdr:ext cx="790575" cy="704850"/>
    <xdr:pic>
      <xdr:nvPicPr>
        <xdr:cNvPr descr="A logo with a gold ribbon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600075</xdr:colOff>
      <xdr:row>0</xdr:row>
      <xdr:rowOff>57150</xdr:rowOff>
    </xdr:from>
    <xdr:ext cx="9334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0</xdr:row>
      <xdr:rowOff>114300</xdr:rowOff>
    </xdr:from>
    <xdr:ext cx="723900" cy="704850"/>
    <xdr:pic>
      <xdr:nvPicPr>
        <xdr:cNvPr descr="A logo with a gold ribbon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2870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104775</xdr:rowOff>
    </xdr:from>
    <xdr:ext cx="704850" cy="561975"/>
    <xdr:pic>
      <xdr:nvPicPr>
        <xdr:cNvPr descr="A logo with a gold ribbon&#10;&#10;Description automatically generated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1104900</xdr:colOff>
      <xdr:row>0</xdr:row>
      <xdr:rowOff>57150</xdr:rowOff>
    </xdr:from>
    <xdr:ext cx="1009650" cy="571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0</xdr:row>
      <xdr:rowOff>123825</xdr:rowOff>
    </xdr:from>
    <xdr:ext cx="685800" cy="561975"/>
    <xdr:pic>
      <xdr:nvPicPr>
        <xdr:cNvPr descr="A logo with a gold ribbon&#10;&#10;Description automatically generated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0</xdr:rowOff>
    </xdr:from>
    <xdr:ext cx="102870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0</xdr:row>
      <xdr:rowOff>95250</xdr:rowOff>
    </xdr:from>
    <xdr:ext cx="742950" cy="600075"/>
    <xdr:pic>
      <xdr:nvPicPr>
        <xdr:cNvPr descr="A logo with a gold ribbon&#10;&#10;Description automatically generated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1333500</xdr:colOff>
      <xdr:row>1</xdr:row>
      <xdr:rowOff>9525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0</xdr:row>
      <xdr:rowOff>114300</xdr:rowOff>
    </xdr:from>
    <xdr:ext cx="800100" cy="561975"/>
    <xdr:pic>
      <xdr:nvPicPr>
        <xdr:cNvPr descr="A logo with a gold ribbon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1285875</xdr:colOff>
      <xdr:row>0</xdr:row>
      <xdr:rowOff>104775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0</xdr:row>
      <xdr:rowOff>95250</xdr:rowOff>
    </xdr:from>
    <xdr:ext cx="714375" cy="561975"/>
    <xdr:pic>
      <xdr:nvPicPr>
        <xdr:cNvPr descr="A logo with a gold ribbon&#10;&#10;Description automatically generated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1200150</xdr:colOff>
      <xdr:row>0</xdr:row>
      <xdr:rowOff>114300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0</xdr:row>
      <xdr:rowOff>152400</xdr:rowOff>
    </xdr:from>
    <xdr:ext cx="800100" cy="723900"/>
    <xdr:pic>
      <xdr:nvPicPr>
        <xdr:cNvPr descr="A logo with a gold ribbon&#10;&#10;Description automatically generated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990600</xdr:colOff>
      <xdr:row>1</xdr:row>
      <xdr:rowOff>9525</xdr:rowOff>
    </xdr:from>
    <xdr:ext cx="1028700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95250</xdr:rowOff>
    </xdr:from>
    <xdr:ext cx="828675" cy="609600"/>
    <xdr:pic>
      <xdr:nvPicPr>
        <xdr:cNvPr descr="A logo with a gold ribbon&#10;&#10;Description automatically generated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6:P58" displayName="Table1" name="Table1" id="1">
  <tableColumns count="16">
    <tableColumn name="C" id="1"/>
    <tableColumn name="Kaya Sammut (Challengers)" id="2"/>
    <tableColumn name="Column 1" id="3"/>
    <tableColumn name="Column 2" id="4"/>
    <tableColumn name="Column 3" id="5"/>
    <tableColumn name="Column 4" id="6"/>
    <tableColumn name="Column 5" id="7"/>
    <tableColumn name="Column 6" id="8"/>
    <tableColumn name="D" id="9"/>
    <tableColumn name="Kelsey Gauci (Destroyers)" id="10"/>
    <tableColumn name="Column 7" id="11"/>
    <tableColumn name="Column 8" id="12"/>
    <tableColumn name="Column 9" id="13"/>
    <tableColumn name="Column 10" id="14"/>
    <tableColumn name="Column 11" id="15"/>
    <tableColumn name="Column 12" id="16"/>
  </tableColumns>
  <tableStyleInfo name="Encounters Play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3" width="23.88"/>
    <col customWidth="1" min="4" max="4" width="20.88"/>
    <col customWidth="1" min="5" max="5" width="22.13"/>
    <col customWidth="1" min="6" max="6" width="21.88"/>
    <col customWidth="1" min="7" max="7" width="21.0"/>
    <col customWidth="1" min="8" max="26" width="8.0"/>
  </cols>
  <sheetData>
    <row r="1" ht="23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1.5" customHeight="1">
      <c r="A2" s="3" t="s">
        <v>1</v>
      </c>
      <c r="B2" s="4"/>
      <c r="C2" s="4"/>
      <c r="D2" s="4"/>
      <c r="E2" s="4"/>
      <c r="F2" s="4"/>
      <c r="G2" s="4"/>
      <c r="S2" s="2"/>
      <c r="T2" s="2"/>
      <c r="U2" s="2"/>
      <c r="V2" s="2"/>
      <c r="W2" s="2"/>
      <c r="X2" s="2"/>
      <c r="Y2" s="2"/>
      <c r="Z2" s="2"/>
    </row>
    <row r="3" ht="15.75" customHeight="1">
      <c r="A3" s="5"/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7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0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2"/>
      <c r="I4" s="12"/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4"/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16" t="s">
        <v>21</v>
      </c>
      <c r="B6" s="17"/>
      <c r="C6" s="17"/>
      <c r="D6" s="17"/>
      <c r="E6" s="17"/>
      <c r="F6" s="17"/>
      <c r="G6" s="1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9" t="s">
        <v>22</v>
      </c>
      <c r="B7" s="20" t="s">
        <v>23</v>
      </c>
      <c r="C7" s="20" t="s">
        <v>24</v>
      </c>
      <c r="D7" s="20" t="s">
        <v>25</v>
      </c>
      <c r="E7" s="20" t="s">
        <v>26</v>
      </c>
      <c r="F7" s="20" t="s">
        <v>27</v>
      </c>
      <c r="G7" s="20" t="s">
        <v>28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9" t="s">
        <v>29</v>
      </c>
      <c r="B8" s="20" t="s">
        <v>30</v>
      </c>
      <c r="C8" s="20" t="s">
        <v>31</v>
      </c>
      <c r="D8" s="20" t="s">
        <v>32</v>
      </c>
      <c r="E8" s="20" t="s">
        <v>33</v>
      </c>
      <c r="F8" s="20" t="s">
        <v>34</v>
      </c>
      <c r="G8" s="20" t="s">
        <v>35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9" t="s">
        <v>36</v>
      </c>
      <c r="B9" s="20" t="s">
        <v>37</v>
      </c>
      <c r="C9" s="20" t="s">
        <v>38</v>
      </c>
      <c r="D9" s="20" t="s">
        <v>39</v>
      </c>
      <c r="E9" s="20" t="s">
        <v>40</v>
      </c>
      <c r="F9" s="20" t="s">
        <v>41</v>
      </c>
      <c r="G9" s="20" t="s">
        <v>42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0" customHeight="1">
      <c r="A10" s="21"/>
      <c r="B10" s="17"/>
      <c r="C10" s="17"/>
      <c r="D10" s="17"/>
      <c r="E10" s="17"/>
      <c r="F10" s="17"/>
      <c r="G10" s="2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9" t="s">
        <v>43</v>
      </c>
      <c r="B11" s="23" t="s">
        <v>44</v>
      </c>
      <c r="C11" s="23" t="s">
        <v>45</v>
      </c>
      <c r="D11" s="23" t="s">
        <v>46</v>
      </c>
      <c r="E11" s="23" t="s">
        <v>47</v>
      </c>
      <c r="F11" s="23" t="s">
        <v>48</v>
      </c>
      <c r="G11" s="23" t="s">
        <v>49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9" t="s">
        <v>50</v>
      </c>
      <c r="B12" s="23" t="s">
        <v>51</v>
      </c>
      <c r="C12" s="23" t="s">
        <v>52</v>
      </c>
      <c r="D12" s="23" t="s">
        <v>53</v>
      </c>
      <c r="E12" s="23" t="s">
        <v>54</v>
      </c>
      <c r="F12" s="23" t="s">
        <v>55</v>
      </c>
      <c r="G12" s="23" t="s">
        <v>56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9" t="s">
        <v>57</v>
      </c>
      <c r="B13" s="23" t="s">
        <v>58</v>
      </c>
      <c r="C13" s="23" t="s">
        <v>59</v>
      </c>
      <c r="D13" s="23" t="s">
        <v>60</v>
      </c>
      <c r="E13" s="23" t="s">
        <v>61</v>
      </c>
      <c r="F13" s="23" t="s">
        <v>62</v>
      </c>
      <c r="G13" s="23" t="s">
        <v>63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.25" customHeight="1">
      <c r="A14" s="21"/>
      <c r="B14" s="17"/>
      <c r="C14" s="17"/>
      <c r="D14" s="17"/>
      <c r="E14" s="17"/>
      <c r="F14" s="17"/>
      <c r="G14" s="2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9" t="s">
        <v>64</v>
      </c>
      <c r="B15" s="24" t="s">
        <v>65</v>
      </c>
      <c r="C15" s="24" t="s">
        <v>66</v>
      </c>
      <c r="D15" s="24" t="s">
        <v>67</v>
      </c>
      <c r="E15" s="24" t="s">
        <v>68</v>
      </c>
      <c r="F15" s="24" t="s">
        <v>69</v>
      </c>
      <c r="G15" s="24" t="s">
        <v>70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9" t="s">
        <v>71</v>
      </c>
      <c r="B16" s="24" t="s">
        <v>72</v>
      </c>
      <c r="C16" s="24" t="s">
        <v>73</v>
      </c>
      <c r="D16" s="24" t="s">
        <v>74</v>
      </c>
      <c r="E16" s="24" t="s">
        <v>75</v>
      </c>
      <c r="F16" s="24" t="s">
        <v>76</v>
      </c>
      <c r="G16" s="24" t="s">
        <v>77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9" t="s">
        <v>78</v>
      </c>
      <c r="B17" s="24" t="s">
        <v>79</v>
      </c>
      <c r="C17" s="24" t="s">
        <v>80</v>
      </c>
      <c r="D17" s="24" t="s">
        <v>81</v>
      </c>
      <c r="E17" s="24" t="s">
        <v>82</v>
      </c>
      <c r="F17" s="24" t="s">
        <v>83</v>
      </c>
      <c r="G17" s="24" t="s">
        <v>84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21"/>
      <c r="B18" s="17"/>
      <c r="C18" s="17"/>
      <c r="D18" s="17"/>
      <c r="E18" s="17"/>
      <c r="F18" s="17"/>
      <c r="G18" s="2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9" t="s">
        <v>85</v>
      </c>
      <c r="B19" s="24" t="s">
        <v>86</v>
      </c>
      <c r="C19" s="24" t="s">
        <v>87</v>
      </c>
      <c r="D19" s="24" t="s">
        <v>88</v>
      </c>
      <c r="E19" s="24" t="s">
        <v>89</v>
      </c>
      <c r="F19" s="24" t="s">
        <v>90</v>
      </c>
      <c r="G19" s="24" t="s">
        <v>91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 t="s">
        <v>92</v>
      </c>
      <c r="B20" s="24" t="s">
        <v>93</v>
      </c>
      <c r="C20" s="24" t="s">
        <v>94</v>
      </c>
      <c r="D20" s="24" t="s">
        <v>95</v>
      </c>
      <c r="E20" s="24" t="s">
        <v>96</v>
      </c>
      <c r="F20" s="24" t="s">
        <v>97</v>
      </c>
      <c r="G20" s="24" t="s">
        <v>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19" t="s">
        <v>99</v>
      </c>
      <c r="B21" s="24" t="s">
        <v>100</v>
      </c>
      <c r="C21" s="24" t="s">
        <v>101</v>
      </c>
      <c r="D21" s="24" t="s">
        <v>102</v>
      </c>
      <c r="E21" s="24" t="s">
        <v>103</v>
      </c>
      <c r="F21" s="24" t="s">
        <v>104</v>
      </c>
      <c r="G21" s="24" t="s">
        <v>105</v>
      </c>
      <c r="H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>
      <c r="A22" s="25"/>
      <c r="B22" s="17"/>
      <c r="C22" s="17"/>
      <c r="D22" s="17"/>
      <c r="E22" s="17"/>
      <c r="F22" s="17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6" t="s">
        <v>106</v>
      </c>
      <c r="B23" s="17"/>
      <c r="C23" s="17"/>
      <c r="D23" s="17"/>
      <c r="E23" s="17"/>
      <c r="F23" s="17"/>
      <c r="G23" s="2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 t="s">
        <v>22</v>
      </c>
      <c r="B24" s="23" t="s">
        <v>107</v>
      </c>
      <c r="C24" s="23" t="s">
        <v>108</v>
      </c>
      <c r="D24" s="23" t="s">
        <v>109</v>
      </c>
      <c r="E24" s="23" t="s">
        <v>110</v>
      </c>
      <c r="F24" s="23" t="s">
        <v>111</v>
      </c>
      <c r="G24" s="23" t="s">
        <v>112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9" t="s">
        <v>29</v>
      </c>
      <c r="B25" s="23" t="s">
        <v>113</v>
      </c>
      <c r="C25" s="23" t="s">
        <v>114</v>
      </c>
      <c r="D25" s="23" t="s">
        <v>115</v>
      </c>
      <c r="E25" s="23" t="s">
        <v>116</v>
      </c>
      <c r="F25" s="23" t="s">
        <v>117</v>
      </c>
      <c r="G25" s="23" t="s">
        <v>118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9" t="s">
        <v>36</v>
      </c>
      <c r="B26" s="27" t="s">
        <v>9</v>
      </c>
      <c r="C26" s="23" t="s">
        <v>119</v>
      </c>
      <c r="D26" s="23" t="s">
        <v>120</v>
      </c>
      <c r="E26" s="27" t="s">
        <v>12</v>
      </c>
      <c r="F26" s="23" t="s">
        <v>121</v>
      </c>
      <c r="G26" s="23" t="s">
        <v>122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8.25" customHeight="1">
      <c r="A27" s="21"/>
      <c r="B27" s="17"/>
      <c r="C27" s="17"/>
      <c r="D27" s="17"/>
      <c r="E27" s="17"/>
      <c r="F27" s="17"/>
      <c r="G27" s="2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9" t="s">
        <v>43</v>
      </c>
      <c r="B28" s="23" t="s">
        <v>123</v>
      </c>
      <c r="C28" s="23" t="s">
        <v>124</v>
      </c>
      <c r="D28" s="27" t="s">
        <v>11</v>
      </c>
      <c r="E28" s="23" t="s">
        <v>125</v>
      </c>
      <c r="F28" s="23" t="s">
        <v>126</v>
      </c>
      <c r="G28" s="27" t="s">
        <v>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9" t="s">
        <v>50</v>
      </c>
      <c r="B29" s="23" t="s">
        <v>127</v>
      </c>
      <c r="C29" s="23" t="s">
        <v>128</v>
      </c>
      <c r="D29" s="23" t="s">
        <v>129</v>
      </c>
      <c r="E29" s="23" t="s">
        <v>130</v>
      </c>
      <c r="F29" s="23" t="s">
        <v>131</v>
      </c>
      <c r="G29" s="23" t="s">
        <v>132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9" t="s">
        <v>57</v>
      </c>
      <c r="B30" s="23" t="s">
        <v>133</v>
      </c>
      <c r="C30" s="23" t="s">
        <v>134</v>
      </c>
      <c r="D30" s="23" t="s">
        <v>135</v>
      </c>
      <c r="E30" s="23" t="s">
        <v>136</v>
      </c>
      <c r="F30" s="23" t="s">
        <v>137</v>
      </c>
      <c r="G30" s="23" t="s">
        <v>138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1"/>
      <c r="B31" s="17"/>
      <c r="C31" s="17"/>
      <c r="D31" s="17"/>
      <c r="E31" s="17"/>
      <c r="F31" s="17"/>
      <c r="G31" s="2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9" t="s">
        <v>64</v>
      </c>
      <c r="B32" s="23" t="s">
        <v>139</v>
      </c>
      <c r="C32" s="27" t="s">
        <v>10</v>
      </c>
      <c r="D32" s="23" t="s">
        <v>140</v>
      </c>
      <c r="E32" s="23" t="s">
        <v>141</v>
      </c>
      <c r="F32" s="23" t="s">
        <v>142</v>
      </c>
      <c r="G32" s="23" t="s">
        <v>143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9" t="s">
        <v>71</v>
      </c>
      <c r="B33" s="23" t="s">
        <v>144</v>
      </c>
      <c r="C33" s="23" t="s">
        <v>145</v>
      </c>
      <c r="D33" s="23" t="s">
        <v>146</v>
      </c>
      <c r="E33" s="23" t="s">
        <v>147</v>
      </c>
      <c r="F33" s="23" t="s">
        <v>148</v>
      </c>
      <c r="G33" s="23" t="s">
        <v>149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19" t="s">
        <v>78</v>
      </c>
      <c r="B34" s="23" t="s">
        <v>150</v>
      </c>
      <c r="C34" s="23" t="s">
        <v>151</v>
      </c>
      <c r="D34" s="23" t="s">
        <v>152</v>
      </c>
      <c r="E34" s="23" t="s">
        <v>153</v>
      </c>
      <c r="F34" s="23" t="s">
        <v>154</v>
      </c>
      <c r="G34" s="23" t="s">
        <v>155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5"/>
      <c r="B35" s="17"/>
      <c r="C35" s="17"/>
      <c r="D35" s="17"/>
      <c r="E35" s="17"/>
      <c r="F35" s="17"/>
      <c r="G35" s="2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3:G23"/>
    <mergeCell ref="A27:G27"/>
    <mergeCell ref="A31:G31"/>
    <mergeCell ref="A35:G35"/>
    <mergeCell ref="A1:G1"/>
    <mergeCell ref="A2:G2"/>
    <mergeCell ref="A6:G6"/>
    <mergeCell ref="A10:G10"/>
    <mergeCell ref="A14:G14"/>
    <mergeCell ref="A18:G18"/>
    <mergeCell ref="A22:G22"/>
  </mergeCells>
  <printOptions/>
  <pageMargins bottom="0.4872047244094489" footer="0.0" header="0.0" left="0.8643954787909578" right="0.25" top="0.37719075438150884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3.63"/>
    <col customWidth="1" min="3" max="7" width="3.88"/>
    <col customWidth="1" min="8" max="8" width="11.38"/>
    <col customWidth="1" min="9" max="9" width="7.0"/>
    <col customWidth="1" min="10" max="10" width="31.75"/>
    <col customWidth="1" min="11" max="15" width="3.88"/>
    <col customWidth="1" min="16" max="16" width="13.38"/>
    <col customWidth="1" min="17" max="29" width="8.0"/>
  </cols>
  <sheetData>
    <row r="1" ht="12.75" customHeight="1"/>
    <row r="2" ht="23.25" customHeight="1">
      <c r="A2" s="28" t="s">
        <v>156</v>
      </c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19.5" customHeight="1">
      <c r="A3" s="30" t="s">
        <v>1</v>
      </c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</row>
    <row r="4" ht="12.75" customHeight="1"/>
    <row r="5" ht="12.75" customHeight="1">
      <c r="A5" s="32"/>
      <c r="B5" s="33" t="s">
        <v>157</v>
      </c>
      <c r="C5" s="34">
        <v>1.0</v>
      </c>
      <c r="D5" s="34">
        <v>2.0</v>
      </c>
      <c r="E5" s="34">
        <v>3.0</v>
      </c>
      <c r="F5" s="34">
        <v>4.0</v>
      </c>
      <c r="G5" s="34">
        <v>5.0</v>
      </c>
      <c r="H5" s="34" t="s">
        <v>158</v>
      </c>
      <c r="I5" s="35"/>
      <c r="J5" s="33" t="s">
        <v>157</v>
      </c>
      <c r="K5" s="34">
        <v>1.0</v>
      </c>
      <c r="L5" s="34">
        <v>2.0</v>
      </c>
      <c r="M5" s="34">
        <v>3.0</v>
      </c>
      <c r="N5" s="34">
        <v>4.0</v>
      </c>
      <c r="O5" s="34">
        <v>5.0</v>
      </c>
      <c r="P5" s="34" t="s">
        <v>158</v>
      </c>
    </row>
    <row r="6" ht="18.0" customHeight="1">
      <c r="A6" s="36" t="s">
        <v>2</v>
      </c>
      <c r="B6" s="37" t="s">
        <v>159</v>
      </c>
      <c r="C6" s="38"/>
      <c r="D6" s="38"/>
      <c r="E6" s="38"/>
      <c r="F6" s="39"/>
      <c r="G6" s="39"/>
      <c r="H6" s="39"/>
      <c r="I6" s="36" t="s">
        <v>3</v>
      </c>
      <c r="J6" s="40" t="s">
        <v>160</v>
      </c>
      <c r="K6" s="41"/>
      <c r="L6" s="41"/>
      <c r="M6" s="41"/>
      <c r="N6" s="41"/>
      <c r="O6" s="41"/>
      <c r="P6" s="42"/>
    </row>
    <row r="7" ht="18.0" customHeight="1">
      <c r="A7" s="43" t="s">
        <v>22</v>
      </c>
      <c r="B7" s="44" t="s">
        <v>23</v>
      </c>
      <c r="C7" s="45">
        <v>1.0</v>
      </c>
      <c r="D7" s="45">
        <v>1.0</v>
      </c>
      <c r="E7" s="46"/>
      <c r="F7" s="46"/>
      <c r="G7" s="45">
        <v>1.0</v>
      </c>
      <c r="H7" s="47">
        <f t="shared" ref="H7:H18" si="1">SUM(C7:G7)</f>
        <v>3</v>
      </c>
      <c r="I7" s="43" t="s">
        <v>22</v>
      </c>
      <c r="J7" s="44" t="s">
        <v>24</v>
      </c>
      <c r="K7" s="48">
        <v>1.0</v>
      </c>
      <c r="L7" s="48">
        <v>1.0</v>
      </c>
      <c r="M7" s="48">
        <v>1.0</v>
      </c>
      <c r="N7" s="38"/>
      <c r="O7" s="48">
        <v>1.0</v>
      </c>
      <c r="P7" s="47">
        <f t="shared" ref="P7:P18" si="2">SUM(K7:O7)</f>
        <v>4</v>
      </c>
    </row>
    <row r="8" ht="18.0" customHeight="1">
      <c r="A8" s="43" t="s">
        <v>29</v>
      </c>
      <c r="B8" s="44" t="s">
        <v>30</v>
      </c>
      <c r="C8" s="45">
        <v>1.0</v>
      </c>
      <c r="D8" s="46"/>
      <c r="E8" s="45">
        <v>1.0</v>
      </c>
      <c r="F8" s="46"/>
      <c r="G8" s="45">
        <v>1.0</v>
      </c>
      <c r="H8" s="47">
        <f t="shared" si="1"/>
        <v>3</v>
      </c>
      <c r="I8" s="43" t="s">
        <v>29</v>
      </c>
      <c r="J8" s="44" t="s">
        <v>31</v>
      </c>
      <c r="K8" s="48">
        <v>1.0</v>
      </c>
      <c r="L8" s="48">
        <v>1.0</v>
      </c>
      <c r="M8" s="38"/>
      <c r="N8" s="48">
        <v>1.0</v>
      </c>
      <c r="O8" s="38"/>
      <c r="P8" s="47">
        <f t="shared" si="2"/>
        <v>3</v>
      </c>
    </row>
    <row r="9" ht="18.0" customHeight="1">
      <c r="A9" s="43" t="s">
        <v>36</v>
      </c>
      <c r="B9" s="44" t="s">
        <v>37</v>
      </c>
      <c r="C9" s="46"/>
      <c r="D9" s="45">
        <v>1.0</v>
      </c>
      <c r="E9" s="45">
        <v>1.0</v>
      </c>
      <c r="F9" s="46"/>
      <c r="G9" s="46"/>
      <c r="H9" s="47">
        <f t="shared" si="1"/>
        <v>2</v>
      </c>
      <c r="I9" s="43" t="s">
        <v>36</v>
      </c>
      <c r="J9" s="44" t="s">
        <v>38</v>
      </c>
      <c r="K9" s="38"/>
      <c r="L9" s="38"/>
      <c r="M9" s="48">
        <v>1.0</v>
      </c>
      <c r="N9" s="48">
        <v>1.0</v>
      </c>
      <c r="O9" s="48">
        <v>1.0</v>
      </c>
      <c r="P9" s="47">
        <f t="shared" si="2"/>
        <v>3</v>
      </c>
    </row>
    <row r="10" ht="18.0" customHeight="1">
      <c r="A10" s="43" t="s">
        <v>43</v>
      </c>
      <c r="B10" s="44" t="s">
        <v>44</v>
      </c>
      <c r="C10" s="45">
        <v>1.0</v>
      </c>
      <c r="D10" s="49">
        <v>1.0</v>
      </c>
      <c r="E10" s="46"/>
      <c r="F10" s="45">
        <v>1.0</v>
      </c>
      <c r="G10" s="45">
        <v>1.0</v>
      </c>
      <c r="H10" s="47">
        <f t="shared" si="1"/>
        <v>4</v>
      </c>
      <c r="I10" s="43" t="s">
        <v>43</v>
      </c>
      <c r="J10" s="44" t="s">
        <v>45</v>
      </c>
      <c r="K10" s="48">
        <v>1.0</v>
      </c>
      <c r="L10" s="48">
        <v>1.0</v>
      </c>
      <c r="M10" s="38"/>
      <c r="N10" s="48">
        <v>1.0</v>
      </c>
      <c r="O10" s="48">
        <v>1.0</v>
      </c>
      <c r="P10" s="47">
        <f t="shared" si="2"/>
        <v>4</v>
      </c>
    </row>
    <row r="11" ht="18.0" customHeight="1">
      <c r="A11" s="43" t="s">
        <v>50</v>
      </c>
      <c r="B11" s="44" t="s">
        <v>51</v>
      </c>
      <c r="C11" s="45">
        <v>1.0</v>
      </c>
      <c r="D11" s="46"/>
      <c r="E11" s="45">
        <v>1.0</v>
      </c>
      <c r="F11" s="46"/>
      <c r="G11" s="45">
        <v>1.0</v>
      </c>
      <c r="H11" s="47">
        <f t="shared" si="1"/>
        <v>3</v>
      </c>
      <c r="I11" s="43" t="s">
        <v>50</v>
      </c>
      <c r="J11" s="44" t="s">
        <v>52</v>
      </c>
      <c r="K11" s="38"/>
      <c r="L11" s="48">
        <v>1.0</v>
      </c>
      <c r="M11" s="48">
        <v>1.0</v>
      </c>
      <c r="N11" s="48">
        <v>1.0</v>
      </c>
      <c r="O11" s="38"/>
      <c r="P11" s="47">
        <f t="shared" si="2"/>
        <v>3</v>
      </c>
    </row>
    <row r="12" ht="18.0" customHeight="1">
      <c r="A12" s="43" t="s">
        <v>57</v>
      </c>
      <c r="B12" s="44" t="s">
        <v>58</v>
      </c>
      <c r="C12" s="46"/>
      <c r="D12" s="49">
        <v>1.0</v>
      </c>
      <c r="E12" s="45">
        <v>1.0</v>
      </c>
      <c r="F12" s="45">
        <v>1.0</v>
      </c>
      <c r="G12" s="46"/>
      <c r="H12" s="47">
        <f t="shared" si="1"/>
        <v>3</v>
      </c>
      <c r="I12" s="43" t="s">
        <v>57</v>
      </c>
      <c r="J12" s="44" t="s">
        <v>59</v>
      </c>
      <c r="K12" s="48">
        <v>1.0</v>
      </c>
      <c r="L12" s="38"/>
      <c r="M12" s="48">
        <v>1.0</v>
      </c>
      <c r="N12" s="38"/>
      <c r="O12" s="48">
        <v>1.0</v>
      </c>
      <c r="P12" s="47">
        <f t="shared" si="2"/>
        <v>3</v>
      </c>
    </row>
    <row r="13" ht="18.0" customHeight="1">
      <c r="A13" s="43" t="s">
        <v>64</v>
      </c>
      <c r="B13" s="44" t="s">
        <v>65</v>
      </c>
      <c r="C13" s="45">
        <v>1.0</v>
      </c>
      <c r="D13" s="45">
        <v>1.0</v>
      </c>
      <c r="E13" s="45">
        <v>1.0</v>
      </c>
      <c r="F13" s="46"/>
      <c r="G13" s="45">
        <v>1.0</v>
      </c>
      <c r="H13" s="47">
        <f t="shared" si="1"/>
        <v>4</v>
      </c>
      <c r="I13" s="43" t="s">
        <v>64</v>
      </c>
      <c r="J13" s="44" t="s">
        <v>66</v>
      </c>
      <c r="K13" s="48">
        <v>1.0</v>
      </c>
      <c r="L13" s="48">
        <v>1.0</v>
      </c>
      <c r="M13" s="48">
        <v>1.0</v>
      </c>
      <c r="N13" s="38"/>
      <c r="O13" s="48">
        <v>1.0</v>
      </c>
      <c r="P13" s="47">
        <f t="shared" si="2"/>
        <v>4</v>
      </c>
    </row>
    <row r="14" ht="18.0" customHeight="1">
      <c r="A14" s="43" t="s">
        <v>71</v>
      </c>
      <c r="B14" s="44" t="s">
        <v>72</v>
      </c>
      <c r="C14" s="46"/>
      <c r="D14" s="45">
        <v>1.0</v>
      </c>
      <c r="E14" s="46"/>
      <c r="F14" s="45">
        <v>1.0</v>
      </c>
      <c r="G14" s="45">
        <v>1.0</v>
      </c>
      <c r="H14" s="47">
        <f t="shared" si="1"/>
        <v>3</v>
      </c>
      <c r="I14" s="43" t="s">
        <v>71</v>
      </c>
      <c r="J14" s="50" t="s">
        <v>73</v>
      </c>
      <c r="K14" s="48">
        <v>1.0</v>
      </c>
      <c r="L14" s="38"/>
      <c r="M14" s="38"/>
      <c r="N14" s="48">
        <v>1.0</v>
      </c>
      <c r="O14" s="48">
        <v>1.0</v>
      </c>
      <c r="P14" s="47">
        <f t="shared" si="2"/>
        <v>3</v>
      </c>
    </row>
    <row r="15" ht="18.0" customHeight="1">
      <c r="A15" s="43" t="s">
        <v>78</v>
      </c>
      <c r="B15" s="44" t="s">
        <v>79</v>
      </c>
      <c r="C15" s="45">
        <v>1.0</v>
      </c>
      <c r="D15" s="46"/>
      <c r="E15" s="45">
        <v>1.0</v>
      </c>
      <c r="F15" s="45">
        <v>1.0</v>
      </c>
      <c r="G15" s="46"/>
      <c r="H15" s="47">
        <f t="shared" si="1"/>
        <v>3</v>
      </c>
      <c r="I15" s="43" t="s">
        <v>78</v>
      </c>
      <c r="J15" s="50" t="s">
        <v>80</v>
      </c>
      <c r="K15" s="38"/>
      <c r="L15" s="49">
        <v>1.0</v>
      </c>
      <c r="M15" s="48">
        <v>1.0</v>
      </c>
      <c r="N15" s="48">
        <v>1.0</v>
      </c>
      <c r="O15" s="38"/>
      <c r="P15" s="47">
        <f t="shared" si="2"/>
        <v>3</v>
      </c>
    </row>
    <row r="16" ht="18.0" customHeight="1">
      <c r="A16" s="43" t="s">
        <v>85</v>
      </c>
      <c r="B16" s="44" t="s">
        <v>86</v>
      </c>
      <c r="C16" s="46"/>
      <c r="D16" s="45">
        <v>1.0</v>
      </c>
      <c r="E16" s="45">
        <v>1.0</v>
      </c>
      <c r="F16" s="45">
        <v>1.0</v>
      </c>
      <c r="G16" s="45">
        <v>1.0</v>
      </c>
      <c r="H16" s="47">
        <f t="shared" si="1"/>
        <v>4</v>
      </c>
      <c r="I16" s="43" t="s">
        <v>85</v>
      </c>
      <c r="J16" s="50" t="s">
        <v>87</v>
      </c>
      <c r="K16" s="48">
        <v>1.0</v>
      </c>
      <c r="L16" s="48">
        <v>1.0</v>
      </c>
      <c r="M16" s="48">
        <v>1.0</v>
      </c>
      <c r="N16" s="38"/>
      <c r="O16" s="48">
        <v>1.0</v>
      </c>
      <c r="P16" s="47">
        <f t="shared" si="2"/>
        <v>4</v>
      </c>
    </row>
    <row r="17" ht="18.0" customHeight="1">
      <c r="A17" s="43" t="s">
        <v>92</v>
      </c>
      <c r="B17" s="44" t="s">
        <v>93</v>
      </c>
      <c r="C17" s="45">
        <v>1.0</v>
      </c>
      <c r="D17" s="45">
        <v>1.0</v>
      </c>
      <c r="E17" s="46"/>
      <c r="F17" s="45">
        <v>1.0</v>
      </c>
      <c r="G17" s="46"/>
      <c r="H17" s="47">
        <f t="shared" si="1"/>
        <v>3</v>
      </c>
      <c r="I17" s="43" t="s">
        <v>92</v>
      </c>
      <c r="J17" s="50" t="s">
        <v>94</v>
      </c>
      <c r="K17" s="48">
        <v>1.0</v>
      </c>
      <c r="L17" s="38"/>
      <c r="M17" s="38"/>
      <c r="N17" s="48">
        <v>1.0</v>
      </c>
      <c r="O17" s="48">
        <v>1.0</v>
      </c>
      <c r="P17" s="47">
        <f t="shared" si="2"/>
        <v>3</v>
      </c>
    </row>
    <row r="18" ht="18.0" customHeight="1">
      <c r="A18" s="43" t="s">
        <v>99</v>
      </c>
      <c r="B18" s="44" t="s">
        <v>100</v>
      </c>
      <c r="C18" s="45">
        <v>1.0</v>
      </c>
      <c r="D18" s="46"/>
      <c r="E18" s="45">
        <v>1.0</v>
      </c>
      <c r="F18" s="46"/>
      <c r="G18" s="45">
        <v>1.0</v>
      </c>
      <c r="H18" s="47">
        <f t="shared" si="1"/>
        <v>3</v>
      </c>
      <c r="I18" s="43" t="s">
        <v>99</v>
      </c>
      <c r="J18" s="50" t="s">
        <v>101</v>
      </c>
      <c r="K18" s="38"/>
      <c r="L18" s="48">
        <v>1.0</v>
      </c>
      <c r="M18" s="48">
        <v>1.0</v>
      </c>
      <c r="N18" s="48">
        <v>1.0</v>
      </c>
      <c r="O18" s="38"/>
      <c r="P18" s="47">
        <f t="shared" si="2"/>
        <v>3</v>
      </c>
    </row>
    <row r="19" ht="15.0" customHeight="1">
      <c r="A19" s="13"/>
      <c r="B19" s="13"/>
      <c r="C19" s="51"/>
      <c r="D19" s="51"/>
      <c r="E19" s="51"/>
      <c r="F19" s="51"/>
      <c r="G19" s="51"/>
      <c r="H19" s="47"/>
      <c r="I19" s="13"/>
      <c r="J19" s="52"/>
      <c r="K19" s="13"/>
      <c r="L19" s="13"/>
      <c r="M19" s="13"/>
      <c r="N19" s="13"/>
      <c r="O19" s="13"/>
      <c r="P19" s="53"/>
    </row>
    <row r="20" ht="18.0" customHeight="1">
      <c r="A20" s="54" t="s">
        <v>22</v>
      </c>
      <c r="B20" s="55" t="s">
        <v>107</v>
      </c>
      <c r="C20" s="56">
        <v>1.0</v>
      </c>
      <c r="D20" s="57"/>
      <c r="E20" s="56">
        <v>1.0</v>
      </c>
      <c r="F20" s="56">
        <v>1.0</v>
      </c>
      <c r="G20" s="57"/>
      <c r="H20" s="47">
        <f t="shared" ref="H20:H28" si="3">SUM(C20:G20)</f>
        <v>3</v>
      </c>
      <c r="I20" s="58" t="s">
        <v>22</v>
      </c>
      <c r="J20" s="55" t="s">
        <v>161</v>
      </c>
      <c r="K20" s="56">
        <v>1.0</v>
      </c>
      <c r="L20" s="57"/>
      <c r="M20" s="57"/>
      <c r="N20" s="56">
        <v>1.0</v>
      </c>
      <c r="O20" s="56">
        <v>1.0</v>
      </c>
      <c r="P20" s="47">
        <f t="shared" ref="P20:P28" si="4">SUM(K20:O20)</f>
        <v>3</v>
      </c>
    </row>
    <row r="21" ht="18.0" customHeight="1">
      <c r="A21" s="54" t="s">
        <v>29</v>
      </c>
      <c r="B21" s="44" t="s">
        <v>113</v>
      </c>
      <c r="C21" s="57"/>
      <c r="D21" s="57"/>
      <c r="E21" s="56">
        <v>1.0</v>
      </c>
      <c r="F21" s="56">
        <v>1.0</v>
      </c>
      <c r="G21" s="56">
        <v>1.0</v>
      </c>
      <c r="H21" s="47">
        <f t="shared" si="3"/>
        <v>3</v>
      </c>
      <c r="I21" s="58" t="s">
        <v>29</v>
      </c>
      <c r="J21" s="44" t="s">
        <v>114</v>
      </c>
      <c r="K21" s="56">
        <v>1.0</v>
      </c>
      <c r="L21" s="56">
        <v>1.0</v>
      </c>
      <c r="M21" s="56">
        <v>1.0</v>
      </c>
      <c r="N21" s="56">
        <v>1.0</v>
      </c>
      <c r="O21" s="57"/>
      <c r="P21" s="47">
        <f t="shared" si="4"/>
        <v>4</v>
      </c>
    </row>
    <row r="22" ht="18.0" customHeight="1">
      <c r="A22" s="54" t="s">
        <v>36</v>
      </c>
      <c r="B22" s="59" t="s">
        <v>9</v>
      </c>
      <c r="C22" s="56">
        <v>1.0</v>
      </c>
      <c r="D22" s="57"/>
      <c r="E22" s="57"/>
      <c r="F22" s="57"/>
      <c r="G22" s="56">
        <v>1.0</v>
      </c>
      <c r="H22" s="47">
        <f t="shared" si="3"/>
        <v>2</v>
      </c>
      <c r="I22" s="58" t="s">
        <v>36</v>
      </c>
      <c r="J22" s="44" t="s">
        <v>119</v>
      </c>
      <c r="K22" s="57"/>
      <c r="L22" s="56">
        <v>1.0</v>
      </c>
      <c r="M22" s="56">
        <v>1.0</v>
      </c>
      <c r="N22" s="57"/>
      <c r="O22" s="56">
        <v>1.0</v>
      </c>
      <c r="P22" s="47">
        <f t="shared" si="4"/>
        <v>3</v>
      </c>
    </row>
    <row r="23" ht="18.0" customHeight="1">
      <c r="A23" s="54" t="s">
        <v>43</v>
      </c>
      <c r="B23" s="44" t="s">
        <v>123</v>
      </c>
      <c r="C23" s="56">
        <v>1.0</v>
      </c>
      <c r="D23" s="56">
        <v>1.0</v>
      </c>
      <c r="E23" s="57"/>
      <c r="F23" s="56">
        <v>1.0</v>
      </c>
      <c r="G23" s="56">
        <v>1.0</v>
      </c>
      <c r="H23" s="47">
        <f t="shared" si="3"/>
        <v>4</v>
      </c>
      <c r="I23" s="58" t="s">
        <v>43</v>
      </c>
      <c r="J23" s="44" t="s">
        <v>124</v>
      </c>
      <c r="K23" s="56">
        <v>1.0</v>
      </c>
      <c r="L23" s="56">
        <v>1.0</v>
      </c>
      <c r="M23" s="57"/>
      <c r="N23" s="56">
        <v>1.0</v>
      </c>
      <c r="O23" s="57"/>
      <c r="P23" s="47">
        <f t="shared" si="4"/>
        <v>3</v>
      </c>
    </row>
    <row r="24" ht="18.0" customHeight="1">
      <c r="A24" s="54" t="s">
        <v>50</v>
      </c>
      <c r="B24" s="44" t="s">
        <v>127</v>
      </c>
      <c r="C24" s="56">
        <v>1.0</v>
      </c>
      <c r="D24" s="57"/>
      <c r="E24" s="56">
        <v>1.0</v>
      </c>
      <c r="F24" s="56">
        <v>1.0</v>
      </c>
      <c r="G24" s="57"/>
      <c r="H24" s="47">
        <f t="shared" si="3"/>
        <v>3</v>
      </c>
      <c r="I24" s="58" t="s">
        <v>50</v>
      </c>
      <c r="J24" s="44" t="s">
        <v>128</v>
      </c>
      <c r="K24" s="56">
        <v>1.0</v>
      </c>
      <c r="L24" s="57"/>
      <c r="M24" s="56">
        <v>1.0</v>
      </c>
      <c r="N24" s="57"/>
      <c r="O24" s="56">
        <v>1.0</v>
      </c>
      <c r="P24" s="47">
        <f t="shared" si="4"/>
        <v>3</v>
      </c>
    </row>
    <row r="25" ht="18.0" customHeight="1">
      <c r="A25" s="54" t="s">
        <v>57</v>
      </c>
      <c r="B25" s="44" t="s">
        <v>133</v>
      </c>
      <c r="C25" s="57"/>
      <c r="D25" s="56">
        <v>1.0</v>
      </c>
      <c r="E25" s="56">
        <v>1.0</v>
      </c>
      <c r="F25" s="57"/>
      <c r="G25" s="56">
        <v>1.0</v>
      </c>
      <c r="H25" s="47">
        <f t="shared" si="3"/>
        <v>3</v>
      </c>
      <c r="I25" s="58" t="s">
        <v>57</v>
      </c>
      <c r="J25" s="44" t="s">
        <v>134</v>
      </c>
      <c r="K25" s="57"/>
      <c r="L25" s="56">
        <v>1.0</v>
      </c>
      <c r="M25" s="56">
        <v>1.0</v>
      </c>
      <c r="N25" s="56">
        <v>1.0</v>
      </c>
      <c r="O25" s="56">
        <v>1.0</v>
      </c>
      <c r="P25" s="47">
        <f t="shared" si="4"/>
        <v>4</v>
      </c>
    </row>
    <row r="26" ht="18.0" customHeight="1">
      <c r="A26" s="54" t="s">
        <v>64</v>
      </c>
      <c r="B26" s="44" t="s">
        <v>139</v>
      </c>
      <c r="C26" s="56">
        <v>1.0</v>
      </c>
      <c r="D26" s="56">
        <v>1.0</v>
      </c>
      <c r="E26" s="56">
        <v>1.0</v>
      </c>
      <c r="F26" s="57"/>
      <c r="G26" s="56">
        <v>1.0</v>
      </c>
      <c r="H26" s="47">
        <f t="shared" si="3"/>
        <v>4</v>
      </c>
      <c r="I26" s="58" t="s">
        <v>64</v>
      </c>
      <c r="J26" s="59" t="s">
        <v>10</v>
      </c>
      <c r="K26" s="56">
        <v>1.0</v>
      </c>
      <c r="L26" s="56">
        <v>1.0</v>
      </c>
      <c r="M26" s="56">
        <v>1.0</v>
      </c>
      <c r="N26" s="57"/>
      <c r="O26" s="56">
        <v>1.0</v>
      </c>
      <c r="P26" s="47">
        <f t="shared" si="4"/>
        <v>4</v>
      </c>
    </row>
    <row r="27" ht="18.0" customHeight="1">
      <c r="A27" s="54" t="s">
        <v>71</v>
      </c>
      <c r="B27" s="44" t="s">
        <v>144</v>
      </c>
      <c r="C27" s="56">
        <v>1.0</v>
      </c>
      <c r="D27" s="57"/>
      <c r="E27" s="56">
        <v>1.0</v>
      </c>
      <c r="F27" s="56">
        <v>1.0</v>
      </c>
      <c r="G27" s="57"/>
      <c r="H27" s="47">
        <f t="shared" si="3"/>
        <v>3</v>
      </c>
      <c r="I27" s="58" t="s">
        <v>71</v>
      </c>
      <c r="J27" s="44" t="s">
        <v>145</v>
      </c>
      <c r="K27" s="56">
        <v>1.0</v>
      </c>
      <c r="L27" s="57"/>
      <c r="M27" s="57"/>
      <c r="N27" s="56">
        <v>1.0</v>
      </c>
      <c r="O27" s="56">
        <v>1.0</v>
      </c>
      <c r="P27" s="47">
        <f t="shared" si="4"/>
        <v>3</v>
      </c>
    </row>
    <row r="28" ht="18.0" customHeight="1">
      <c r="A28" s="54" t="s">
        <v>78</v>
      </c>
      <c r="B28" s="44" t="s">
        <v>150</v>
      </c>
      <c r="C28" s="57"/>
      <c r="D28" s="56">
        <v>1.0</v>
      </c>
      <c r="E28" s="57"/>
      <c r="F28" s="56">
        <v>1.0</v>
      </c>
      <c r="G28" s="56">
        <v>1.0</v>
      </c>
      <c r="H28" s="47">
        <f t="shared" si="3"/>
        <v>3</v>
      </c>
      <c r="I28" s="58" t="s">
        <v>78</v>
      </c>
      <c r="J28" s="44" t="s">
        <v>151</v>
      </c>
      <c r="K28" s="57"/>
      <c r="L28" s="56">
        <v>1.0</v>
      </c>
      <c r="M28" s="56">
        <v>1.0</v>
      </c>
      <c r="N28" s="56">
        <v>1.0</v>
      </c>
      <c r="O28" s="57"/>
      <c r="P28" s="47">
        <f t="shared" si="4"/>
        <v>3</v>
      </c>
    </row>
    <row r="29" ht="18.0" customHeight="1">
      <c r="A29" s="60"/>
      <c r="B29" s="61"/>
      <c r="C29" s="62"/>
      <c r="D29" s="62"/>
      <c r="E29" s="62"/>
      <c r="F29" s="62"/>
      <c r="G29" s="62"/>
      <c r="H29" s="63"/>
      <c r="I29" s="60"/>
      <c r="J29" s="61"/>
      <c r="K29" s="62"/>
      <c r="L29" s="62"/>
      <c r="M29" s="62"/>
      <c r="N29" s="62"/>
      <c r="O29" s="62"/>
      <c r="P29" s="63"/>
      <c r="Q29" s="64"/>
      <c r="R29" s="64"/>
    </row>
    <row r="30" ht="18.0" customHeight="1">
      <c r="A30" s="60"/>
      <c r="B30" s="61"/>
      <c r="C30" s="62"/>
      <c r="D30" s="62"/>
      <c r="E30" s="62"/>
      <c r="F30" s="62"/>
      <c r="G30" s="62"/>
      <c r="H30" s="63"/>
      <c r="I30" s="60"/>
      <c r="J30" s="61"/>
      <c r="K30" s="62"/>
      <c r="L30" s="62"/>
      <c r="M30" s="62"/>
      <c r="N30" s="62"/>
      <c r="O30" s="62"/>
      <c r="P30" s="63"/>
      <c r="Q30" s="64"/>
      <c r="R30" s="64"/>
    </row>
    <row r="31" ht="18.0" customHeight="1">
      <c r="A31" s="60"/>
      <c r="B31" s="61"/>
      <c r="C31" s="62"/>
      <c r="D31" s="62"/>
      <c r="E31" s="62"/>
      <c r="F31" s="62"/>
      <c r="G31" s="62"/>
      <c r="H31" s="63"/>
      <c r="I31" s="60"/>
      <c r="J31" s="61"/>
      <c r="K31" s="62"/>
      <c r="L31" s="62"/>
      <c r="M31" s="62"/>
      <c r="N31" s="62"/>
      <c r="O31" s="62"/>
      <c r="P31" s="63"/>
      <c r="Q31" s="64"/>
      <c r="R31" s="64"/>
    </row>
    <row r="32" ht="12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ht="12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ht="12.75" customHeight="1">
      <c r="A34" s="32"/>
      <c r="B34" s="33" t="s">
        <v>157</v>
      </c>
      <c r="C34" s="34">
        <v>1.0</v>
      </c>
      <c r="D34" s="34">
        <v>2.0</v>
      </c>
      <c r="E34" s="34">
        <v>3.0</v>
      </c>
      <c r="F34" s="34">
        <v>4.0</v>
      </c>
      <c r="G34" s="34">
        <v>5.0</v>
      </c>
      <c r="H34" s="34" t="s">
        <v>158</v>
      </c>
      <c r="I34" s="35"/>
      <c r="J34" s="33" t="s">
        <v>157</v>
      </c>
      <c r="K34" s="34">
        <v>1.0</v>
      </c>
      <c r="L34" s="34">
        <v>2.0</v>
      </c>
      <c r="M34" s="34">
        <v>3.0</v>
      </c>
      <c r="N34" s="34">
        <v>4.0</v>
      </c>
      <c r="O34" s="34">
        <v>5.0</v>
      </c>
      <c r="P34" s="34" t="s">
        <v>158</v>
      </c>
    </row>
    <row r="35" ht="18.0" customHeight="1">
      <c r="A35" s="65"/>
      <c r="B35" s="66"/>
      <c r="C35" s="67"/>
      <c r="D35" s="67"/>
      <c r="E35" s="67"/>
      <c r="F35" s="68"/>
      <c r="G35" s="68"/>
      <c r="H35" s="68"/>
      <c r="I35" s="65"/>
      <c r="J35" s="66"/>
      <c r="K35" s="67"/>
      <c r="L35" s="67"/>
      <c r="M35" s="67"/>
      <c r="N35" s="67"/>
      <c r="O35" s="67"/>
      <c r="P35" s="65"/>
    </row>
    <row r="36" ht="18.0" customHeight="1">
      <c r="A36" s="69" t="s">
        <v>4</v>
      </c>
      <c r="B36" s="70" t="s">
        <v>162</v>
      </c>
      <c r="C36" s="71" t="s">
        <v>163</v>
      </c>
      <c r="D36" s="71" t="s">
        <v>164</v>
      </c>
      <c r="E36" s="71" t="s">
        <v>165</v>
      </c>
      <c r="F36" s="72" t="s">
        <v>166</v>
      </c>
      <c r="G36" s="72" t="s">
        <v>167</v>
      </c>
      <c r="H36" s="72" t="s">
        <v>168</v>
      </c>
      <c r="I36" s="73" t="s">
        <v>5</v>
      </c>
      <c r="J36" s="70" t="s">
        <v>169</v>
      </c>
      <c r="K36" s="71" t="s">
        <v>170</v>
      </c>
      <c r="L36" s="71" t="s">
        <v>171</v>
      </c>
      <c r="M36" s="71" t="s">
        <v>172</v>
      </c>
      <c r="N36" s="71" t="s">
        <v>173</v>
      </c>
      <c r="O36" s="71" t="s">
        <v>174</v>
      </c>
      <c r="P36" s="74" t="s">
        <v>175</v>
      </c>
    </row>
    <row r="37" ht="18.0" customHeight="1">
      <c r="A37" s="75" t="s">
        <v>22</v>
      </c>
      <c r="B37" s="76" t="s">
        <v>176</v>
      </c>
      <c r="C37" s="77">
        <v>1.0</v>
      </c>
      <c r="D37" s="77">
        <v>1.0</v>
      </c>
      <c r="E37" s="78"/>
      <c r="F37" s="77">
        <v>1.0</v>
      </c>
      <c r="G37" s="77">
        <v>1.0</v>
      </c>
      <c r="H37" s="79">
        <f t="shared" ref="H37:H48" si="5">SUM(C37:G37)</f>
        <v>4</v>
      </c>
      <c r="I37" s="75" t="s">
        <v>22</v>
      </c>
      <c r="J37" s="76" t="s">
        <v>26</v>
      </c>
      <c r="K37" s="77">
        <v>1.0</v>
      </c>
      <c r="L37" s="77">
        <v>1.0</v>
      </c>
      <c r="M37" s="78"/>
      <c r="N37" s="77">
        <v>1.0</v>
      </c>
      <c r="O37" s="77">
        <v>1.0</v>
      </c>
      <c r="P37" s="79">
        <f t="shared" ref="P37:P48" si="6">SUM(K37:O37)</f>
        <v>4</v>
      </c>
    </row>
    <row r="38" ht="18.0" customHeight="1">
      <c r="A38" s="75" t="s">
        <v>29</v>
      </c>
      <c r="B38" s="80" t="s">
        <v>32</v>
      </c>
      <c r="C38" s="78"/>
      <c r="D38" s="77">
        <v>1.0</v>
      </c>
      <c r="E38" s="77">
        <v>1.0</v>
      </c>
      <c r="F38" s="77">
        <v>1.0</v>
      </c>
      <c r="G38" s="78"/>
      <c r="H38" s="79">
        <f t="shared" si="5"/>
        <v>3</v>
      </c>
      <c r="I38" s="75" t="s">
        <v>29</v>
      </c>
      <c r="J38" s="80" t="s">
        <v>33</v>
      </c>
      <c r="K38" s="77">
        <v>1.0</v>
      </c>
      <c r="L38" s="77">
        <v>1.0</v>
      </c>
      <c r="M38" s="77">
        <v>1.0</v>
      </c>
      <c r="N38" s="78"/>
      <c r="O38" s="78"/>
      <c r="P38" s="79">
        <f t="shared" si="6"/>
        <v>3</v>
      </c>
    </row>
    <row r="39" ht="18.0" customHeight="1">
      <c r="A39" s="75" t="s">
        <v>36</v>
      </c>
      <c r="B39" s="76" t="s">
        <v>39</v>
      </c>
      <c r="C39" s="77">
        <v>1.0</v>
      </c>
      <c r="D39" s="78"/>
      <c r="E39" s="77">
        <v>1.0</v>
      </c>
      <c r="F39" s="78"/>
      <c r="G39" s="77">
        <v>1.0</v>
      </c>
      <c r="H39" s="79">
        <f t="shared" si="5"/>
        <v>3</v>
      </c>
      <c r="I39" s="75" t="s">
        <v>36</v>
      </c>
      <c r="J39" s="76" t="s">
        <v>40</v>
      </c>
      <c r="K39" s="78"/>
      <c r="L39" s="78"/>
      <c r="M39" s="77">
        <v>1.0</v>
      </c>
      <c r="N39" s="77">
        <v>1.0</v>
      </c>
      <c r="O39" s="77">
        <v>1.0</v>
      </c>
      <c r="P39" s="79">
        <f t="shared" si="6"/>
        <v>3</v>
      </c>
    </row>
    <row r="40" ht="18.0" customHeight="1">
      <c r="A40" s="75" t="s">
        <v>43</v>
      </c>
      <c r="B40" s="80" t="s">
        <v>46</v>
      </c>
      <c r="C40" s="77">
        <v>1.0</v>
      </c>
      <c r="D40" s="77">
        <v>1.0</v>
      </c>
      <c r="E40" s="78"/>
      <c r="F40" s="77">
        <v>1.0</v>
      </c>
      <c r="G40" s="77">
        <v>1.0</v>
      </c>
      <c r="H40" s="79">
        <f t="shared" si="5"/>
        <v>4</v>
      </c>
      <c r="I40" s="75" t="s">
        <v>43</v>
      </c>
      <c r="J40" s="80" t="s">
        <v>47</v>
      </c>
      <c r="K40" s="77">
        <v>1.0</v>
      </c>
      <c r="L40" s="77">
        <v>1.0</v>
      </c>
      <c r="M40" s="78"/>
      <c r="N40" s="77">
        <v>1.0</v>
      </c>
      <c r="O40" s="77">
        <v>1.0</v>
      </c>
      <c r="P40" s="79">
        <f t="shared" si="6"/>
        <v>4</v>
      </c>
    </row>
    <row r="41" ht="18.0" customHeight="1">
      <c r="A41" s="75" t="s">
        <v>50</v>
      </c>
      <c r="B41" s="76" t="s">
        <v>53</v>
      </c>
      <c r="C41" s="77">
        <v>1.0</v>
      </c>
      <c r="D41" s="78"/>
      <c r="E41" s="77">
        <v>1.0</v>
      </c>
      <c r="F41" s="78"/>
      <c r="G41" s="77">
        <v>1.0</v>
      </c>
      <c r="H41" s="79">
        <f t="shared" si="5"/>
        <v>3</v>
      </c>
      <c r="I41" s="75" t="s">
        <v>50</v>
      </c>
      <c r="J41" s="76" t="s">
        <v>54</v>
      </c>
      <c r="K41" s="77">
        <v>1.0</v>
      </c>
      <c r="L41" s="78"/>
      <c r="M41" s="77">
        <v>1.0</v>
      </c>
      <c r="N41" s="77">
        <v>1.0</v>
      </c>
      <c r="O41" s="78"/>
      <c r="P41" s="79">
        <f t="shared" si="6"/>
        <v>3</v>
      </c>
    </row>
    <row r="42" ht="18.0" customHeight="1">
      <c r="A42" s="75" t="s">
        <v>57</v>
      </c>
      <c r="B42" s="80" t="s">
        <v>60</v>
      </c>
      <c r="C42" s="78"/>
      <c r="D42" s="77">
        <v>1.0</v>
      </c>
      <c r="E42" s="77">
        <v>1.0</v>
      </c>
      <c r="F42" s="77">
        <v>1.0</v>
      </c>
      <c r="G42" s="78"/>
      <c r="H42" s="79">
        <f t="shared" si="5"/>
        <v>3</v>
      </c>
      <c r="I42" s="75" t="s">
        <v>57</v>
      </c>
      <c r="J42" s="80" t="s">
        <v>61</v>
      </c>
      <c r="K42" s="78"/>
      <c r="L42" s="77">
        <v>1.0</v>
      </c>
      <c r="M42" s="77">
        <v>1.0</v>
      </c>
      <c r="N42" s="78"/>
      <c r="O42" s="77">
        <v>1.0</v>
      </c>
      <c r="P42" s="79">
        <f t="shared" si="6"/>
        <v>3</v>
      </c>
    </row>
    <row r="43" ht="18.0" customHeight="1">
      <c r="A43" s="75" t="s">
        <v>64</v>
      </c>
      <c r="B43" s="81" t="s">
        <v>67</v>
      </c>
      <c r="C43" s="77">
        <v>1.0</v>
      </c>
      <c r="D43" s="78"/>
      <c r="E43" s="77">
        <v>1.0</v>
      </c>
      <c r="F43" s="78"/>
      <c r="G43" s="77">
        <v>1.0</v>
      </c>
      <c r="H43" s="79">
        <f t="shared" si="5"/>
        <v>3</v>
      </c>
      <c r="I43" s="75" t="s">
        <v>64</v>
      </c>
      <c r="J43" s="76" t="s">
        <v>68</v>
      </c>
      <c r="K43" s="77">
        <v>1.0</v>
      </c>
      <c r="L43" s="77">
        <v>1.0</v>
      </c>
      <c r="M43" s="77">
        <v>1.0</v>
      </c>
      <c r="N43" s="78"/>
      <c r="O43" s="77">
        <v>1.0</v>
      </c>
      <c r="P43" s="79">
        <f t="shared" si="6"/>
        <v>4</v>
      </c>
    </row>
    <row r="44" ht="18.0" customHeight="1">
      <c r="A44" s="75" t="s">
        <v>71</v>
      </c>
      <c r="B44" s="80" t="s">
        <v>74</v>
      </c>
      <c r="C44" s="78"/>
      <c r="D44" s="77">
        <v>1.0</v>
      </c>
      <c r="E44" s="77">
        <v>1.0</v>
      </c>
      <c r="F44" s="77">
        <v>1.0</v>
      </c>
      <c r="G44" s="78"/>
      <c r="H44" s="79">
        <f t="shared" si="5"/>
        <v>3</v>
      </c>
      <c r="I44" s="75" t="s">
        <v>71</v>
      </c>
      <c r="J44" s="80" t="s">
        <v>177</v>
      </c>
      <c r="K44" s="77">
        <v>1.0</v>
      </c>
      <c r="L44" s="78"/>
      <c r="M44" s="77">
        <v>1.0</v>
      </c>
      <c r="N44" s="77">
        <v>1.0</v>
      </c>
      <c r="O44" s="78"/>
      <c r="P44" s="79">
        <f t="shared" si="6"/>
        <v>3</v>
      </c>
    </row>
    <row r="45" ht="18.0" customHeight="1">
      <c r="A45" s="75" t="s">
        <v>78</v>
      </c>
      <c r="B45" s="76" t="s">
        <v>81</v>
      </c>
      <c r="C45" s="77">
        <v>1.0</v>
      </c>
      <c r="D45" s="77">
        <v>1.0</v>
      </c>
      <c r="E45" s="78"/>
      <c r="F45" s="77">
        <v>1.0</v>
      </c>
      <c r="G45" s="77">
        <v>1.0</v>
      </c>
      <c r="H45" s="79">
        <f t="shared" si="5"/>
        <v>4</v>
      </c>
      <c r="I45" s="75" t="s">
        <v>78</v>
      </c>
      <c r="J45" s="76" t="s">
        <v>82</v>
      </c>
      <c r="K45" s="78"/>
      <c r="L45" s="77">
        <v>1.0</v>
      </c>
      <c r="M45" s="78"/>
      <c r="N45" s="77">
        <v>1.0</v>
      </c>
      <c r="O45" s="77">
        <v>1.0</v>
      </c>
      <c r="P45" s="79">
        <f t="shared" si="6"/>
        <v>3</v>
      </c>
    </row>
    <row r="46" ht="18.0" customHeight="1">
      <c r="A46" s="75" t="s">
        <v>85</v>
      </c>
      <c r="B46" s="80" t="s">
        <v>88</v>
      </c>
      <c r="C46" s="77">
        <v>1.0</v>
      </c>
      <c r="D46" s="77">
        <v>1.0</v>
      </c>
      <c r="E46" s="78"/>
      <c r="F46" s="77">
        <v>1.0</v>
      </c>
      <c r="G46" s="78"/>
      <c r="H46" s="79">
        <f t="shared" si="5"/>
        <v>3</v>
      </c>
      <c r="I46" s="75" t="s">
        <v>85</v>
      </c>
      <c r="J46" s="80" t="s">
        <v>89</v>
      </c>
      <c r="K46" s="77">
        <v>1.0</v>
      </c>
      <c r="L46" s="78"/>
      <c r="M46" s="77">
        <v>1.0</v>
      </c>
      <c r="N46" s="78"/>
      <c r="O46" s="77">
        <v>1.0</v>
      </c>
      <c r="P46" s="79">
        <f t="shared" si="6"/>
        <v>3</v>
      </c>
    </row>
    <row r="47" ht="18.0" customHeight="1">
      <c r="A47" s="75" t="s">
        <v>92</v>
      </c>
      <c r="B47" s="76" t="s">
        <v>95</v>
      </c>
      <c r="C47" s="77">
        <v>1.0</v>
      </c>
      <c r="D47" s="78"/>
      <c r="E47" s="77">
        <v>1.0</v>
      </c>
      <c r="F47" s="77">
        <v>1.0</v>
      </c>
      <c r="G47" s="77">
        <v>1.0</v>
      </c>
      <c r="H47" s="79">
        <f t="shared" si="5"/>
        <v>4</v>
      </c>
      <c r="I47" s="75" t="s">
        <v>92</v>
      </c>
      <c r="J47" s="76" t="s">
        <v>96</v>
      </c>
      <c r="K47" s="77">
        <v>1.0</v>
      </c>
      <c r="L47" s="77">
        <v>1.0</v>
      </c>
      <c r="M47" s="77">
        <v>1.0</v>
      </c>
      <c r="N47" s="77">
        <v>1.0</v>
      </c>
      <c r="O47" s="78"/>
      <c r="P47" s="79">
        <f t="shared" si="6"/>
        <v>4</v>
      </c>
    </row>
    <row r="48" ht="18.0" customHeight="1">
      <c r="A48" s="75" t="s">
        <v>99</v>
      </c>
      <c r="B48" s="80" t="s">
        <v>102</v>
      </c>
      <c r="C48" s="78"/>
      <c r="D48" s="82">
        <v>1.0</v>
      </c>
      <c r="E48" s="77">
        <v>1.0</v>
      </c>
      <c r="F48" s="78"/>
      <c r="G48" s="77">
        <v>1.0</v>
      </c>
      <c r="H48" s="79">
        <f t="shared" si="5"/>
        <v>3</v>
      </c>
      <c r="I48" s="75" t="s">
        <v>99</v>
      </c>
      <c r="J48" s="80" t="s">
        <v>103</v>
      </c>
      <c r="K48" s="78"/>
      <c r="L48" s="77">
        <v>1.0</v>
      </c>
      <c r="M48" s="78"/>
      <c r="N48" s="77">
        <v>1.0</v>
      </c>
      <c r="O48" s="77">
        <v>1.0</v>
      </c>
      <c r="P48" s="79">
        <f t="shared" si="6"/>
        <v>3</v>
      </c>
    </row>
    <row r="49" ht="15.0" customHeight="1">
      <c r="A49" s="83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5"/>
    </row>
    <row r="50" ht="18.0" customHeight="1">
      <c r="A50" s="86" t="s">
        <v>22</v>
      </c>
      <c r="B50" s="80" t="s">
        <v>178</v>
      </c>
      <c r="C50" s="87">
        <v>1.0</v>
      </c>
      <c r="D50" s="87">
        <v>1.0</v>
      </c>
      <c r="E50" s="88"/>
      <c r="F50" s="88"/>
      <c r="G50" s="87">
        <v>1.0</v>
      </c>
      <c r="H50" s="79">
        <f t="shared" ref="H50:H58" si="7">SUM(C50:G50)</f>
        <v>3</v>
      </c>
      <c r="I50" s="86" t="s">
        <v>22</v>
      </c>
      <c r="J50" s="80" t="s">
        <v>110</v>
      </c>
      <c r="K50" s="88"/>
      <c r="L50" s="87">
        <v>1.0</v>
      </c>
      <c r="M50" s="87">
        <v>1.0</v>
      </c>
      <c r="N50" s="88"/>
      <c r="O50" s="88"/>
      <c r="P50" s="79">
        <f t="shared" ref="P50:P58" si="8">SUM(K50:O50)</f>
        <v>2</v>
      </c>
    </row>
    <row r="51" ht="18.0" customHeight="1">
      <c r="A51" s="86" t="s">
        <v>29</v>
      </c>
      <c r="B51" s="76" t="s">
        <v>115</v>
      </c>
      <c r="C51" s="87">
        <v>1.0</v>
      </c>
      <c r="D51" s="88"/>
      <c r="E51" s="87">
        <v>1.0</v>
      </c>
      <c r="F51" s="88"/>
      <c r="G51" s="87">
        <v>1.0</v>
      </c>
      <c r="H51" s="79">
        <f t="shared" si="7"/>
        <v>3</v>
      </c>
      <c r="I51" s="86" t="s">
        <v>29</v>
      </c>
      <c r="J51" s="76" t="s">
        <v>116</v>
      </c>
      <c r="K51" s="87">
        <v>1.0</v>
      </c>
      <c r="L51" s="88"/>
      <c r="M51" s="88"/>
      <c r="N51" s="88"/>
      <c r="O51" s="87">
        <v>1.0</v>
      </c>
      <c r="P51" s="79">
        <f t="shared" si="8"/>
        <v>2</v>
      </c>
    </row>
    <row r="52" ht="18.0" customHeight="1">
      <c r="A52" s="86" t="s">
        <v>36</v>
      </c>
      <c r="B52" s="80" t="s">
        <v>120</v>
      </c>
      <c r="C52" s="88"/>
      <c r="D52" s="87">
        <v>1.0</v>
      </c>
      <c r="E52" s="87">
        <v>1.0</v>
      </c>
      <c r="F52" s="88"/>
      <c r="G52" s="88"/>
      <c r="H52" s="79">
        <f t="shared" si="7"/>
        <v>2</v>
      </c>
      <c r="I52" s="86" t="s">
        <v>36</v>
      </c>
      <c r="J52" s="89" t="s">
        <v>12</v>
      </c>
      <c r="K52" s="87">
        <v>1.0</v>
      </c>
      <c r="L52" s="87">
        <v>1.0</v>
      </c>
      <c r="M52" s="87">
        <v>1.0</v>
      </c>
      <c r="N52" s="88"/>
      <c r="O52" s="87">
        <v>1.0</v>
      </c>
      <c r="P52" s="79">
        <f t="shared" si="8"/>
        <v>4</v>
      </c>
    </row>
    <row r="53" ht="18.0" customHeight="1">
      <c r="A53" s="86" t="s">
        <v>43</v>
      </c>
      <c r="B53" s="90" t="s">
        <v>11</v>
      </c>
      <c r="C53" s="87">
        <v>1.0</v>
      </c>
      <c r="D53" s="87">
        <v>1.0</v>
      </c>
      <c r="E53" s="88"/>
      <c r="F53" s="87">
        <v>1.0</v>
      </c>
      <c r="G53" s="88"/>
      <c r="H53" s="79">
        <f t="shared" si="7"/>
        <v>3</v>
      </c>
      <c r="I53" s="86" t="s">
        <v>43</v>
      </c>
      <c r="J53" s="76" t="s">
        <v>125</v>
      </c>
      <c r="K53" s="87">
        <v>1.0</v>
      </c>
      <c r="L53" s="87">
        <v>1.0</v>
      </c>
      <c r="M53" s="87">
        <v>1.0</v>
      </c>
      <c r="N53" s="88"/>
      <c r="O53" s="87">
        <v>1.0</v>
      </c>
      <c r="P53" s="79">
        <f t="shared" si="8"/>
        <v>4</v>
      </c>
    </row>
    <row r="54" ht="18.0" customHeight="1">
      <c r="A54" s="86" t="s">
        <v>50</v>
      </c>
      <c r="B54" s="80" t="s">
        <v>129</v>
      </c>
      <c r="C54" s="87">
        <v>1.0</v>
      </c>
      <c r="D54" s="88"/>
      <c r="E54" s="87">
        <v>1.0</v>
      </c>
      <c r="F54" s="88"/>
      <c r="G54" s="88"/>
      <c r="H54" s="79">
        <f t="shared" si="7"/>
        <v>2</v>
      </c>
      <c r="I54" s="86" t="s">
        <v>50</v>
      </c>
      <c r="J54" s="80" t="s">
        <v>130</v>
      </c>
      <c r="K54" s="87">
        <v>1.0</v>
      </c>
      <c r="L54" s="88"/>
      <c r="M54" s="88"/>
      <c r="N54" s="87">
        <v>1.0</v>
      </c>
      <c r="O54" s="87">
        <v>1.0</v>
      </c>
      <c r="P54" s="79">
        <f t="shared" si="8"/>
        <v>3</v>
      </c>
    </row>
    <row r="55" ht="18.0" customHeight="1">
      <c r="A55" s="86" t="s">
        <v>57</v>
      </c>
      <c r="B55" s="76" t="s">
        <v>135</v>
      </c>
      <c r="C55" s="88"/>
      <c r="D55" s="87">
        <v>1.0</v>
      </c>
      <c r="E55" s="87">
        <v>1.0</v>
      </c>
      <c r="F55" s="87">
        <v>1.0</v>
      </c>
      <c r="G55" s="88"/>
      <c r="H55" s="79">
        <f t="shared" si="7"/>
        <v>3</v>
      </c>
      <c r="I55" s="86" t="s">
        <v>57</v>
      </c>
      <c r="J55" s="76" t="s">
        <v>179</v>
      </c>
      <c r="K55" s="88"/>
      <c r="L55" s="87">
        <v>1.0</v>
      </c>
      <c r="M55" s="87">
        <v>1.0</v>
      </c>
      <c r="N55" s="87">
        <v>1.0</v>
      </c>
      <c r="O55" s="88"/>
      <c r="P55" s="79">
        <f t="shared" si="8"/>
        <v>3</v>
      </c>
    </row>
    <row r="56" ht="18.0" customHeight="1">
      <c r="A56" s="86" t="s">
        <v>64</v>
      </c>
      <c r="B56" s="80" t="s">
        <v>140</v>
      </c>
      <c r="C56" s="87">
        <v>1.0</v>
      </c>
      <c r="D56" s="87">
        <v>1.0</v>
      </c>
      <c r="E56" s="88"/>
      <c r="F56" s="87">
        <v>1.0</v>
      </c>
      <c r="G56" s="88"/>
      <c r="H56" s="79">
        <f t="shared" si="7"/>
        <v>3</v>
      </c>
      <c r="I56" s="86" t="s">
        <v>64</v>
      </c>
      <c r="J56" s="80" t="s">
        <v>141</v>
      </c>
      <c r="K56" s="87">
        <v>1.0</v>
      </c>
      <c r="L56" s="88"/>
      <c r="M56" s="87">
        <v>1.0</v>
      </c>
      <c r="N56" s="87">
        <v>1.0</v>
      </c>
      <c r="O56" s="88"/>
      <c r="P56" s="79">
        <f t="shared" si="8"/>
        <v>3</v>
      </c>
    </row>
    <row r="57" ht="18.0" customHeight="1">
      <c r="A57" s="86" t="s">
        <v>71</v>
      </c>
      <c r="B57" s="76" t="s">
        <v>146</v>
      </c>
      <c r="C57" s="87">
        <v>1.0</v>
      </c>
      <c r="D57" s="88"/>
      <c r="E57" s="87">
        <v>1.0</v>
      </c>
      <c r="F57" s="87">
        <v>1.0</v>
      </c>
      <c r="G57" s="87">
        <v>1.0</v>
      </c>
      <c r="H57" s="79">
        <f t="shared" si="7"/>
        <v>4</v>
      </c>
      <c r="I57" s="86" t="s">
        <v>71</v>
      </c>
      <c r="J57" s="76" t="s">
        <v>147</v>
      </c>
      <c r="K57" s="87">
        <v>1.0</v>
      </c>
      <c r="L57" s="87">
        <v>1.0</v>
      </c>
      <c r="M57" s="88"/>
      <c r="N57" s="88"/>
      <c r="O57" s="87">
        <v>1.0</v>
      </c>
      <c r="P57" s="79">
        <f t="shared" si="8"/>
        <v>3</v>
      </c>
      <c r="Q57" s="64"/>
    </row>
    <row r="58" ht="18.0" customHeight="1">
      <c r="A58" s="86" t="s">
        <v>78</v>
      </c>
      <c r="B58" s="80" t="s">
        <v>152</v>
      </c>
      <c r="C58" s="88"/>
      <c r="D58" s="87">
        <v>1.0</v>
      </c>
      <c r="E58" s="87">
        <v>1.0</v>
      </c>
      <c r="F58" s="88"/>
      <c r="G58" s="87">
        <v>1.0</v>
      </c>
      <c r="H58" s="79">
        <f t="shared" si="7"/>
        <v>3</v>
      </c>
      <c r="I58" s="86" t="s">
        <v>78</v>
      </c>
      <c r="J58" s="80" t="s">
        <v>153</v>
      </c>
      <c r="K58" s="88"/>
      <c r="L58" s="87">
        <v>1.0</v>
      </c>
      <c r="M58" s="87">
        <v>1.0</v>
      </c>
      <c r="N58" s="87">
        <v>1.0</v>
      </c>
      <c r="O58" s="87">
        <v>1.0</v>
      </c>
      <c r="P58" s="79">
        <f t="shared" si="8"/>
        <v>4</v>
      </c>
      <c r="Q58" s="64"/>
    </row>
    <row r="59" ht="18.0" customHeight="1">
      <c r="A59" s="60"/>
      <c r="B59" s="61"/>
      <c r="C59" s="62"/>
      <c r="D59" s="62"/>
      <c r="E59" s="62"/>
      <c r="F59" s="62"/>
      <c r="G59" s="62"/>
      <c r="H59" s="63"/>
      <c r="I59" s="60"/>
      <c r="J59" s="61"/>
      <c r="K59" s="62"/>
      <c r="L59" s="62"/>
      <c r="M59" s="62"/>
      <c r="N59" s="62"/>
      <c r="O59" s="62"/>
      <c r="P59" s="62"/>
      <c r="Q59" s="64"/>
    </row>
    <row r="60" ht="18.0" customHeight="1">
      <c r="A60" s="60"/>
      <c r="B60" s="61"/>
      <c r="C60" s="62"/>
      <c r="D60" s="62"/>
      <c r="E60" s="62"/>
      <c r="F60" s="62"/>
      <c r="G60" s="62"/>
      <c r="H60" s="63"/>
      <c r="I60" s="60"/>
      <c r="J60" s="61"/>
      <c r="K60" s="62"/>
      <c r="L60" s="62"/>
      <c r="M60" s="62"/>
      <c r="N60" s="62"/>
      <c r="O60" s="62"/>
      <c r="P60" s="62"/>
      <c r="Q60" s="64"/>
    </row>
    <row r="61" ht="14.2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64"/>
    </row>
    <row r="62" ht="12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ht="12.75" customHeight="1">
      <c r="A63" s="32"/>
      <c r="B63" s="33" t="s">
        <v>157</v>
      </c>
      <c r="C63" s="34">
        <v>1.0</v>
      </c>
      <c r="D63" s="34">
        <v>2.0</v>
      </c>
      <c r="E63" s="34">
        <v>3.0</v>
      </c>
      <c r="F63" s="34">
        <v>4.0</v>
      </c>
      <c r="G63" s="34">
        <v>5.0</v>
      </c>
      <c r="H63" s="34" t="s">
        <v>158</v>
      </c>
      <c r="I63" s="35"/>
      <c r="J63" s="33" t="s">
        <v>157</v>
      </c>
      <c r="K63" s="34">
        <v>1.0</v>
      </c>
      <c r="L63" s="34">
        <v>2.0</v>
      </c>
      <c r="M63" s="34">
        <v>3.0</v>
      </c>
      <c r="N63" s="34">
        <v>4.0</v>
      </c>
      <c r="O63" s="34">
        <v>5.0</v>
      </c>
      <c r="P63" s="34" t="s">
        <v>158</v>
      </c>
    </row>
    <row r="64" ht="18.0" customHeight="1">
      <c r="A64" s="36" t="s">
        <v>6</v>
      </c>
      <c r="B64" s="37" t="s">
        <v>180</v>
      </c>
      <c r="C64" s="38"/>
      <c r="D64" s="38"/>
      <c r="E64" s="38"/>
      <c r="F64" s="39"/>
      <c r="G64" s="39"/>
      <c r="H64" s="39"/>
      <c r="I64" s="36" t="s">
        <v>7</v>
      </c>
      <c r="J64" s="40" t="s">
        <v>181</v>
      </c>
      <c r="K64" s="41"/>
      <c r="L64" s="41"/>
      <c r="M64" s="41"/>
      <c r="N64" s="41"/>
      <c r="O64" s="41"/>
      <c r="P64" s="42"/>
    </row>
    <row r="65" ht="18.0" customHeight="1">
      <c r="A65" s="43" t="s">
        <v>22</v>
      </c>
      <c r="B65" s="44" t="s">
        <v>27</v>
      </c>
      <c r="C65" s="48">
        <v>1.0</v>
      </c>
      <c r="D65" s="38"/>
      <c r="E65" s="48">
        <v>1.0</v>
      </c>
      <c r="F65" s="38"/>
      <c r="G65" s="48">
        <v>1.0</v>
      </c>
      <c r="H65" s="47">
        <f t="shared" ref="H65:H76" si="9">SUM(C65:G65)</f>
        <v>3</v>
      </c>
      <c r="I65" s="43" t="s">
        <v>22</v>
      </c>
      <c r="J65" s="44" t="s">
        <v>28</v>
      </c>
      <c r="K65" s="48">
        <v>1.0</v>
      </c>
      <c r="L65" s="48">
        <v>1.0</v>
      </c>
      <c r="M65" s="38"/>
      <c r="N65" s="48">
        <v>1.0</v>
      </c>
      <c r="O65" s="48">
        <v>1.0</v>
      </c>
      <c r="P65" s="47">
        <f t="shared" ref="P65:P76" si="10">SUM(K65:O65)</f>
        <v>4</v>
      </c>
    </row>
    <row r="66" ht="18.0" customHeight="1">
      <c r="A66" s="43" t="s">
        <v>29</v>
      </c>
      <c r="B66" s="44" t="s">
        <v>182</v>
      </c>
      <c r="C66" s="48">
        <v>1.0</v>
      </c>
      <c r="D66" s="48">
        <v>1.0</v>
      </c>
      <c r="E66" s="38"/>
      <c r="F66" s="38"/>
      <c r="G66" s="38"/>
      <c r="H66" s="47">
        <f t="shared" si="9"/>
        <v>2</v>
      </c>
      <c r="I66" s="43" t="s">
        <v>29</v>
      </c>
      <c r="J66" s="44" t="s">
        <v>35</v>
      </c>
      <c r="K66" s="48">
        <v>1.0</v>
      </c>
      <c r="L66" s="38"/>
      <c r="M66" s="48">
        <v>1.0</v>
      </c>
      <c r="N66" s="38"/>
      <c r="O66" s="48">
        <v>1.0</v>
      </c>
      <c r="P66" s="47">
        <f t="shared" si="10"/>
        <v>3</v>
      </c>
    </row>
    <row r="67" ht="18.0" customHeight="1">
      <c r="A67" s="43" t="s">
        <v>36</v>
      </c>
      <c r="B67" s="44" t="s">
        <v>41</v>
      </c>
      <c r="C67" s="38"/>
      <c r="D67" s="48">
        <v>1.0</v>
      </c>
      <c r="E67" s="48">
        <v>1.0</v>
      </c>
      <c r="F67" s="38"/>
      <c r="G67" s="48">
        <v>1.0</v>
      </c>
      <c r="H67" s="47">
        <f t="shared" si="9"/>
        <v>3</v>
      </c>
      <c r="I67" s="43" t="s">
        <v>36</v>
      </c>
      <c r="J67" s="44" t="s">
        <v>42</v>
      </c>
      <c r="K67" s="38"/>
      <c r="L67" s="48">
        <v>1.0</v>
      </c>
      <c r="M67" s="48">
        <v>1.0</v>
      </c>
      <c r="N67" s="48">
        <v>1.0</v>
      </c>
      <c r="O67" s="38"/>
      <c r="P67" s="47">
        <f t="shared" si="10"/>
        <v>3</v>
      </c>
    </row>
    <row r="68" ht="18.0" customHeight="1">
      <c r="A68" s="43" t="s">
        <v>43</v>
      </c>
      <c r="B68" s="44" t="s">
        <v>48</v>
      </c>
      <c r="C68" s="48">
        <v>1.0</v>
      </c>
      <c r="D68" s="38"/>
      <c r="E68" s="48">
        <v>1.0</v>
      </c>
      <c r="F68" s="48">
        <v>1.0</v>
      </c>
      <c r="G68" s="48">
        <v>1.0</v>
      </c>
      <c r="H68" s="47">
        <f t="shared" si="9"/>
        <v>4</v>
      </c>
      <c r="I68" s="43" t="s">
        <v>43</v>
      </c>
      <c r="J68" s="44" t="s">
        <v>49</v>
      </c>
      <c r="K68" s="48">
        <v>1.0</v>
      </c>
      <c r="L68" s="38"/>
      <c r="M68" s="38"/>
      <c r="N68" s="48">
        <v>1.0</v>
      </c>
      <c r="O68" s="48">
        <v>1.0</v>
      </c>
      <c r="P68" s="47">
        <f t="shared" si="10"/>
        <v>3</v>
      </c>
    </row>
    <row r="69" ht="18.0" customHeight="1">
      <c r="A69" s="43" t="s">
        <v>50</v>
      </c>
      <c r="B69" s="44" t="s">
        <v>55</v>
      </c>
      <c r="C69" s="48">
        <v>1.0</v>
      </c>
      <c r="D69" s="48">
        <v>1.0</v>
      </c>
      <c r="E69" s="38"/>
      <c r="F69" s="48">
        <v>1.0</v>
      </c>
      <c r="G69" s="38"/>
      <c r="H69" s="47">
        <f t="shared" si="9"/>
        <v>3</v>
      </c>
      <c r="I69" s="43" t="s">
        <v>50</v>
      </c>
      <c r="J69" s="44" t="s">
        <v>56</v>
      </c>
      <c r="K69" s="48">
        <v>1.0</v>
      </c>
      <c r="L69" s="48">
        <v>1.0</v>
      </c>
      <c r="M69" s="48">
        <v>1.0</v>
      </c>
      <c r="N69" s="48">
        <v>1.0</v>
      </c>
      <c r="O69" s="38"/>
      <c r="P69" s="47">
        <f t="shared" si="10"/>
        <v>4</v>
      </c>
    </row>
    <row r="70" ht="18.0" customHeight="1">
      <c r="A70" s="43" t="s">
        <v>57</v>
      </c>
      <c r="B70" s="44" t="s">
        <v>62</v>
      </c>
      <c r="C70" s="38"/>
      <c r="D70" s="48">
        <v>1.0</v>
      </c>
      <c r="E70" s="48">
        <v>1.0</v>
      </c>
      <c r="F70" s="38"/>
      <c r="G70" s="49">
        <v>1.0</v>
      </c>
      <c r="H70" s="47">
        <f t="shared" si="9"/>
        <v>3</v>
      </c>
      <c r="I70" s="43" t="s">
        <v>57</v>
      </c>
      <c r="J70" s="44" t="s">
        <v>63</v>
      </c>
      <c r="K70" s="38"/>
      <c r="L70" s="49">
        <v>1.0</v>
      </c>
      <c r="M70" s="48">
        <v>1.0</v>
      </c>
      <c r="N70" s="38"/>
      <c r="O70" s="48">
        <v>1.0</v>
      </c>
      <c r="P70" s="47">
        <f t="shared" si="10"/>
        <v>3</v>
      </c>
    </row>
    <row r="71" ht="18.0" customHeight="1">
      <c r="A71" s="43" t="s">
        <v>64</v>
      </c>
      <c r="B71" s="44" t="s">
        <v>69</v>
      </c>
      <c r="C71" s="48">
        <v>1.0</v>
      </c>
      <c r="D71" s="48">
        <v>1.0</v>
      </c>
      <c r="E71" s="48"/>
      <c r="F71" s="48">
        <v>1.0</v>
      </c>
      <c r="G71" s="38"/>
      <c r="H71" s="47">
        <f t="shared" si="9"/>
        <v>3</v>
      </c>
      <c r="I71" s="43" t="s">
        <v>64</v>
      </c>
      <c r="J71" s="44" t="s">
        <v>70</v>
      </c>
      <c r="K71" s="48">
        <v>1.0</v>
      </c>
      <c r="L71" s="48">
        <v>1.0</v>
      </c>
      <c r="M71" s="48">
        <v>1.0</v>
      </c>
      <c r="N71" s="38"/>
      <c r="O71" s="48">
        <v>1.0</v>
      </c>
      <c r="P71" s="47">
        <f t="shared" si="10"/>
        <v>4</v>
      </c>
    </row>
    <row r="72" ht="18.0" customHeight="1">
      <c r="A72" s="43" t="s">
        <v>71</v>
      </c>
      <c r="B72" s="44" t="s">
        <v>76</v>
      </c>
      <c r="C72" s="38"/>
      <c r="D72" s="48">
        <v>1.0</v>
      </c>
      <c r="E72" s="48">
        <v>1.0</v>
      </c>
      <c r="F72" s="48">
        <v>1.0</v>
      </c>
      <c r="G72" s="48">
        <v>1.0</v>
      </c>
      <c r="H72" s="47">
        <f t="shared" si="9"/>
        <v>4</v>
      </c>
      <c r="I72" s="43" t="s">
        <v>71</v>
      </c>
      <c r="J72" s="44" t="s">
        <v>77</v>
      </c>
      <c r="K72" s="38"/>
      <c r="L72" s="48">
        <v>1.0</v>
      </c>
      <c r="M72" s="38"/>
      <c r="N72" s="48">
        <v>1.0</v>
      </c>
      <c r="O72" s="48">
        <v>1.0</v>
      </c>
      <c r="P72" s="47">
        <f t="shared" si="10"/>
        <v>3</v>
      </c>
    </row>
    <row r="73" ht="18.0" customHeight="1">
      <c r="A73" s="43" t="s">
        <v>78</v>
      </c>
      <c r="B73" s="44" t="s">
        <v>83</v>
      </c>
      <c r="C73" s="48">
        <v>1.0</v>
      </c>
      <c r="D73" s="38"/>
      <c r="E73" s="48">
        <v>1.0</v>
      </c>
      <c r="F73" s="38"/>
      <c r="G73" s="48">
        <v>1.0</v>
      </c>
      <c r="H73" s="47">
        <f t="shared" si="9"/>
        <v>3</v>
      </c>
      <c r="I73" s="43" t="s">
        <v>78</v>
      </c>
      <c r="J73" s="50" t="s">
        <v>84</v>
      </c>
      <c r="K73" s="48">
        <v>1.0</v>
      </c>
      <c r="L73" s="38"/>
      <c r="M73" s="48">
        <v>1.0</v>
      </c>
      <c r="N73" s="48">
        <v>1.0</v>
      </c>
      <c r="O73" s="38"/>
      <c r="P73" s="47">
        <f t="shared" si="10"/>
        <v>3</v>
      </c>
    </row>
    <row r="74" ht="18.0" customHeight="1">
      <c r="A74" s="43" t="s">
        <v>85</v>
      </c>
      <c r="B74" s="44" t="s">
        <v>90</v>
      </c>
      <c r="C74" s="48">
        <v>1.0</v>
      </c>
      <c r="D74" s="48">
        <v>1.0</v>
      </c>
      <c r="E74" s="38"/>
      <c r="F74" s="48">
        <v>1.0</v>
      </c>
      <c r="G74" s="48">
        <v>1.0</v>
      </c>
      <c r="H74" s="47">
        <f t="shared" si="9"/>
        <v>4</v>
      </c>
      <c r="I74" s="43" t="s">
        <v>85</v>
      </c>
      <c r="J74" s="44" t="s">
        <v>91</v>
      </c>
      <c r="K74" s="48">
        <v>1.0</v>
      </c>
      <c r="L74" s="38"/>
      <c r="M74" s="48">
        <v>1.0</v>
      </c>
      <c r="N74" s="48">
        <v>1.0</v>
      </c>
      <c r="O74" s="38"/>
      <c r="P74" s="47">
        <f t="shared" si="10"/>
        <v>3</v>
      </c>
    </row>
    <row r="75" ht="18.0" customHeight="1">
      <c r="A75" s="43" t="s">
        <v>92</v>
      </c>
      <c r="B75" s="50" t="s">
        <v>97</v>
      </c>
      <c r="C75" s="38"/>
      <c r="D75" s="48">
        <v>1.0</v>
      </c>
      <c r="E75" s="48">
        <v>1.0</v>
      </c>
      <c r="F75" s="38"/>
      <c r="G75" s="48">
        <v>1.0</v>
      </c>
      <c r="H75" s="47">
        <f t="shared" si="9"/>
        <v>3</v>
      </c>
      <c r="I75" s="43" t="s">
        <v>92</v>
      </c>
      <c r="J75" s="44" t="s">
        <v>98</v>
      </c>
      <c r="K75" s="38"/>
      <c r="L75" s="48">
        <v>1.0</v>
      </c>
      <c r="M75" s="48">
        <v>1.0</v>
      </c>
      <c r="N75" s="48">
        <v>1.0</v>
      </c>
      <c r="O75" s="48">
        <v>1.0</v>
      </c>
      <c r="P75" s="47">
        <f t="shared" si="10"/>
        <v>4</v>
      </c>
    </row>
    <row r="76" ht="18.0" customHeight="1">
      <c r="A76" s="43" t="s">
        <v>99</v>
      </c>
      <c r="B76" s="44" t="s">
        <v>183</v>
      </c>
      <c r="C76" s="48">
        <v>1.0</v>
      </c>
      <c r="D76" s="38"/>
      <c r="E76" s="48">
        <v>1.0</v>
      </c>
      <c r="F76" s="48">
        <v>1.0</v>
      </c>
      <c r="G76" s="38"/>
      <c r="H76" s="47">
        <f t="shared" si="9"/>
        <v>3</v>
      </c>
      <c r="I76" s="43" t="s">
        <v>99</v>
      </c>
      <c r="J76" s="44" t="s">
        <v>105</v>
      </c>
      <c r="K76" s="48">
        <v>1.0</v>
      </c>
      <c r="L76" s="48">
        <v>1.0</v>
      </c>
      <c r="M76" s="38"/>
      <c r="N76" s="38"/>
      <c r="O76" s="48">
        <v>1.0</v>
      </c>
      <c r="P76" s="47">
        <f t="shared" si="10"/>
        <v>3</v>
      </c>
    </row>
    <row r="77" ht="15.0" customHeight="1">
      <c r="A77" s="91"/>
      <c r="B77" s="91"/>
      <c r="C77" s="91"/>
      <c r="D77" s="91"/>
      <c r="E77" s="92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3"/>
    </row>
    <row r="78" ht="18.0" customHeight="1">
      <c r="A78" s="54" t="s">
        <v>22</v>
      </c>
      <c r="B78" s="44" t="s">
        <v>111</v>
      </c>
      <c r="C78" s="56">
        <v>1.0</v>
      </c>
      <c r="D78" s="57"/>
      <c r="E78" s="56">
        <v>1.0</v>
      </c>
      <c r="F78" s="56">
        <v>1.0</v>
      </c>
      <c r="G78" s="56">
        <v>1.0</v>
      </c>
      <c r="H78" s="47">
        <f t="shared" ref="H78:H86" si="11">SUM(C78:G78)</f>
        <v>4</v>
      </c>
      <c r="I78" s="54" t="s">
        <v>22</v>
      </c>
      <c r="J78" s="44" t="s">
        <v>112</v>
      </c>
      <c r="K78" s="56">
        <v>1.0</v>
      </c>
      <c r="L78" s="57"/>
      <c r="M78" s="56">
        <v>1.0</v>
      </c>
      <c r="N78" s="57"/>
      <c r="O78" s="56">
        <v>1.0</v>
      </c>
      <c r="P78" s="47">
        <f t="shared" ref="P78:P86" si="12">SUM(K78:O78)</f>
        <v>3</v>
      </c>
    </row>
    <row r="79" ht="18.0" customHeight="1">
      <c r="A79" s="54" t="s">
        <v>29</v>
      </c>
      <c r="B79" s="44" t="s">
        <v>117</v>
      </c>
      <c r="C79" s="56">
        <v>1.0</v>
      </c>
      <c r="D79" s="56">
        <v>1.0</v>
      </c>
      <c r="E79" s="56">
        <v>1.0</v>
      </c>
      <c r="F79" s="57"/>
      <c r="G79" s="57"/>
      <c r="H79" s="47">
        <f t="shared" si="11"/>
        <v>3</v>
      </c>
      <c r="I79" s="54" t="s">
        <v>29</v>
      </c>
      <c r="J79" s="44" t="s">
        <v>118</v>
      </c>
      <c r="K79" s="57"/>
      <c r="L79" s="57"/>
      <c r="M79" s="56">
        <v>1.0</v>
      </c>
      <c r="N79" s="56">
        <v>1.0</v>
      </c>
      <c r="O79" s="57"/>
      <c r="P79" s="47">
        <f t="shared" si="12"/>
        <v>2</v>
      </c>
    </row>
    <row r="80" ht="18.0" customHeight="1">
      <c r="A80" s="54" t="s">
        <v>36</v>
      </c>
      <c r="B80" s="44" t="s">
        <v>121</v>
      </c>
      <c r="C80" s="57"/>
      <c r="D80" s="56">
        <v>1.0</v>
      </c>
      <c r="E80" s="57"/>
      <c r="F80" s="56">
        <v>1.0</v>
      </c>
      <c r="G80" s="56">
        <v>1.0</v>
      </c>
      <c r="H80" s="47">
        <f t="shared" si="11"/>
        <v>3</v>
      </c>
      <c r="I80" s="54" t="s">
        <v>36</v>
      </c>
      <c r="J80" s="44" t="s">
        <v>122</v>
      </c>
      <c r="K80" s="56">
        <v>1.0</v>
      </c>
      <c r="L80" s="57"/>
      <c r="M80" s="57"/>
      <c r="N80" s="56">
        <v>1.0</v>
      </c>
      <c r="O80" s="56">
        <v>1.0</v>
      </c>
      <c r="P80" s="47">
        <f t="shared" si="12"/>
        <v>3</v>
      </c>
    </row>
    <row r="81" ht="18.0" customHeight="1">
      <c r="A81" s="54" t="s">
        <v>43</v>
      </c>
      <c r="B81" s="44" t="s">
        <v>126</v>
      </c>
      <c r="C81" s="56">
        <v>1.0</v>
      </c>
      <c r="D81" s="56">
        <v>1.0</v>
      </c>
      <c r="E81" s="57"/>
      <c r="F81" s="56">
        <v>1.0</v>
      </c>
      <c r="G81" s="56">
        <v>1.0</v>
      </c>
      <c r="H81" s="47">
        <f t="shared" si="11"/>
        <v>4</v>
      </c>
      <c r="I81" s="54" t="s">
        <v>43</v>
      </c>
      <c r="J81" s="59" t="s">
        <v>14</v>
      </c>
      <c r="K81" s="56">
        <v>1.0</v>
      </c>
      <c r="L81" s="57"/>
      <c r="M81" s="56">
        <v>1.0</v>
      </c>
      <c r="N81" s="56">
        <v>1.0</v>
      </c>
      <c r="O81" s="57"/>
      <c r="P81" s="47">
        <f t="shared" si="12"/>
        <v>3</v>
      </c>
    </row>
    <row r="82" ht="18.0" customHeight="1">
      <c r="A82" s="54" t="s">
        <v>50</v>
      </c>
      <c r="B82" s="44" t="s">
        <v>131</v>
      </c>
      <c r="C82" s="56">
        <v>1.0</v>
      </c>
      <c r="D82" s="57"/>
      <c r="E82" s="56">
        <v>1.0</v>
      </c>
      <c r="F82" s="57"/>
      <c r="G82" s="56">
        <v>1.0</v>
      </c>
      <c r="H82" s="47">
        <f t="shared" si="11"/>
        <v>3</v>
      </c>
      <c r="I82" s="54" t="s">
        <v>50</v>
      </c>
      <c r="J82" s="44" t="s">
        <v>132</v>
      </c>
      <c r="K82" s="56">
        <v>1.0</v>
      </c>
      <c r="L82" s="56">
        <v>1.0</v>
      </c>
      <c r="M82" s="57"/>
      <c r="N82" s="57"/>
      <c r="O82" s="57"/>
      <c r="P82" s="47">
        <f t="shared" si="12"/>
        <v>2</v>
      </c>
    </row>
    <row r="83" ht="18.0" customHeight="1">
      <c r="A83" s="54" t="s">
        <v>57</v>
      </c>
      <c r="B83" s="44" t="s">
        <v>137</v>
      </c>
      <c r="C83" s="57"/>
      <c r="D83" s="56">
        <v>1.0</v>
      </c>
      <c r="E83" s="56">
        <v>1.0</v>
      </c>
      <c r="F83" s="56">
        <v>1.0</v>
      </c>
      <c r="G83" s="57"/>
      <c r="H83" s="47">
        <f t="shared" si="11"/>
        <v>3</v>
      </c>
      <c r="I83" s="54" t="s">
        <v>57</v>
      </c>
      <c r="J83" s="44" t="s">
        <v>138</v>
      </c>
      <c r="K83" s="57"/>
      <c r="L83" s="56">
        <v>1.0</v>
      </c>
      <c r="M83" s="56">
        <v>1.0</v>
      </c>
      <c r="N83" s="56">
        <v>1.0</v>
      </c>
      <c r="O83" s="57"/>
      <c r="P83" s="47">
        <f t="shared" si="12"/>
        <v>3</v>
      </c>
    </row>
    <row r="84" ht="18.0" customHeight="1">
      <c r="A84" s="54" t="s">
        <v>64</v>
      </c>
      <c r="B84" s="44" t="s">
        <v>142</v>
      </c>
      <c r="C84" s="56">
        <v>1.0</v>
      </c>
      <c r="D84" s="56">
        <v>1.0</v>
      </c>
      <c r="E84" s="57"/>
      <c r="F84" s="56">
        <v>1.0</v>
      </c>
      <c r="G84" s="56">
        <v>1.0</v>
      </c>
      <c r="H84" s="47">
        <f t="shared" si="11"/>
        <v>4</v>
      </c>
      <c r="I84" s="54" t="s">
        <v>64</v>
      </c>
      <c r="J84" s="44" t="s">
        <v>143</v>
      </c>
      <c r="K84" s="56">
        <v>1.0</v>
      </c>
      <c r="L84" s="56">
        <v>1.0</v>
      </c>
      <c r="M84" s="57"/>
      <c r="N84" s="56">
        <v>1.0</v>
      </c>
      <c r="O84" s="56">
        <v>1.0</v>
      </c>
      <c r="P84" s="47">
        <f t="shared" si="12"/>
        <v>4</v>
      </c>
    </row>
    <row r="85" ht="18.0" customHeight="1">
      <c r="A85" s="54" t="s">
        <v>71</v>
      </c>
      <c r="B85" s="44" t="s">
        <v>148</v>
      </c>
      <c r="C85" s="57"/>
      <c r="D85" s="56">
        <v>1.0</v>
      </c>
      <c r="E85" s="56">
        <v>1.0</v>
      </c>
      <c r="F85" s="56">
        <v>1.0</v>
      </c>
      <c r="G85" s="57"/>
      <c r="H85" s="47">
        <f t="shared" si="11"/>
        <v>3</v>
      </c>
      <c r="I85" s="54" t="s">
        <v>71</v>
      </c>
      <c r="J85" s="44" t="s">
        <v>149</v>
      </c>
      <c r="K85" s="56">
        <v>1.0</v>
      </c>
      <c r="L85" s="57"/>
      <c r="M85" s="56">
        <v>1.0</v>
      </c>
      <c r="N85" s="56">
        <v>1.0</v>
      </c>
      <c r="O85" s="57"/>
      <c r="P85" s="47">
        <f t="shared" si="12"/>
        <v>3</v>
      </c>
    </row>
    <row r="86" ht="18.0" customHeight="1">
      <c r="A86" s="54" t="s">
        <v>78</v>
      </c>
      <c r="B86" s="44" t="s">
        <v>184</v>
      </c>
      <c r="C86" s="56">
        <v>1.0</v>
      </c>
      <c r="D86" s="57"/>
      <c r="E86" s="56">
        <v>1.0</v>
      </c>
      <c r="F86" s="57"/>
      <c r="G86" s="56">
        <v>1.0</v>
      </c>
      <c r="H86" s="47">
        <f t="shared" si="11"/>
        <v>3</v>
      </c>
      <c r="I86" s="54" t="s">
        <v>78</v>
      </c>
      <c r="J86" s="44" t="s">
        <v>155</v>
      </c>
      <c r="K86" s="57"/>
      <c r="L86" s="56">
        <v>1.0</v>
      </c>
      <c r="M86" s="56">
        <v>1.0</v>
      </c>
      <c r="N86" s="57"/>
      <c r="O86" s="56">
        <v>1.0</v>
      </c>
      <c r="P86" s="47">
        <f t="shared" si="12"/>
        <v>3</v>
      </c>
    </row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5:$Q$18"/>
  <mergeCells count="2">
    <mergeCell ref="A2:R2"/>
    <mergeCell ref="A3:R3"/>
  </mergeCells>
  <dataValidations>
    <dataValidation type="custom" allowBlank="1" showDropDown="1" sqref="C37:C58 E37:E58 H37:H58 K37:K58 M37:M58 P37:P58">
      <formula1>AND(ISNUMBER(C37),(NOT(OR(NOT(ISERROR(DATEVALUE(C37))), AND(ISNUMBER(C37), LEFT(CELL("format", C37))="D")))))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5.13"/>
    <col customWidth="1" min="3" max="3" width="14.0"/>
    <col customWidth="1" min="4" max="4" width="7.0"/>
    <col customWidth="1" min="5" max="5" width="11.75"/>
    <col customWidth="1" min="6" max="6" width="0.88"/>
    <col customWidth="1" min="7" max="7" width="7.0"/>
    <col customWidth="1" min="8" max="8" width="11.25"/>
    <col customWidth="1" min="9" max="9" width="0.88"/>
    <col customWidth="1" min="10" max="10" width="7.0"/>
    <col customWidth="1" min="11" max="11" width="11.25"/>
    <col customWidth="1" min="12" max="12" width="0.88"/>
    <col customWidth="1" min="13" max="13" width="7.0"/>
    <col customWidth="1" min="14" max="14" width="11.75"/>
    <col customWidth="1" min="15" max="15" width="0.88"/>
    <col customWidth="1" min="16" max="16" width="7.0"/>
    <col customWidth="1" min="17" max="17" width="12.38"/>
    <col customWidth="1" min="18" max="18" width="0.88"/>
    <col customWidth="1" min="19" max="19" width="15.0"/>
    <col customWidth="1" min="20" max="21" width="7.75"/>
  </cols>
  <sheetData>
    <row r="1" ht="14.25" customHeight="1">
      <c r="B1" s="94"/>
      <c r="C1" s="95"/>
    </row>
    <row r="2" ht="23.25" customHeight="1">
      <c r="B2" s="28" t="s">
        <v>156</v>
      </c>
    </row>
    <row r="3" ht="19.5" customHeight="1">
      <c r="B3" s="30" t="s">
        <v>185</v>
      </c>
    </row>
    <row r="4" ht="14.25" customHeight="1">
      <c r="B4" s="94"/>
      <c r="C4" s="96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T4" s="64"/>
    </row>
    <row r="5" ht="15.0" customHeight="1">
      <c r="B5" s="94"/>
      <c r="C5" s="95"/>
      <c r="T5" s="64"/>
    </row>
    <row r="6" ht="12.75" customHeight="1">
      <c r="B6" s="97"/>
      <c r="C6" s="98" t="s">
        <v>186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100"/>
    </row>
    <row r="7" ht="12.75" customHeight="1">
      <c r="B7" s="101"/>
      <c r="C7" s="102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4"/>
      <c r="T7" s="64"/>
    </row>
    <row r="8" ht="23.25" customHeight="1">
      <c r="A8" s="105"/>
      <c r="B8" s="106"/>
      <c r="C8" s="107"/>
      <c r="D8" s="47" t="s">
        <v>187</v>
      </c>
      <c r="E8" s="47" t="s">
        <v>188</v>
      </c>
      <c r="F8" s="108"/>
      <c r="G8" s="47" t="s">
        <v>189</v>
      </c>
      <c r="H8" s="47" t="s">
        <v>190</v>
      </c>
      <c r="I8" s="108"/>
      <c r="J8" s="47" t="s">
        <v>191</v>
      </c>
      <c r="K8" s="47" t="s">
        <v>192</v>
      </c>
      <c r="L8" s="108"/>
      <c r="M8" s="47" t="s">
        <v>193</v>
      </c>
      <c r="N8" s="47" t="s">
        <v>194</v>
      </c>
      <c r="O8" s="108"/>
      <c r="P8" s="47" t="s">
        <v>195</v>
      </c>
      <c r="Q8" s="47" t="s">
        <v>196</v>
      </c>
      <c r="R8" s="108"/>
      <c r="S8" s="109" t="s">
        <v>197</v>
      </c>
      <c r="T8" s="105"/>
      <c r="U8" s="105"/>
    </row>
    <row r="9" ht="15.75" customHeight="1">
      <c r="A9" s="52"/>
      <c r="B9" s="110"/>
      <c r="C9" s="111"/>
      <c r="D9" s="112" t="s">
        <v>198</v>
      </c>
      <c r="E9" s="112" t="s">
        <v>198</v>
      </c>
      <c r="F9" s="113"/>
      <c r="G9" s="112" t="s">
        <v>198</v>
      </c>
      <c r="H9" s="112" t="s">
        <v>198</v>
      </c>
      <c r="I9" s="113"/>
      <c r="J9" s="112" t="s">
        <v>198</v>
      </c>
      <c r="K9" s="112" t="s">
        <v>198</v>
      </c>
      <c r="L9" s="113"/>
      <c r="M9" s="112" t="s">
        <v>198</v>
      </c>
      <c r="N9" s="112" t="s">
        <v>198</v>
      </c>
      <c r="O9" s="113"/>
      <c r="P9" s="112" t="s">
        <v>198</v>
      </c>
      <c r="Q9" s="112" t="s">
        <v>198</v>
      </c>
      <c r="R9" s="113"/>
      <c r="S9" s="112" t="s">
        <v>198</v>
      </c>
      <c r="T9" s="52"/>
      <c r="U9" s="52"/>
    </row>
    <row r="10" ht="7.5" customHeight="1">
      <c r="A10" s="52"/>
      <c r="B10" s="114"/>
      <c r="C10" s="111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6"/>
      <c r="T10" s="52"/>
      <c r="U10" s="52"/>
    </row>
    <row r="11" ht="36.0" customHeight="1">
      <c r="A11" s="52"/>
      <c r="B11" s="117" t="s">
        <v>199</v>
      </c>
      <c r="C11" s="118" t="s">
        <v>200</v>
      </c>
      <c r="D11" s="119">
        <f>SUM('Day 1'!J21)</f>
        <v>17</v>
      </c>
      <c r="E11" s="120">
        <f>D11+D12</f>
        <v>58</v>
      </c>
      <c r="F11" s="121"/>
      <c r="G11" s="119">
        <f>SUM('Day 2'!J58)</f>
        <v>37</v>
      </c>
      <c r="H11" s="120">
        <f>G11+G12</f>
        <v>65</v>
      </c>
      <c r="I11" s="121"/>
      <c r="J11" s="119">
        <f>SUM('Day 3'!J86)</f>
        <v>27</v>
      </c>
      <c r="K11" s="120">
        <f>J11+J12</f>
        <v>69</v>
      </c>
      <c r="L11" s="121"/>
      <c r="M11" s="119">
        <f>SUM('Day 4'!J56)</f>
        <v>34</v>
      </c>
      <c r="N11" s="120">
        <f>M11+M12</f>
        <v>58</v>
      </c>
      <c r="O11" s="121"/>
      <c r="P11" s="119">
        <f>SUM('Day 5'!J88)</f>
        <v>45</v>
      </c>
      <c r="Q11" s="120">
        <f>P11+P12</f>
        <v>73</v>
      </c>
      <c r="R11" s="122"/>
      <c r="S11" s="120">
        <f>+E11+H11+K11+N11+Q11</f>
        <v>323</v>
      </c>
      <c r="T11" s="123"/>
      <c r="U11" s="52"/>
    </row>
    <row r="12" ht="36.0" customHeight="1">
      <c r="A12" s="52"/>
      <c r="B12" s="124"/>
      <c r="C12" s="118" t="s">
        <v>201</v>
      </c>
      <c r="D12" s="119">
        <f>SUM('Day 1'!J35)</f>
        <v>41</v>
      </c>
      <c r="E12" s="125"/>
      <c r="F12" s="121"/>
      <c r="G12" s="119">
        <f>SUM('Day 2'!J71)</f>
        <v>28</v>
      </c>
      <c r="H12" s="125"/>
      <c r="I12" s="121"/>
      <c r="J12" s="119">
        <f>SUM('Day 3'!J100)</f>
        <v>42</v>
      </c>
      <c r="K12" s="125"/>
      <c r="L12" s="121"/>
      <c r="M12" s="119">
        <f>SUM('Day 4'!J69)</f>
        <v>24</v>
      </c>
      <c r="N12" s="125"/>
      <c r="O12" s="121"/>
      <c r="P12" s="119">
        <f>SUM('Day 5'!J100)</f>
        <v>28</v>
      </c>
      <c r="Q12" s="125"/>
      <c r="R12" s="122"/>
      <c r="S12" s="125"/>
      <c r="U12" s="52"/>
    </row>
    <row r="13" ht="12.75" customHeight="1">
      <c r="A13" s="52"/>
      <c r="B13" s="126"/>
      <c r="C13" s="127"/>
      <c r="D13" s="128"/>
      <c r="E13" s="128"/>
      <c r="F13" s="121"/>
      <c r="G13" s="128"/>
      <c r="H13" s="128"/>
      <c r="I13" s="121"/>
      <c r="J13" s="128"/>
      <c r="K13" s="128"/>
      <c r="L13" s="121"/>
      <c r="M13" s="128"/>
      <c r="N13" s="128"/>
      <c r="O13" s="121"/>
      <c r="P13" s="128"/>
      <c r="Q13" s="128"/>
      <c r="R13" s="121"/>
      <c r="S13" s="128"/>
      <c r="T13" s="129"/>
      <c r="U13" s="52"/>
    </row>
    <row r="14" ht="36.0" customHeight="1">
      <c r="A14" s="52"/>
      <c r="B14" s="117" t="s">
        <v>202</v>
      </c>
      <c r="C14" s="118" t="s">
        <v>200</v>
      </c>
      <c r="D14" s="130">
        <f>SUM('Day 1'!J54)</f>
        <v>31</v>
      </c>
      <c r="E14" s="120">
        <f>D14+D15</f>
        <v>52</v>
      </c>
      <c r="F14" s="121"/>
      <c r="G14" s="119">
        <f>SUM('Day 2'!J25)</f>
        <v>26</v>
      </c>
      <c r="H14" s="120">
        <f>G14+G15</f>
        <v>53</v>
      </c>
      <c r="I14" s="121"/>
      <c r="J14" s="119">
        <f>SUM('Day 3'!J54)</f>
        <v>28</v>
      </c>
      <c r="K14" s="120">
        <f>J14+J15</f>
        <v>78</v>
      </c>
      <c r="L14" s="121"/>
      <c r="M14" s="119">
        <f>SUM('Day 4'!J86)</f>
        <v>23</v>
      </c>
      <c r="N14" s="120">
        <f>M14+M15</f>
        <v>50</v>
      </c>
      <c r="O14" s="121"/>
      <c r="P14" s="119">
        <f>SUM('Day 5'!K88)</f>
        <v>28</v>
      </c>
      <c r="Q14" s="120">
        <f>P14+P15</f>
        <v>54</v>
      </c>
      <c r="R14" s="121"/>
      <c r="S14" s="120">
        <f>+E14+H14+K14+N14+Q14</f>
        <v>287</v>
      </c>
      <c r="T14" s="129"/>
      <c r="U14" s="52"/>
    </row>
    <row r="15" ht="36.0" customHeight="1">
      <c r="A15" s="52"/>
      <c r="B15" s="124"/>
      <c r="C15" s="118" t="s">
        <v>201</v>
      </c>
      <c r="D15" s="130">
        <f>SUM('Day 1'!J66)</f>
        <v>21</v>
      </c>
      <c r="E15" s="125"/>
      <c r="F15" s="121"/>
      <c r="G15" s="119">
        <f>SUM('Day 2'!J38)</f>
        <v>27</v>
      </c>
      <c r="H15" s="125"/>
      <c r="I15" s="121"/>
      <c r="J15" s="119">
        <f>SUM('Day 3'!J68)</f>
        <v>50</v>
      </c>
      <c r="K15" s="125"/>
      <c r="L15" s="121"/>
      <c r="M15" s="119">
        <f>SUM('Day 4'!J101)</f>
        <v>27</v>
      </c>
      <c r="N15" s="125"/>
      <c r="O15" s="121"/>
      <c r="P15" s="119">
        <f>SUM('Day 5'!K100)</f>
        <v>26</v>
      </c>
      <c r="Q15" s="125"/>
      <c r="R15" s="121"/>
      <c r="S15" s="125"/>
      <c r="T15" s="131"/>
      <c r="U15" s="52"/>
    </row>
    <row r="16" ht="12.75" customHeight="1">
      <c r="A16" s="52"/>
      <c r="B16" s="126"/>
      <c r="C16" s="127"/>
      <c r="D16" s="128"/>
      <c r="E16" s="128"/>
      <c r="F16" s="121"/>
      <c r="G16" s="128"/>
      <c r="H16" s="128"/>
      <c r="I16" s="121"/>
      <c r="J16" s="128"/>
      <c r="K16" s="128"/>
      <c r="L16" s="121"/>
      <c r="M16" s="128"/>
      <c r="N16" s="128"/>
      <c r="O16" s="121"/>
      <c r="P16" s="128"/>
      <c r="Q16" s="128"/>
      <c r="R16" s="121"/>
      <c r="S16" s="128"/>
      <c r="T16" s="129"/>
      <c r="U16" s="52"/>
    </row>
    <row r="17" ht="36.0" customHeight="1">
      <c r="A17" s="52"/>
      <c r="B17" s="117" t="s">
        <v>203</v>
      </c>
      <c r="C17" s="118" t="s">
        <v>200</v>
      </c>
      <c r="D17" s="130">
        <f>SUM('Day 1'!K21)</f>
        <v>37</v>
      </c>
      <c r="E17" s="120">
        <f>D17+D18</f>
        <v>69</v>
      </c>
      <c r="F17" s="121"/>
      <c r="G17" s="119">
        <f>SUM('Day 2'!J91)</f>
        <v>29</v>
      </c>
      <c r="H17" s="120">
        <f>G17+G18</f>
        <v>56</v>
      </c>
      <c r="I17" s="121"/>
      <c r="J17" s="119">
        <f>SUM('Day 3'!K54)</f>
        <v>26</v>
      </c>
      <c r="K17" s="120">
        <f>J17+J18</f>
        <v>49</v>
      </c>
      <c r="L17" s="121"/>
      <c r="M17" s="119">
        <f>SUM('Day 4'!J25)</f>
        <v>45</v>
      </c>
      <c r="N17" s="120">
        <f>M17+M18</f>
        <v>77</v>
      </c>
      <c r="O17" s="121"/>
      <c r="P17" s="119">
        <f>SUM('Day 5'!J21)</f>
        <v>29</v>
      </c>
      <c r="Q17" s="120">
        <f>P17+P18</f>
        <v>56</v>
      </c>
      <c r="R17" s="121"/>
      <c r="S17" s="120">
        <f>+E17+H17+K17+N17+Q17</f>
        <v>307</v>
      </c>
      <c r="T17" s="129"/>
      <c r="U17" s="52"/>
    </row>
    <row r="18" ht="36.0" customHeight="1">
      <c r="A18" s="52"/>
      <c r="B18" s="124"/>
      <c r="C18" s="118" t="s">
        <v>201</v>
      </c>
      <c r="D18" s="130">
        <f>SUM('Day 1'!K35)</f>
        <v>32</v>
      </c>
      <c r="E18" s="125"/>
      <c r="F18" s="121"/>
      <c r="G18" s="119">
        <f>SUM('Day 2'!J104)</f>
        <v>27</v>
      </c>
      <c r="H18" s="125"/>
      <c r="I18" s="121"/>
      <c r="J18" s="119">
        <f>SUM('Day 3'!K68)</f>
        <v>23</v>
      </c>
      <c r="K18" s="125"/>
      <c r="L18" s="121"/>
      <c r="M18" s="119">
        <f>SUM('Day 4'!J37)</f>
        <v>32</v>
      </c>
      <c r="N18" s="125"/>
      <c r="O18" s="121"/>
      <c r="P18" s="119">
        <f>SUM('Day 5'!J36)</f>
        <v>27</v>
      </c>
      <c r="Q18" s="125"/>
      <c r="R18" s="121"/>
      <c r="S18" s="125"/>
      <c r="T18" s="131"/>
      <c r="U18" s="52"/>
    </row>
    <row r="19" ht="12.75" customHeight="1">
      <c r="A19" s="52"/>
      <c r="B19" s="126"/>
      <c r="C19" s="127"/>
      <c r="D19" s="128"/>
      <c r="E19" s="128"/>
      <c r="F19" s="121"/>
      <c r="G19" s="128"/>
      <c r="H19" s="128"/>
      <c r="I19" s="121"/>
      <c r="J19" s="128"/>
      <c r="K19" s="128"/>
      <c r="L19" s="121"/>
      <c r="M19" s="128"/>
      <c r="N19" s="128"/>
      <c r="O19" s="121"/>
      <c r="P19" s="128"/>
      <c r="Q19" s="128"/>
      <c r="R19" s="121"/>
      <c r="S19" s="128"/>
      <c r="T19" s="129"/>
      <c r="U19" s="52"/>
    </row>
    <row r="20" ht="36.0" customHeight="1">
      <c r="A20" s="52"/>
      <c r="B20" s="117" t="s">
        <v>204</v>
      </c>
      <c r="C20" s="118" t="s">
        <v>200</v>
      </c>
      <c r="D20" s="130">
        <f>SUM('Day 1'!J85)</f>
        <v>38</v>
      </c>
      <c r="E20" s="120">
        <f>D20+D21</f>
        <v>63</v>
      </c>
      <c r="F20" s="121"/>
      <c r="G20" s="119">
        <f>SUM('Day 2'!K25)</f>
        <v>28</v>
      </c>
      <c r="H20" s="120">
        <f>G20+G21</f>
        <v>55</v>
      </c>
      <c r="I20" s="121"/>
      <c r="J20" s="119">
        <f>SUM('Day 3'!K86)</f>
        <v>28</v>
      </c>
      <c r="K20" s="120">
        <f>J20+J21</f>
        <v>58</v>
      </c>
      <c r="L20" s="121"/>
      <c r="M20" s="119">
        <f>SUM('Day 4'!K25)</f>
        <v>28</v>
      </c>
      <c r="N20" s="120">
        <f>M20+M21</f>
        <v>50</v>
      </c>
      <c r="O20" s="121"/>
      <c r="P20" s="119">
        <f>SUM('Day 5'!J56)</f>
        <v>31</v>
      </c>
      <c r="Q20" s="120">
        <f>P20+P21</f>
        <v>56</v>
      </c>
      <c r="R20" s="121"/>
      <c r="S20" s="120">
        <f>+E20+H20+K20+N20+Q20</f>
        <v>282</v>
      </c>
      <c r="T20" s="123"/>
      <c r="U20" s="52"/>
    </row>
    <row r="21" ht="36.0" customHeight="1">
      <c r="A21" s="52"/>
      <c r="B21" s="124"/>
      <c r="C21" s="118" t="s">
        <v>201</v>
      </c>
      <c r="D21" s="130">
        <f>SUM('Day 1'!J97)</f>
        <v>25</v>
      </c>
      <c r="E21" s="125"/>
      <c r="F21" s="121"/>
      <c r="G21" s="119">
        <f>SUM('Day 2'!K38)</f>
        <v>27</v>
      </c>
      <c r="H21" s="125"/>
      <c r="I21" s="121"/>
      <c r="J21" s="119">
        <f>SUM('Day 3'!K100)</f>
        <v>30</v>
      </c>
      <c r="K21" s="125"/>
      <c r="L21" s="121"/>
      <c r="M21" s="119">
        <f>SUM('Day 4'!K37)</f>
        <v>22</v>
      </c>
      <c r="N21" s="125"/>
      <c r="O21" s="121"/>
      <c r="P21" s="119">
        <f>SUM('Day 5'!J68)</f>
        <v>25</v>
      </c>
      <c r="Q21" s="125"/>
      <c r="R21" s="121"/>
      <c r="S21" s="125"/>
      <c r="U21" s="52"/>
    </row>
    <row r="22" ht="12.75" customHeight="1">
      <c r="A22" s="52"/>
      <c r="B22" s="126"/>
      <c r="C22" s="127"/>
      <c r="D22" s="128"/>
      <c r="E22" s="128"/>
      <c r="F22" s="121"/>
      <c r="G22" s="128"/>
      <c r="H22" s="128"/>
      <c r="I22" s="121"/>
      <c r="J22" s="128"/>
      <c r="K22" s="128"/>
      <c r="L22" s="121"/>
      <c r="M22" s="128"/>
      <c r="N22" s="128"/>
      <c r="O22" s="121"/>
      <c r="P22" s="128"/>
      <c r="Q22" s="128"/>
      <c r="R22" s="121"/>
      <c r="S22" s="128"/>
      <c r="T22" s="123"/>
      <c r="U22" s="52"/>
    </row>
    <row r="23" ht="36.0" customHeight="1">
      <c r="A23" s="52"/>
      <c r="B23" s="117" t="s">
        <v>205</v>
      </c>
      <c r="C23" s="118" t="s">
        <v>200</v>
      </c>
      <c r="D23" s="130">
        <f>SUM('Day 1'!K54)</f>
        <v>42</v>
      </c>
      <c r="E23" s="120">
        <f>D23+D24</f>
        <v>75</v>
      </c>
      <c r="F23" s="121"/>
      <c r="G23" s="119">
        <f>SUM('Day 2'!K91)</f>
        <v>44</v>
      </c>
      <c r="H23" s="120">
        <f>G23+G24</f>
        <v>71</v>
      </c>
      <c r="I23" s="121"/>
      <c r="J23" s="119">
        <f>SUM('Day 3'!J22)</f>
        <v>26</v>
      </c>
      <c r="K23" s="120">
        <f>J23+J24</f>
        <v>58</v>
      </c>
      <c r="L23" s="121"/>
      <c r="M23" s="119">
        <f>SUM('Day 4'!K56)</f>
        <v>39</v>
      </c>
      <c r="N23" s="120">
        <f>M23+M24</f>
        <v>69</v>
      </c>
      <c r="O23" s="121"/>
      <c r="P23" s="119">
        <f>SUM('Day 5'!K56)</f>
        <v>41</v>
      </c>
      <c r="Q23" s="120">
        <f>P23+P24</f>
        <v>71</v>
      </c>
      <c r="R23" s="121"/>
      <c r="S23" s="120">
        <f>+E23+H23+K23+N23+Q23</f>
        <v>344</v>
      </c>
      <c r="T23" s="123"/>
      <c r="U23" s="52"/>
    </row>
    <row r="24" ht="36.0" customHeight="1">
      <c r="A24" s="52"/>
      <c r="B24" s="124"/>
      <c r="C24" s="118" t="s">
        <v>201</v>
      </c>
      <c r="D24" s="130">
        <f>SUM('Day 1'!K66)</f>
        <v>33</v>
      </c>
      <c r="E24" s="125"/>
      <c r="F24" s="121"/>
      <c r="G24" s="119">
        <f>SUM('Day 2'!K104)</f>
        <v>27</v>
      </c>
      <c r="H24" s="125"/>
      <c r="I24" s="121"/>
      <c r="J24" s="119">
        <f>SUM('Day 3'!J36)</f>
        <v>32</v>
      </c>
      <c r="K24" s="125"/>
      <c r="L24" s="121"/>
      <c r="M24" s="119">
        <f>SUM('Day 4'!K69)</f>
        <v>30</v>
      </c>
      <c r="N24" s="125"/>
      <c r="O24" s="121"/>
      <c r="P24" s="119">
        <f>SUM('Day 5'!K68)</f>
        <v>30</v>
      </c>
      <c r="Q24" s="125"/>
      <c r="R24" s="121"/>
      <c r="S24" s="125"/>
      <c r="U24" s="52"/>
    </row>
    <row r="25" ht="12.75" customHeight="1">
      <c r="A25" s="52"/>
      <c r="B25" s="126"/>
      <c r="C25" s="127"/>
      <c r="D25" s="128"/>
      <c r="E25" s="128"/>
      <c r="F25" s="121"/>
      <c r="G25" s="128"/>
      <c r="H25" s="128"/>
      <c r="I25" s="121"/>
      <c r="J25" s="128"/>
      <c r="K25" s="128"/>
      <c r="L25" s="121"/>
      <c r="M25" s="128"/>
      <c r="N25" s="128"/>
      <c r="O25" s="121"/>
      <c r="P25" s="128"/>
      <c r="Q25" s="128"/>
      <c r="R25" s="121"/>
      <c r="S25" s="128"/>
      <c r="T25" s="123"/>
      <c r="U25" s="52"/>
    </row>
    <row r="26" ht="36.0" customHeight="1">
      <c r="A26" s="52"/>
      <c r="B26" s="117" t="s">
        <v>206</v>
      </c>
      <c r="C26" s="118" t="s">
        <v>200</v>
      </c>
      <c r="D26" s="130">
        <f>SUM('Day 1'!K85)</f>
        <v>34</v>
      </c>
      <c r="E26" s="120">
        <f>D26+D27</f>
        <v>64</v>
      </c>
      <c r="F26" s="121"/>
      <c r="G26" s="119">
        <f>SUM('Day 2'!K58)</f>
        <v>36</v>
      </c>
      <c r="H26" s="120">
        <f>G26+G27</f>
        <v>62</v>
      </c>
      <c r="I26" s="121"/>
      <c r="J26" s="119">
        <f>SUM('Day 3'!K22)</f>
        <v>28</v>
      </c>
      <c r="K26" s="120">
        <f>J26+J27</f>
        <v>69</v>
      </c>
      <c r="L26" s="121"/>
      <c r="M26" s="119">
        <f>SUM('Day 4'!K86)</f>
        <v>32</v>
      </c>
      <c r="N26" s="120">
        <f>M26+M27</f>
        <v>77</v>
      </c>
      <c r="O26" s="121"/>
      <c r="P26" s="119">
        <f>SUM('Day 5'!K21)</f>
        <v>25</v>
      </c>
      <c r="Q26" s="120">
        <f>P26+P27</f>
        <v>71</v>
      </c>
      <c r="R26" s="121"/>
      <c r="S26" s="120">
        <f>+E26+H26+K26+N26+Q26</f>
        <v>343</v>
      </c>
      <c r="T26" s="123"/>
      <c r="U26" s="52"/>
    </row>
    <row r="27" ht="36.0" customHeight="1">
      <c r="A27" s="52"/>
      <c r="B27" s="132"/>
      <c r="C27" s="118" t="s">
        <v>201</v>
      </c>
      <c r="D27" s="130">
        <f>SUM('Day 1'!K97)</f>
        <v>30</v>
      </c>
      <c r="E27" s="125"/>
      <c r="F27" s="121"/>
      <c r="G27" s="119">
        <f>SUM('Day 2'!K71)</f>
        <v>26</v>
      </c>
      <c r="H27" s="125"/>
      <c r="I27" s="121"/>
      <c r="J27" s="119">
        <f>SUM('Day 3'!K36)</f>
        <v>41</v>
      </c>
      <c r="K27" s="125"/>
      <c r="L27" s="121"/>
      <c r="M27" s="119">
        <f>SUM('Day 4'!K101)</f>
        <v>45</v>
      </c>
      <c r="N27" s="125"/>
      <c r="O27" s="121"/>
      <c r="P27" s="119">
        <f>SUM('Day 5'!K36)</f>
        <v>46</v>
      </c>
      <c r="Q27" s="125"/>
      <c r="R27" s="121"/>
      <c r="S27" s="125"/>
      <c r="U27" s="52"/>
    </row>
    <row r="28" ht="12.75" customHeight="1">
      <c r="A28" s="52"/>
      <c r="B28" s="133"/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136"/>
      <c r="O28" s="135"/>
      <c r="P28" s="136"/>
      <c r="Q28" s="135"/>
      <c r="R28" s="135"/>
      <c r="S28" s="136"/>
      <c r="T28" s="52"/>
      <c r="U28" s="52"/>
    </row>
    <row r="29" ht="15.0" customHeight="1">
      <c r="B29" s="137"/>
      <c r="C29" s="138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</row>
    <row r="30" ht="14.25" customHeight="1">
      <c r="B30" s="94"/>
      <c r="C30" s="95"/>
    </row>
    <row r="31" ht="14.25" customHeight="1">
      <c r="B31" s="94"/>
      <c r="C31" s="95"/>
    </row>
    <row r="32" ht="18.0" customHeight="1">
      <c r="B32" s="140"/>
    </row>
    <row r="33" ht="18.0" customHeight="1">
      <c r="B33" s="140" t="s">
        <v>207</v>
      </c>
      <c r="C33" s="95"/>
    </row>
    <row r="34" ht="18.0" customHeight="1">
      <c r="B34" s="140"/>
      <c r="C34" s="95"/>
    </row>
    <row r="35" ht="18.0" customHeight="1">
      <c r="B35" s="140" t="s">
        <v>208</v>
      </c>
      <c r="C35" s="95"/>
    </row>
    <row r="36" ht="14.25" customHeight="1">
      <c r="B36" s="94"/>
      <c r="C36" s="95"/>
    </row>
    <row r="37" ht="14.25" customHeight="1">
      <c r="B37" s="94"/>
      <c r="C37" s="95"/>
    </row>
    <row r="38" ht="18.0" customHeight="1">
      <c r="B38" s="140"/>
      <c r="C38" s="95"/>
    </row>
    <row r="39" ht="14.25" customHeight="1">
      <c r="B39" s="94"/>
      <c r="C39" s="95"/>
    </row>
    <row r="40" ht="14.25" customHeight="1">
      <c r="B40" s="94"/>
      <c r="C40" s="95"/>
    </row>
    <row r="41" ht="14.25" customHeight="1">
      <c r="B41" s="94"/>
      <c r="C41" s="95"/>
    </row>
    <row r="42" ht="14.25" customHeight="1">
      <c r="B42" s="94"/>
      <c r="C42" s="95"/>
    </row>
    <row r="43" ht="14.25" customHeight="1">
      <c r="B43" s="94"/>
      <c r="C43" s="95"/>
    </row>
    <row r="44" ht="14.25" customHeight="1">
      <c r="B44" s="94"/>
      <c r="C44" s="95"/>
    </row>
    <row r="45" ht="14.25" customHeight="1">
      <c r="B45" s="94"/>
      <c r="C45" s="95"/>
    </row>
    <row r="46" ht="14.25" customHeight="1">
      <c r="B46" s="94"/>
      <c r="C46" s="95"/>
    </row>
    <row r="47" ht="14.25" customHeight="1">
      <c r="B47" s="94"/>
      <c r="C47" s="95"/>
    </row>
    <row r="48" ht="14.25" customHeight="1">
      <c r="B48" s="94"/>
      <c r="C48" s="95"/>
    </row>
    <row r="49" ht="14.25" customHeight="1">
      <c r="B49" s="94"/>
      <c r="C49" s="95"/>
    </row>
    <row r="50" ht="14.25" customHeight="1">
      <c r="B50" s="94"/>
      <c r="C50" s="95"/>
    </row>
    <row r="51" ht="14.25" customHeight="1">
      <c r="B51" s="94"/>
      <c r="C51" s="95"/>
    </row>
    <row r="52" ht="14.25" customHeight="1">
      <c r="B52" s="94"/>
      <c r="C52" s="95"/>
    </row>
    <row r="53" ht="14.25" customHeight="1">
      <c r="B53" s="94"/>
      <c r="C53" s="95"/>
    </row>
    <row r="54" ht="14.25" customHeight="1">
      <c r="B54" s="94"/>
      <c r="C54" s="95"/>
    </row>
    <row r="55" ht="14.25" customHeight="1">
      <c r="B55" s="94"/>
      <c r="C55" s="95"/>
    </row>
    <row r="56" ht="14.25" customHeight="1">
      <c r="B56" s="94"/>
      <c r="C56" s="95"/>
    </row>
    <row r="57" ht="14.25" customHeight="1">
      <c r="B57" s="94"/>
      <c r="C57" s="95"/>
    </row>
    <row r="58" ht="14.25" customHeight="1">
      <c r="B58" s="94"/>
      <c r="C58" s="95"/>
    </row>
    <row r="59" ht="14.25" customHeight="1">
      <c r="B59" s="94"/>
      <c r="C59" s="95"/>
    </row>
    <row r="60" ht="14.25" customHeight="1">
      <c r="B60" s="94"/>
      <c r="C60" s="95"/>
    </row>
    <row r="61" ht="14.25" customHeight="1">
      <c r="B61" s="94"/>
      <c r="C61" s="95"/>
    </row>
    <row r="62" ht="14.25" customHeight="1">
      <c r="B62" s="94"/>
      <c r="C62" s="95"/>
    </row>
    <row r="63" ht="14.25" customHeight="1">
      <c r="B63" s="94"/>
      <c r="C63" s="95"/>
    </row>
    <row r="64" ht="14.25" customHeight="1">
      <c r="B64" s="94"/>
      <c r="C64" s="95"/>
    </row>
    <row r="65" ht="14.25" customHeight="1">
      <c r="B65" s="94"/>
      <c r="C65" s="95"/>
    </row>
    <row r="66" ht="14.25" customHeight="1">
      <c r="B66" s="94"/>
      <c r="C66" s="95"/>
    </row>
    <row r="67" ht="14.25" customHeight="1">
      <c r="B67" s="94"/>
      <c r="C67" s="95"/>
    </row>
    <row r="68" ht="14.25" customHeight="1">
      <c r="B68" s="94"/>
      <c r="C68" s="95"/>
    </row>
    <row r="69" ht="14.25" customHeight="1">
      <c r="B69" s="94"/>
      <c r="C69" s="95"/>
    </row>
    <row r="70" ht="14.25" customHeight="1">
      <c r="B70" s="94"/>
      <c r="C70" s="95"/>
    </row>
    <row r="71" ht="14.25" customHeight="1">
      <c r="B71" s="94"/>
      <c r="C71" s="95"/>
    </row>
    <row r="72" ht="14.25" customHeight="1">
      <c r="B72" s="94"/>
      <c r="C72" s="95"/>
    </row>
    <row r="73" ht="14.25" customHeight="1">
      <c r="B73" s="94"/>
      <c r="C73" s="95"/>
    </row>
    <row r="74" ht="14.25" customHeight="1">
      <c r="B74" s="94"/>
      <c r="C74" s="95"/>
    </row>
    <row r="75" ht="14.25" customHeight="1">
      <c r="B75" s="94"/>
      <c r="C75" s="95"/>
    </row>
    <row r="76" ht="14.25" customHeight="1">
      <c r="B76" s="94"/>
      <c r="C76" s="95"/>
    </row>
    <row r="77" ht="14.25" customHeight="1">
      <c r="B77" s="94"/>
      <c r="C77" s="95"/>
    </row>
    <row r="78" ht="14.25" customHeight="1">
      <c r="B78" s="94"/>
      <c r="C78" s="95"/>
    </row>
    <row r="79" ht="14.25" customHeight="1">
      <c r="B79" s="94"/>
      <c r="C79" s="95"/>
    </row>
    <row r="80" ht="14.25" customHeight="1">
      <c r="B80" s="94"/>
      <c r="C80" s="95"/>
    </row>
    <row r="81" ht="14.25" customHeight="1">
      <c r="B81" s="94"/>
      <c r="C81" s="95"/>
    </row>
    <row r="82" ht="14.25" customHeight="1">
      <c r="B82" s="94"/>
      <c r="C82" s="95"/>
    </row>
    <row r="83" ht="14.25" customHeight="1">
      <c r="B83" s="94"/>
      <c r="C83" s="95"/>
    </row>
    <row r="84" ht="14.25" customHeight="1">
      <c r="B84" s="94"/>
      <c r="C84" s="95"/>
    </row>
    <row r="85" ht="14.25" customHeight="1">
      <c r="B85" s="94"/>
      <c r="C85" s="95"/>
    </row>
    <row r="86" ht="14.25" customHeight="1">
      <c r="B86" s="94"/>
      <c r="C86" s="95"/>
    </row>
    <row r="87" ht="14.25" customHeight="1">
      <c r="B87" s="94"/>
      <c r="C87" s="95"/>
    </row>
    <row r="88" ht="14.25" customHeight="1">
      <c r="B88" s="94"/>
      <c r="C88" s="95"/>
    </row>
    <row r="89" ht="14.25" customHeight="1">
      <c r="B89" s="94"/>
      <c r="C89" s="95"/>
    </row>
    <row r="90" ht="14.25" customHeight="1">
      <c r="B90" s="94"/>
      <c r="C90" s="95"/>
    </row>
    <row r="91" ht="14.25" customHeight="1">
      <c r="B91" s="94"/>
      <c r="C91" s="95"/>
    </row>
    <row r="92" ht="14.25" customHeight="1">
      <c r="B92" s="94"/>
      <c r="C92" s="95"/>
    </row>
    <row r="93" ht="14.25" customHeight="1">
      <c r="B93" s="94"/>
      <c r="C93" s="95"/>
    </row>
    <row r="94" ht="14.25" customHeight="1">
      <c r="B94" s="94"/>
      <c r="C94" s="95"/>
    </row>
    <row r="95" ht="14.25" customHeight="1">
      <c r="B95" s="94"/>
      <c r="C95" s="95"/>
    </row>
    <row r="96" ht="14.25" customHeight="1">
      <c r="B96" s="94"/>
      <c r="C96" s="95"/>
    </row>
    <row r="97" ht="14.25" customHeight="1">
      <c r="B97" s="94"/>
      <c r="C97" s="95"/>
    </row>
    <row r="98" ht="14.25" customHeight="1">
      <c r="B98" s="94"/>
      <c r="C98" s="95"/>
    </row>
    <row r="99" ht="14.25" customHeight="1">
      <c r="B99" s="94"/>
      <c r="C99" s="95"/>
    </row>
    <row r="100" ht="14.25" customHeight="1">
      <c r="B100" s="94"/>
      <c r="C100" s="95"/>
    </row>
    <row r="101" ht="14.25" customHeight="1">
      <c r="B101" s="94"/>
      <c r="C101" s="95"/>
    </row>
    <row r="102" ht="14.25" customHeight="1">
      <c r="B102" s="94"/>
      <c r="C102" s="95"/>
    </row>
    <row r="103" ht="14.25" customHeight="1">
      <c r="B103" s="94"/>
      <c r="C103" s="95"/>
    </row>
    <row r="104" ht="14.25" customHeight="1">
      <c r="B104" s="94"/>
      <c r="C104" s="95"/>
    </row>
    <row r="105" ht="14.25" customHeight="1">
      <c r="B105" s="94"/>
      <c r="C105" s="95"/>
    </row>
    <row r="106" ht="14.25" customHeight="1">
      <c r="B106" s="94"/>
      <c r="C106" s="95"/>
    </row>
    <row r="107" ht="14.25" customHeight="1">
      <c r="B107" s="94"/>
      <c r="C107" s="95"/>
    </row>
    <row r="108" ht="14.25" customHeight="1">
      <c r="B108" s="94"/>
      <c r="C108" s="95"/>
    </row>
    <row r="109" ht="14.25" customHeight="1">
      <c r="B109" s="94"/>
      <c r="C109" s="95"/>
    </row>
    <row r="110" ht="14.25" customHeight="1">
      <c r="B110" s="94"/>
      <c r="C110" s="95"/>
    </row>
    <row r="111" ht="14.25" customHeight="1">
      <c r="B111" s="94"/>
      <c r="C111" s="95"/>
    </row>
    <row r="112" ht="14.25" customHeight="1">
      <c r="B112" s="94"/>
      <c r="C112" s="95"/>
    </row>
    <row r="113" ht="14.25" customHeight="1">
      <c r="B113" s="94"/>
      <c r="C113" s="95"/>
    </row>
    <row r="114" ht="14.25" customHeight="1">
      <c r="B114" s="94"/>
      <c r="C114" s="95"/>
    </row>
    <row r="115" ht="14.25" customHeight="1">
      <c r="B115" s="94"/>
      <c r="C115" s="95"/>
    </row>
    <row r="116" ht="14.25" customHeight="1">
      <c r="B116" s="94"/>
      <c r="C116" s="95"/>
    </row>
    <row r="117" ht="14.25" customHeight="1">
      <c r="B117" s="94"/>
      <c r="C117" s="95"/>
    </row>
    <row r="118" ht="14.25" customHeight="1">
      <c r="B118" s="94"/>
      <c r="C118" s="95"/>
    </row>
    <row r="119" ht="14.25" customHeight="1">
      <c r="B119" s="94"/>
      <c r="C119" s="95"/>
    </row>
    <row r="120" ht="14.25" customHeight="1">
      <c r="B120" s="94"/>
      <c r="C120" s="95"/>
    </row>
    <row r="121" ht="14.25" customHeight="1">
      <c r="B121" s="94"/>
      <c r="C121" s="95"/>
    </row>
    <row r="122" ht="14.25" customHeight="1">
      <c r="B122" s="94"/>
      <c r="C122" s="95"/>
    </row>
    <row r="123" ht="14.25" customHeight="1">
      <c r="B123" s="94"/>
      <c r="C123" s="95"/>
    </row>
    <row r="124" ht="14.25" customHeight="1">
      <c r="B124" s="94"/>
      <c r="C124" s="95"/>
    </row>
    <row r="125" ht="14.25" customHeight="1">
      <c r="B125" s="94"/>
      <c r="C125" s="95"/>
    </row>
    <row r="126" ht="14.25" customHeight="1">
      <c r="B126" s="94"/>
      <c r="C126" s="95"/>
    </row>
    <row r="127" ht="14.25" customHeight="1">
      <c r="B127" s="94"/>
      <c r="C127" s="95"/>
    </row>
    <row r="128" ht="14.25" customHeight="1">
      <c r="B128" s="94"/>
      <c r="C128" s="95"/>
    </row>
    <row r="129" ht="14.25" customHeight="1">
      <c r="B129" s="94"/>
      <c r="C129" s="95"/>
    </row>
    <row r="130" ht="14.25" customHeight="1">
      <c r="B130" s="94"/>
      <c r="C130" s="95"/>
    </row>
    <row r="131" ht="14.25" customHeight="1">
      <c r="B131" s="94"/>
      <c r="C131" s="95"/>
    </row>
    <row r="132" ht="14.25" customHeight="1">
      <c r="B132" s="94"/>
      <c r="C132" s="95"/>
    </row>
    <row r="133" ht="14.25" customHeight="1">
      <c r="B133" s="94"/>
      <c r="C133" s="95"/>
    </row>
    <row r="134" ht="14.25" customHeight="1">
      <c r="B134" s="94"/>
      <c r="C134" s="95"/>
    </row>
    <row r="135" ht="14.25" customHeight="1">
      <c r="B135" s="94"/>
      <c r="C135" s="95"/>
    </row>
    <row r="136" ht="14.25" customHeight="1">
      <c r="B136" s="94"/>
      <c r="C136" s="95"/>
    </row>
    <row r="137" ht="14.25" customHeight="1">
      <c r="B137" s="94"/>
      <c r="C137" s="95"/>
    </row>
    <row r="138" ht="14.25" customHeight="1">
      <c r="B138" s="94"/>
      <c r="C138" s="95"/>
    </row>
    <row r="139" ht="14.25" customHeight="1">
      <c r="B139" s="94"/>
      <c r="C139" s="95"/>
    </row>
    <row r="140" ht="14.25" customHeight="1">
      <c r="B140" s="94"/>
      <c r="C140" s="95"/>
    </row>
    <row r="141" ht="14.25" customHeight="1">
      <c r="B141" s="94"/>
      <c r="C141" s="95"/>
    </row>
    <row r="142" ht="14.25" customHeight="1">
      <c r="B142" s="94"/>
      <c r="C142" s="95"/>
    </row>
    <row r="143" ht="14.25" customHeight="1">
      <c r="B143" s="94"/>
      <c r="C143" s="95"/>
    </row>
    <row r="144" ht="14.25" customHeight="1">
      <c r="B144" s="94"/>
      <c r="C144" s="95"/>
    </row>
    <row r="145" ht="14.25" customHeight="1">
      <c r="B145" s="94"/>
      <c r="C145" s="95"/>
    </row>
    <row r="146" ht="14.25" customHeight="1">
      <c r="B146" s="94"/>
      <c r="C146" s="95"/>
    </row>
    <row r="147" ht="14.25" customHeight="1">
      <c r="B147" s="94"/>
      <c r="C147" s="95"/>
    </row>
    <row r="148" ht="14.25" customHeight="1">
      <c r="B148" s="94"/>
      <c r="C148" s="95"/>
    </row>
    <row r="149" ht="14.25" customHeight="1">
      <c r="B149" s="94"/>
      <c r="C149" s="95"/>
    </row>
    <row r="150" ht="14.25" customHeight="1">
      <c r="B150" s="94"/>
      <c r="C150" s="95"/>
    </row>
    <row r="151" ht="14.25" customHeight="1">
      <c r="B151" s="94"/>
      <c r="C151" s="95"/>
    </row>
    <row r="152" ht="14.25" customHeight="1">
      <c r="B152" s="94"/>
      <c r="C152" s="95"/>
    </row>
    <row r="153" ht="14.25" customHeight="1">
      <c r="B153" s="94"/>
      <c r="C153" s="95"/>
    </row>
    <row r="154" ht="14.25" customHeight="1">
      <c r="B154" s="94"/>
      <c r="C154" s="95"/>
    </row>
    <row r="155" ht="14.25" customHeight="1">
      <c r="B155" s="94"/>
      <c r="C155" s="95"/>
    </row>
    <row r="156" ht="14.25" customHeight="1">
      <c r="B156" s="94"/>
      <c r="C156" s="95"/>
    </row>
    <row r="157" ht="14.25" customHeight="1">
      <c r="B157" s="94"/>
      <c r="C157" s="95"/>
    </row>
    <row r="158" ht="14.25" customHeight="1">
      <c r="B158" s="94"/>
      <c r="C158" s="95"/>
    </row>
    <row r="159" ht="14.25" customHeight="1">
      <c r="B159" s="94"/>
      <c r="C159" s="95"/>
    </row>
    <row r="160" ht="14.25" customHeight="1">
      <c r="B160" s="94"/>
      <c r="C160" s="95"/>
    </row>
    <row r="161" ht="14.25" customHeight="1">
      <c r="B161" s="94"/>
      <c r="C161" s="95"/>
    </row>
    <row r="162" ht="14.25" customHeight="1">
      <c r="B162" s="94"/>
      <c r="C162" s="95"/>
    </row>
    <row r="163" ht="14.25" customHeight="1">
      <c r="B163" s="94"/>
      <c r="C163" s="95"/>
    </row>
    <row r="164" ht="14.25" customHeight="1">
      <c r="B164" s="94"/>
      <c r="C164" s="95"/>
    </row>
    <row r="165" ht="14.25" customHeight="1">
      <c r="B165" s="94"/>
      <c r="C165" s="95"/>
    </row>
    <row r="166" ht="14.25" customHeight="1">
      <c r="B166" s="94"/>
      <c r="C166" s="95"/>
    </row>
    <row r="167" ht="14.25" customHeight="1">
      <c r="B167" s="94"/>
      <c r="C167" s="95"/>
    </row>
    <row r="168" ht="14.25" customHeight="1">
      <c r="B168" s="94"/>
      <c r="C168" s="95"/>
    </row>
    <row r="169" ht="14.25" customHeight="1">
      <c r="B169" s="94"/>
      <c r="C169" s="95"/>
    </row>
    <row r="170" ht="14.25" customHeight="1">
      <c r="B170" s="94"/>
      <c r="C170" s="95"/>
    </row>
    <row r="171" ht="14.25" customHeight="1">
      <c r="B171" s="94"/>
      <c r="C171" s="95"/>
    </row>
    <row r="172" ht="14.25" customHeight="1">
      <c r="B172" s="94"/>
      <c r="C172" s="95"/>
    </row>
    <row r="173" ht="14.25" customHeight="1">
      <c r="B173" s="94"/>
      <c r="C173" s="95"/>
    </row>
    <row r="174" ht="14.25" customHeight="1">
      <c r="B174" s="94"/>
      <c r="C174" s="95"/>
    </row>
    <row r="175" ht="14.25" customHeight="1">
      <c r="B175" s="94"/>
      <c r="C175" s="95"/>
    </row>
    <row r="176" ht="14.25" customHeight="1">
      <c r="B176" s="94"/>
      <c r="C176" s="95"/>
    </row>
    <row r="177" ht="14.25" customHeight="1">
      <c r="B177" s="94"/>
      <c r="C177" s="95"/>
    </row>
    <row r="178" ht="14.25" customHeight="1">
      <c r="B178" s="94"/>
      <c r="C178" s="95"/>
    </row>
    <row r="179" ht="14.25" customHeight="1">
      <c r="B179" s="94"/>
      <c r="C179" s="95"/>
    </row>
    <row r="180" ht="14.25" customHeight="1">
      <c r="B180" s="94"/>
      <c r="C180" s="95"/>
    </row>
    <row r="181" ht="14.25" customHeight="1">
      <c r="B181" s="94"/>
      <c r="C181" s="95"/>
    </row>
    <row r="182" ht="14.25" customHeight="1">
      <c r="B182" s="94"/>
      <c r="C182" s="95"/>
    </row>
    <row r="183" ht="14.25" customHeight="1">
      <c r="B183" s="94"/>
      <c r="C183" s="95"/>
    </row>
    <row r="184" ht="14.25" customHeight="1">
      <c r="B184" s="94"/>
      <c r="C184" s="95"/>
    </row>
    <row r="185" ht="14.25" customHeight="1">
      <c r="B185" s="94"/>
      <c r="C185" s="95"/>
    </row>
    <row r="186" ht="14.25" customHeight="1">
      <c r="B186" s="94"/>
      <c r="C186" s="95"/>
    </row>
    <row r="187" ht="14.25" customHeight="1">
      <c r="B187" s="94"/>
      <c r="C187" s="95"/>
    </row>
    <row r="188" ht="14.25" customHeight="1">
      <c r="B188" s="94"/>
      <c r="C188" s="95"/>
    </row>
    <row r="189" ht="14.25" customHeight="1">
      <c r="B189" s="94"/>
      <c r="C189" s="95"/>
    </row>
    <row r="190" ht="14.25" customHeight="1">
      <c r="B190" s="94"/>
      <c r="C190" s="95"/>
    </row>
    <row r="191" ht="14.25" customHeight="1">
      <c r="B191" s="94"/>
      <c r="C191" s="95"/>
    </row>
    <row r="192" ht="14.25" customHeight="1">
      <c r="B192" s="94"/>
      <c r="C192" s="95"/>
    </row>
    <row r="193" ht="14.25" customHeight="1">
      <c r="B193" s="94"/>
      <c r="C193" s="95"/>
    </row>
    <row r="194" ht="14.25" customHeight="1">
      <c r="B194" s="94"/>
      <c r="C194" s="95"/>
    </row>
    <row r="195" ht="14.25" customHeight="1">
      <c r="B195" s="94"/>
      <c r="C195" s="95"/>
    </row>
    <row r="196" ht="14.25" customHeight="1">
      <c r="B196" s="94"/>
      <c r="C196" s="95"/>
    </row>
    <row r="197" ht="14.25" customHeight="1">
      <c r="B197" s="94"/>
      <c r="C197" s="95"/>
    </row>
    <row r="198" ht="14.25" customHeight="1">
      <c r="B198" s="94"/>
      <c r="C198" s="95"/>
    </row>
    <row r="199" ht="14.25" customHeight="1">
      <c r="B199" s="94"/>
      <c r="C199" s="95"/>
    </row>
    <row r="200" ht="14.25" customHeight="1">
      <c r="B200" s="94"/>
      <c r="C200" s="95"/>
    </row>
    <row r="201" ht="14.25" customHeight="1">
      <c r="B201" s="94"/>
      <c r="C201" s="95"/>
    </row>
    <row r="202" ht="14.25" customHeight="1">
      <c r="B202" s="94"/>
      <c r="C202" s="95"/>
    </row>
    <row r="203" ht="14.25" customHeight="1">
      <c r="B203" s="94"/>
      <c r="C203" s="95"/>
    </row>
    <row r="204" ht="14.25" customHeight="1">
      <c r="B204" s="94"/>
      <c r="C204" s="95"/>
    </row>
    <row r="205" ht="14.25" customHeight="1">
      <c r="B205" s="94"/>
      <c r="C205" s="95"/>
    </row>
    <row r="206" ht="14.25" customHeight="1">
      <c r="B206" s="94"/>
      <c r="C206" s="95"/>
    </row>
    <row r="207" ht="14.25" customHeight="1">
      <c r="B207" s="94"/>
      <c r="C207" s="95"/>
    </row>
    <row r="208" ht="14.25" customHeight="1">
      <c r="B208" s="94"/>
      <c r="C208" s="95"/>
    </row>
    <row r="209" ht="14.25" customHeight="1">
      <c r="B209" s="94"/>
      <c r="C209" s="95"/>
    </row>
    <row r="210" ht="14.25" customHeight="1">
      <c r="B210" s="94"/>
      <c r="C210" s="95"/>
    </row>
    <row r="211" ht="14.25" customHeight="1">
      <c r="B211" s="94"/>
      <c r="C211" s="95"/>
    </row>
    <row r="212" ht="14.25" customHeight="1">
      <c r="B212" s="94"/>
      <c r="C212" s="95"/>
    </row>
    <row r="213" ht="14.25" customHeight="1">
      <c r="B213" s="94"/>
      <c r="C213" s="95"/>
    </row>
    <row r="214" ht="14.25" customHeight="1">
      <c r="B214" s="94"/>
      <c r="C214" s="95"/>
    </row>
    <row r="215" ht="14.25" customHeight="1">
      <c r="B215" s="94"/>
      <c r="C215" s="95"/>
    </row>
    <row r="216" ht="14.25" customHeight="1">
      <c r="B216" s="94"/>
      <c r="C216" s="95"/>
    </row>
    <row r="217" ht="14.25" customHeight="1">
      <c r="B217" s="94"/>
      <c r="C217" s="95"/>
    </row>
    <row r="218" ht="14.25" customHeight="1">
      <c r="B218" s="94"/>
      <c r="C218" s="95"/>
    </row>
    <row r="219" ht="14.25" customHeight="1">
      <c r="B219" s="94"/>
      <c r="C219" s="95"/>
    </row>
    <row r="220" ht="14.25" customHeight="1">
      <c r="B220" s="94"/>
      <c r="C220" s="95"/>
    </row>
    <row r="221" ht="14.25" customHeight="1">
      <c r="B221" s="94"/>
      <c r="C221" s="95"/>
    </row>
    <row r="222" ht="14.25" customHeight="1">
      <c r="B222" s="94"/>
      <c r="C222" s="95"/>
    </row>
    <row r="223" ht="14.25" customHeight="1">
      <c r="B223" s="94"/>
      <c r="C223" s="95"/>
    </row>
    <row r="224" ht="14.25" customHeight="1">
      <c r="B224" s="94"/>
      <c r="C224" s="95"/>
    </row>
    <row r="225" ht="14.25" customHeight="1">
      <c r="B225" s="94"/>
      <c r="C225" s="95"/>
    </row>
    <row r="226" ht="14.25" customHeight="1">
      <c r="B226" s="94"/>
      <c r="C226" s="95"/>
    </row>
    <row r="227" ht="14.25" customHeight="1">
      <c r="B227" s="94"/>
      <c r="C227" s="95"/>
    </row>
    <row r="228" ht="14.25" customHeight="1">
      <c r="B228" s="94"/>
      <c r="C228" s="95"/>
    </row>
    <row r="229" ht="14.25" customHeight="1">
      <c r="B229" s="94"/>
      <c r="C229" s="95"/>
    </row>
    <row r="230" ht="14.25" customHeight="1">
      <c r="B230" s="94"/>
      <c r="C230" s="95"/>
    </row>
    <row r="231" ht="14.25" customHeight="1">
      <c r="B231" s="94"/>
      <c r="C231" s="95"/>
    </row>
    <row r="232" ht="14.25" customHeight="1">
      <c r="B232" s="94"/>
      <c r="C232" s="95"/>
    </row>
    <row r="233" ht="14.25" customHeight="1">
      <c r="B233" s="94"/>
      <c r="C233" s="95"/>
    </row>
    <row r="234" ht="14.25" customHeight="1">
      <c r="B234" s="94"/>
      <c r="C234" s="95"/>
    </row>
    <row r="235" ht="14.25" customHeight="1">
      <c r="B235" s="94"/>
      <c r="C235" s="95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K20:K21"/>
    <mergeCell ref="K23:K24"/>
    <mergeCell ref="K26:K27"/>
    <mergeCell ref="B26:B27"/>
    <mergeCell ref="E26:E27"/>
    <mergeCell ref="H26:H27"/>
    <mergeCell ref="N26:N27"/>
    <mergeCell ref="Q26:Q27"/>
    <mergeCell ref="S26:S27"/>
    <mergeCell ref="T26:T27"/>
    <mergeCell ref="B32:E32"/>
    <mergeCell ref="B17:B18"/>
    <mergeCell ref="B20:B21"/>
    <mergeCell ref="H20:H21"/>
    <mergeCell ref="N20:N21"/>
    <mergeCell ref="B23:B24"/>
    <mergeCell ref="H23:H24"/>
    <mergeCell ref="N23:N24"/>
    <mergeCell ref="N11:N12"/>
    <mergeCell ref="Q11:Q12"/>
    <mergeCell ref="T11:T12"/>
    <mergeCell ref="B2:S2"/>
    <mergeCell ref="B3:S3"/>
    <mergeCell ref="C6:S7"/>
    <mergeCell ref="E11:E12"/>
    <mergeCell ref="H11:H12"/>
    <mergeCell ref="K11:K12"/>
    <mergeCell ref="S11:S12"/>
    <mergeCell ref="B11:B12"/>
    <mergeCell ref="E14:E15"/>
    <mergeCell ref="H14:H15"/>
    <mergeCell ref="K14:K15"/>
    <mergeCell ref="N14:N15"/>
    <mergeCell ref="Q14:Q15"/>
    <mergeCell ref="S14:S15"/>
    <mergeCell ref="B14:B15"/>
    <mergeCell ref="E17:E18"/>
    <mergeCell ref="H17:H18"/>
    <mergeCell ref="K17:K18"/>
    <mergeCell ref="N17:N18"/>
    <mergeCell ref="Q17:Q18"/>
    <mergeCell ref="S17:S18"/>
    <mergeCell ref="S20:S21"/>
    <mergeCell ref="T20:T21"/>
    <mergeCell ref="S23:S24"/>
    <mergeCell ref="T23:T24"/>
    <mergeCell ref="E20:E21"/>
    <mergeCell ref="E23:E24"/>
    <mergeCell ref="Q20:Q21"/>
    <mergeCell ref="Q23:Q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1.63"/>
    <col customWidth="1" min="6" max="6" width="19.25"/>
    <col customWidth="1" min="7" max="7" width="4.88"/>
    <col customWidth="1" min="8" max="8" width="17.88"/>
    <col customWidth="1" min="9" max="9" width="21.13"/>
    <col customWidth="1" min="10" max="11" width="5.75"/>
    <col customWidth="1" min="12" max="13" width="9.13"/>
    <col customWidth="1" min="14" max="24" width="8.0"/>
  </cols>
  <sheetData>
    <row r="1" ht="12.75" customHeight="1">
      <c r="A1" s="141"/>
      <c r="B1" s="141"/>
      <c r="U1" s="141"/>
      <c r="V1" s="141"/>
      <c r="W1" s="141"/>
      <c r="X1" s="141"/>
    </row>
    <row r="2">
      <c r="A2" s="141"/>
      <c r="B2" s="28" t="s">
        <v>156</v>
      </c>
      <c r="U2" s="141"/>
      <c r="V2" s="141"/>
      <c r="W2" s="141"/>
      <c r="X2" s="141"/>
    </row>
    <row r="3">
      <c r="A3" s="141"/>
      <c r="B3" s="30" t="s">
        <v>1</v>
      </c>
      <c r="U3" s="141"/>
      <c r="V3" s="141"/>
      <c r="W3" s="141"/>
      <c r="X3" s="141"/>
    </row>
    <row r="4" ht="12.75" customHeight="1">
      <c r="A4" s="141"/>
      <c r="B4" s="141"/>
      <c r="U4" s="141"/>
      <c r="V4" s="141"/>
      <c r="W4" s="141"/>
      <c r="X4" s="141"/>
    </row>
    <row r="5" ht="19.5" customHeight="1">
      <c r="A5" s="141"/>
      <c r="B5" s="141"/>
      <c r="C5" s="142" t="s">
        <v>209</v>
      </c>
      <c r="D5" s="17"/>
      <c r="E5" s="17"/>
      <c r="F5" s="17"/>
      <c r="G5" s="17"/>
      <c r="H5" s="17"/>
      <c r="I5" s="17"/>
      <c r="J5" s="17"/>
      <c r="K5" s="22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4.5" customHeight="1">
      <c r="A6" s="141"/>
      <c r="B6" s="141"/>
      <c r="C6" s="143"/>
      <c r="D6" s="144"/>
      <c r="E6" s="144"/>
      <c r="F6" s="144"/>
      <c r="G6" s="144"/>
      <c r="H6" s="144"/>
      <c r="I6" s="144"/>
      <c r="J6" s="144"/>
      <c r="K6" s="145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6"/>
      <c r="D7" s="147"/>
      <c r="E7" s="147"/>
      <c r="F7" s="147"/>
      <c r="G7" s="147"/>
      <c r="H7" s="147"/>
      <c r="I7" s="147"/>
      <c r="J7" s="147"/>
      <c r="K7" s="148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12.75" customHeight="1">
      <c r="A8" s="141"/>
      <c r="B8" s="141"/>
      <c r="C8" s="149" t="s">
        <v>210</v>
      </c>
      <c r="D8" s="144"/>
      <c r="E8" s="144"/>
      <c r="F8" s="144"/>
      <c r="G8" s="144"/>
      <c r="H8" s="144"/>
      <c r="I8" s="144"/>
      <c r="J8" s="144"/>
      <c r="K8" s="145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6"/>
      <c r="D9" s="147"/>
      <c r="E9" s="147"/>
      <c r="F9" s="147"/>
      <c r="G9" s="147"/>
      <c r="H9" s="147"/>
      <c r="I9" s="147"/>
      <c r="J9" s="147"/>
      <c r="K9" s="148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9.5" customHeight="1">
      <c r="A10" s="141"/>
      <c r="B10" s="141"/>
      <c r="C10" s="150" t="s">
        <v>211</v>
      </c>
      <c r="D10" s="150" t="s">
        <v>212</v>
      </c>
      <c r="E10" s="151" t="s">
        <v>213</v>
      </c>
      <c r="F10" s="22"/>
      <c r="G10" s="150" t="s">
        <v>214</v>
      </c>
      <c r="H10" s="151" t="s">
        <v>215</v>
      </c>
      <c r="I10" s="22"/>
      <c r="J10" s="152" t="s">
        <v>216</v>
      </c>
      <c r="K10" s="22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3.5" customHeight="1">
      <c r="A11" s="141"/>
      <c r="B11" s="141"/>
      <c r="C11" s="153" t="s">
        <v>217</v>
      </c>
      <c r="D11" s="154" t="s">
        <v>218</v>
      </c>
      <c r="E11" s="155" t="s">
        <v>93</v>
      </c>
      <c r="F11" s="155" t="s">
        <v>100</v>
      </c>
      <c r="G11" s="156" t="s">
        <v>214</v>
      </c>
      <c r="H11" s="155" t="s">
        <v>88</v>
      </c>
      <c r="I11" s="155" t="s">
        <v>95</v>
      </c>
      <c r="J11" s="157">
        <v>6.0</v>
      </c>
      <c r="K11" s="158">
        <v>12.0</v>
      </c>
      <c r="L11" s="159" t="s">
        <v>219</v>
      </c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125"/>
      <c r="D12" s="125"/>
      <c r="E12" s="125"/>
      <c r="F12" s="125"/>
      <c r="G12" s="125"/>
      <c r="H12" s="125"/>
      <c r="I12" s="125"/>
      <c r="J12" s="160"/>
      <c r="K12" s="148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4.5" customHeight="1">
      <c r="A13" s="141"/>
      <c r="B13" s="141"/>
      <c r="C13" s="161"/>
      <c r="D13" s="17"/>
      <c r="E13" s="17"/>
      <c r="F13" s="17"/>
      <c r="G13" s="17"/>
      <c r="H13" s="17"/>
      <c r="I13" s="17"/>
      <c r="J13" s="17"/>
      <c r="K13" s="22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75" customHeight="1">
      <c r="A14" s="141"/>
      <c r="B14" s="141"/>
      <c r="C14" s="153" t="s">
        <v>220</v>
      </c>
      <c r="D14" s="154" t="s">
        <v>221</v>
      </c>
      <c r="E14" s="155" t="s">
        <v>107</v>
      </c>
      <c r="F14" s="155" t="s">
        <v>9</v>
      </c>
      <c r="G14" s="156" t="s">
        <v>214</v>
      </c>
      <c r="H14" s="155" t="s">
        <v>178</v>
      </c>
      <c r="I14" s="155" t="s">
        <v>115</v>
      </c>
      <c r="J14" s="157">
        <v>9.0</v>
      </c>
      <c r="K14" s="158">
        <v>9.0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12.75" customHeight="1">
      <c r="A15" s="141"/>
      <c r="B15" s="141"/>
      <c r="C15" s="125"/>
      <c r="D15" s="125"/>
      <c r="E15" s="125"/>
      <c r="F15" s="125"/>
      <c r="G15" s="125"/>
      <c r="H15" s="125"/>
      <c r="I15" s="125"/>
      <c r="J15" s="160"/>
      <c r="K15" s="148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4.5" customHeight="1">
      <c r="A16" s="141"/>
      <c r="B16" s="141"/>
      <c r="C16" s="161"/>
      <c r="D16" s="17"/>
      <c r="E16" s="17"/>
      <c r="F16" s="17"/>
      <c r="G16" s="17"/>
      <c r="H16" s="17"/>
      <c r="I16" s="17"/>
      <c r="J16" s="17"/>
      <c r="K16" s="22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75" customHeight="1">
      <c r="A17" s="141"/>
      <c r="B17" s="141"/>
      <c r="C17" s="153" t="s">
        <v>222</v>
      </c>
      <c r="D17" s="154" t="s">
        <v>223</v>
      </c>
      <c r="E17" s="155" t="s">
        <v>123</v>
      </c>
      <c r="F17" s="155" t="s">
        <v>127</v>
      </c>
      <c r="G17" s="156" t="s">
        <v>214</v>
      </c>
      <c r="H17" s="155" t="s">
        <v>11</v>
      </c>
      <c r="I17" s="155" t="s">
        <v>129</v>
      </c>
      <c r="J17" s="157">
        <v>2.0</v>
      </c>
      <c r="K17" s="158">
        <v>16.0</v>
      </c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12.75" customHeight="1">
      <c r="A18" s="141"/>
      <c r="B18" s="141"/>
      <c r="C18" s="125"/>
      <c r="D18" s="125"/>
      <c r="E18" s="125"/>
      <c r="F18" s="125"/>
      <c r="G18" s="125"/>
      <c r="H18" s="125"/>
      <c r="I18" s="125"/>
      <c r="J18" s="160"/>
      <c r="K18" s="148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7.5" customHeight="1">
      <c r="A19" s="141"/>
      <c r="B19" s="141"/>
      <c r="C19" s="161"/>
      <c r="D19" s="17"/>
      <c r="E19" s="17"/>
      <c r="F19" s="17"/>
      <c r="G19" s="17"/>
      <c r="H19" s="17"/>
      <c r="I19" s="17"/>
      <c r="J19" s="17"/>
      <c r="K19" s="22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4.5" customHeight="1">
      <c r="A20" s="141"/>
      <c r="B20" s="141"/>
      <c r="C20" s="161"/>
      <c r="D20" s="17"/>
      <c r="E20" s="17"/>
      <c r="F20" s="17"/>
      <c r="G20" s="17"/>
      <c r="H20" s="17"/>
      <c r="I20" s="17"/>
      <c r="J20" s="17"/>
      <c r="K20" s="22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12.75" customHeight="1">
      <c r="A21" s="141"/>
      <c r="B21" s="141"/>
      <c r="C21" s="162" t="s">
        <v>224</v>
      </c>
      <c r="D21" s="17"/>
      <c r="E21" s="17"/>
      <c r="F21" s="17"/>
      <c r="G21" s="17"/>
      <c r="H21" s="17"/>
      <c r="I21" s="22"/>
      <c r="J21" s="163">
        <f t="shared" ref="J21:K21" si="1">SUM(J11:J19)</f>
        <v>17</v>
      </c>
      <c r="K21" s="164">
        <f t="shared" si="1"/>
        <v>37</v>
      </c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4.5" customHeight="1">
      <c r="A22" s="141"/>
      <c r="B22" s="141"/>
      <c r="C22" s="161"/>
      <c r="D22" s="17"/>
      <c r="E22" s="17"/>
      <c r="F22" s="17"/>
      <c r="G22" s="17"/>
      <c r="H22" s="17"/>
      <c r="I22" s="17"/>
      <c r="J22" s="17"/>
      <c r="K22" s="22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75" customHeight="1">
      <c r="A23" s="141"/>
      <c r="B23" s="141"/>
      <c r="C23" s="153" t="s">
        <v>217</v>
      </c>
      <c r="D23" s="154" t="s">
        <v>225</v>
      </c>
      <c r="E23" s="165" t="s">
        <v>23</v>
      </c>
      <c r="F23" s="165" t="s">
        <v>30</v>
      </c>
      <c r="G23" s="156" t="s">
        <v>214</v>
      </c>
      <c r="H23" s="165" t="s">
        <v>176</v>
      </c>
      <c r="I23" s="165" t="s">
        <v>39</v>
      </c>
      <c r="J23" s="166">
        <v>13.0</v>
      </c>
      <c r="K23" s="158">
        <v>6.0</v>
      </c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12.75" customHeight="1">
      <c r="A24" s="141"/>
      <c r="B24" s="141"/>
      <c r="C24" s="125"/>
      <c r="D24" s="125"/>
      <c r="E24" s="125"/>
      <c r="F24" s="125"/>
      <c r="G24" s="125"/>
      <c r="H24" s="125"/>
      <c r="I24" s="125"/>
      <c r="J24" s="167"/>
      <c r="K24" s="148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4.5" customHeight="1">
      <c r="A25" s="141"/>
      <c r="B25" s="141"/>
      <c r="C25" s="161"/>
      <c r="D25" s="17"/>
      <c r="E25" s="17"/>
      <c r="F25" s="17"/>
      <c r="G25" s="17"/>
      <c r="H25" s="17"/>
      <c r="I25" s="17"/>
      <c r="J25" s="17"/>
      <c r="K25" s="22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12.75" customHeight="1">
      <c r="A26" s="168"/>
      <c r="B26" s="141"/>
      <c r="C26" s="169" t="s">
        <v>217</v>
      </c>
      <c r="D26" s="154" t="s">
        <v>226</v>
      </c>
      <c r="E26" s="165" t="s">
        <v>44</v>
      </c>
      <c r="F26" s="165" t="s">
        <v>51</v>
      </c>
      <c r="G26" s="156" t="s">
        <v>214</v>
      </c>
      <c r="H26" s="165" t="s">
        <v>46</v>
      </c>
      <c r="I26" s="165" t="s">
        <v>53</v>
      </c>
      <c r="J26" s="166">
        <v>9.0</v>
      </c>
      <c r="K26" s="158">
        <v>9.0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68"/>
      <c r="B27" s="141"/>
      <c r="C27" s="125"/>
      <c r="D27" s="125"/>
      <c r="E27" s="125"/>
      <c r="F27" s="125"/>
      <c r="G27" s="125"/>
      <c r="H27" s="125"/>
      <c r="I27" s="125"/>
      <c r="J27" s="167"/>
      <c r="K27" s="148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4.5" customHeight="1">
      <c r="A28" s="141"/>
      <c r="B28" s="141"/>
      <c r="C28" s="161"/>
      <c r="D28" s="17"/>
      <c r="E28" s="17"/>
      <c r="F28" s="17"/>
      <c r="G28" s="17"/>
      <c r="H28" s="17"/>
      <c r="I28" s="17"/>
      <c r="J28" s="17"/>
      <c r="K28" s="22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12.75" customHeight="1">
      <c r="A29" s="141"/>
      <c r="B29" s="141"/>
      <c r="C29" s="169" t="s">
        <v>220</v>
      </c>
      <c r="D29" s="154" t="s">
        <v>227</v>
      </c>
      <c r="E29" s="165" t="s">
        <v>139</v>
      </c>
      <c r="F29" s="165" t="s">
        <v>144</v>
      </c>
      <c r="G29" s="156" t="s">
        <v>214</v>
      </c>
      <c r="H29" s="165" t="s">
        <v>140</v>
      </c>
      <c r="I29" s="165" t="s">
        <v>146</v>
      </c>
      <c r="J29" s="170">
        <v>9.0</v>
      </c>
      <c r="K29" s="158">
        <v>9.0</v>
      </c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12.75" customHeight="1">
      <c r="A30" s="141"/>
      <c r="B30" s="141"/>
      <c r="C30" s="125"/>
      <c r="D30" s="125"/>
      <c r="E30" s="125"/>
      <c r="F30" s="125"/>
      <c r="G30" s="125"/>
      <c r="H30" s="125"/>
      <c r="I30" s="125"/>
      <c r="J30" s="167"/>
      <c r="K30" s="148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4.5" customHeight="1">
      <c r="A31" s="141"/>
      <c r="B31" s="141"/>
      <c r="C31" s="161"/>
      <c r="D31" s="17"/>
      <c r="E31" s="17"/>
      <c r="F31" s="17"/>
      <c r="G31" s="17"/>
      <c r="H31" s="17"/>
      <c r="I31" s="17"/>
      <c r="J31" s="17"/>
      <c r="K31" s="22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12.75" customHeight="1">
      <c r="A32" s="141"/>
      <c r="B32" s="141"/>
      <c r="C32" s="169" t="s">
        <v>222</v>
      </c>
      <c r="D32" s="171" t="s">
        <v>228</v>
      </c>
      <c r="E32" s="155" t="s">
        <v>79</v>
      </c>
      <c r="F32" s="155" t="s">
        <v>65</v>
      </c>
      <c r="G32" s="156" t="s">
        <v>214</v>
      </c>
      <c r="H32" s="155" t="s">
        <v>67</v>
      </c>
      <c r="I32" s="155" t="s">
        <v>81</v>
      </c>
      <c r="J32" s="157">
        <v>10.0</v>
      </c>
      <c r="K32" s="158">
        <v>8.0</v>
      </c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25"/>
      <c r="D33" s="125"/>
      <c r="E33" s="125"/>
      <c r="F33" s="125"/>
      <c r="G33" s="125"/>
      <c r="H33" s="125"/>
      <c r="I33" s="125"/>
      <c r="J33" s="160"/>
      <c r="K33" s="148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4.5" customHeight="1">
      <c r="A34" s="141"/>
      <c r="B34" s="141"/>
      <c r="C34" s="161"/>
      <c r="D34" s="17"/>
      <c r="E34" s="17"/>
      <c r="F34" s="17"/>
      <c r="G34" s="17"/>
      <c r="H34" s="17"/>
      <c r="I34" s="17"/>
      <c r="J34" s="17"/>
      <c r="K34" s="22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12.75" customHeight="1">
      <c r="A35" s="141"/>
      <c r="B35" s="141"/>
      <c r="C35" s="162" t="s">
        <v>229</v>
      </c>
      <c r="D35" s="17"/>
      <c r="E35" s="17"/>
      <c r="F35" s="17"/>
      <c r="G35" s="17"/>
      <c r="H35" s="17"/>
      <c r="I35" s="22"/>
      <c r="J35" s="163">
        <f t="shared" ref="J35:K35" si="2">SUM(J23:J33)</f>
        <v>41</v>
      </c>
      <c r="K35" s="164">
        <f t="shared" si="2"/>
        <v>32</v>
      </c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4.5" customHeight="1">
      <c r="A36" s="141"/>
      <c r="B36" s="141"/>
      <c r="C36" s="161"/>
      <c r="D36" s="17"/>
      <c r="E36" s="17"/>
      <c r="F36" s="17"/>
      <c r="G36" s="17"/>
      <c r="H36" s="17"/>
      <c r="I36" s="17"/>
      <c r="J36" s="17"/>
      <c r="K36" s="22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12.75" customHeight="1">
      <c r="A37" s="141"/>
      <c r="B37" s="141"/>
      <c r="C37" s="172" t="s">
        <v>230</v>
      </c>
      <c r="D37" s="17"/>
      <c r="E37" s="17"/>
      <c r="F37" s="17"/>
      <c r="G37" s="17"/>
      <c r="H37" s="17"/>
      <c r="I37" s="22"/>
      <c r="J37" s="173">
        <f t="shared" ref="J37:K37" si="3">J35+J21</f>
        <v>58</v>
      </c>
      <c r="K37" s="174">
        <f t="shared" si="3"/>
        <v>69</v>
      </c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6.75" customHeight="1">
      <c r="A38" s="141"/>
      <c r="B38" s="141"/>
      <c r="C38" s="161"/>
      <c r="D38" s="17"/>
      <c r="E38" s="17"/>
      <c r="F38" s="17"/>
      <c r="G38" s="17"/>
      <c r="H38" s="17"/>
      <c r="I38" s="17"/>
      <c r="J38" s="17"/>
      <c r="K38" s="22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7.5" customHeight="1">
      <c r="A39" s="141"/>
      <c r="B39" s="141"/>
      <c r="C39" s="149" t="s">
        <v>231</v>
      </c>
      <c r="D39" s="144"/>
      <c r="E39" s="144"/>
      <c r="F39" s="144"/>
      <c r="G39" s="144"/>
      <c r="H39" s="144"/>
      <c r="I39" s="144"/>
      <c r="J39" s="144"/>
      <c r="K39" s="145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12.75" customHeight="1">
      <c r="A40" s="141"/>
      <c r="B40" s="141"/>
      <c r="C40" s="146"/>
      <c r="D40" s="147"/>
      <c r="E40" s="147"/>
      <c r="F40" s="147"/>
      <c r="G40" s="147"/>
      <c r="H40" s="147"/>
      <c r="I40" s="147"/>
      <c r="J40" s="147"/>
      <c r="K40" s="148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26.25" customHeight="1">
      <c r="A41" s="141"/>
      <c r="B41" s="141"/>
      <c r="C41" s="150" t="s">
        <v>211</v>
      </c>
      <c r="D41" s="150" t="s">
        <v>212</v>
      </c>
      <c r="E41" s="151" t="s">
        <v>232</v>
      </c>
      <c r="F41" s="22"/>
      <c r="G41" s="150" t="s">
        <v>214</v>
      </c>
      <c r="H41" s="151" t="s">
        <v>233</v>
      </c>
      <c r="I41" s="22"/>
      <c r="J41" s="152" t="s">
        <v>216</v>
      </c>
      <c r="K41" s="22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12.75" customHeight="1">
      <c r="A42" s="141"/>
      <c r="B42" s="141"/>
      <c r="C42" s="153" t="s">
        <v>217</v>
      </c>
      <c r="D42" s="154" t="s">
        <v>227</v>
      </c>
      <c r="E42" s="165" t="s">
        <v>10</v>
      </c>
      <c r="F42" s="165" t="s">
        <v>145</v>
      </c>
      <c r="G42" s="156" t="s">
        <v>214</v>
      </c>
      <c r="H42" s="175" t="s">
        <v>142</v>
      </c>
      <c r="I42" s="165" t="s">
        <v>184</v>
      </c>
      <c r="J42" s="166">
        <v>7.0</v>
      </c>
      <c r="K42" s="158">
        <v>11.0</v>
      </c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25"/>
      <c r="D43" s="125"/>
      <c r="E43" s="125"/>
      <c r="F43" s="125"/>
      <c r="G43" s="125"/>
      <c r="H43" s="148"/>
      <c r="I43" s="125"/>
      <c r="J43" s="167"/>
      <c r="K43" s="148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4.5" customHeight="1">
      <c r="A44" s="141"/>
      <c r="B44" s="141"/>
      <c r="C44" s="161"/>
      <c r="D44" s="17"/>
      <c r="E44" s="17"/>
      <c r="F44" s="17"/>
      <c r="G44" s="17"/>
      <c r="H44" s="17"/>
      <c r="I44" s="17"/>
      <c r="J44" s="17"/>
      <c r="K44" s="22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53" t="s">
        <v>234</v>
      </c>
      <c r="D45" s="154" t="s">
        <v>225</v>
      </c>
      <c r="E45" s="175" t="s">
        <v>24</v>
      </c>
      <c r="F45" s="176" t="s">
        <v>31</v>
      </c>
      <c r="G45" s="156" t="s">
        <v>214</v>
      </c>
      <c r="H45" s="175" t="s">
        <v>27</v>
      </c>
      <c r="I45" s="165" t="s">
        <v>182</v>
      </c>
      <c r="J45" s="166">
        <v>10.0</v>
      </c>
      <c r="K45" s="158">
        <v>9.0</v>
      </c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12.75" customHeight="1">
      <c r="A46" s="141"/>
      <c r="B46" s="141"/>
      <c r="C46" s="125"/>
      <c r="D46" s="125"/>
      <c r="E46" s="148"/>
      <c r="F46" s="146"/>
      <c r="G46" s="125"/>
      <c r="H46" s="148"/>
      <c r="I46" s="125"/>
      <c r="J46" s="167"/>
      <c r="K46" s="148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4.5" customHeight="1">
      <c r="A47" s="141"/>
      <c r="B47" s="141"/>
      <c r="C47" s="161"/>
      <c r="D47" s="17"/>
      <c r="E47" s="17"/>
      <c r="F47" s="17"/>
      <c r="G47" s="17"/>
      <c r="H47" s="17"/>
      <c r="I47" s="17"/>
      <c r="J47" s="17"/>
      <c r="K47" s="22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69" t="s">
        <v>220</v>
      </c>
      <c r="D48" s="154" t="s">
        <v>221</v>
      </c>
      <c r="E48" s="175" t="s">
        <v>161</v>
      </c>
      <c r="F48" s="176" t="s">
        <v>114</v>
      </c>
      <c r="G48" s="156" t="s">
        <v>214</v>
      </c>
      <c r="H48" s="175" t="s">
        <v>111</v>
      </c>
      <c r="I48" s="165" t="s">
        <v>117</v>
      </c>
      <c r="J48" s="166">
        <v>6.0</v>
      </c>
      <c r="K48" s="158">
        <v>12.0</v>
      </c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12.75" customHeight="1">
      <c r="A49" s="141"/>
      <c r="B49" s="141"/>
      <c r="C49" s="125"/>
      <c r="D49" s="125"/>
      <c r="E49" s="148"/>
      <c r="F49" s="146"/>
      <c r="G49" s="125"/>
      <c r="H49" s="148"/>
      <c r="I49" s="125"/>
      <c r="J49" s="167"/>
      <c r="K49" s="148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4.5" customHeight="1">
      <c r="A50" s="141"/>
      <c r="B50" s="141"/>
      <c r="C50" s="161"/>
      <c r="D50" s="17"/>
      <c r="E50" s="17"/>
      <c r="F50" s="17"/>
      <c r="G50" s="17"/>
      <c r="H50" s="17"/>
      <c r="I50" s="17"/>
      <c r="J50" s="17"/>
      <c r="K50" s="22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69" t="s">
        <v>222</v>
      </c>
      <c r="D51" s="171" t="s">
        <v>218</v>
      </c>
      <c r="E51" s="165" t="s">
        <v>87</v>
      </c>
      <c r="F51" s="165" t="s">
        <v>94</v>
      </c>
      <c r="G51" s="156" t="s">
        <v>214</v>
      </c>
      <c r="H51" s="165" t="s">
        <v>90</v>
      </c>
      <c r="I51" s="165" t="s">
        <v>183</v>
      </c>
      <c r="J51" s="177">
        <v>8.0</v>
      </c>
      <c r="K51" s="178">
        <v>10.0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12.75" customHeight="1">
      <c r="A52" s="141"/>
      <c r="B52" s="141"/>
      <c r="C52" s="125"/>
      <c r="D52" s="125"/>
      <c r="E52" s="125"/>
      <c r="F52" s="125"/>
      <c r="G52" s="125"/>
      <c r="H52" s="125"/>
      <c r="I52" s="125"/>
      <c r="J52" s="147"/>
      <c r="K52" s="179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4.5" customHeight="1">
      <c r="A53" s="141"/>
      <c r="B53" s="141"/>
      <c r="C53" s="180"/>
      <c r="D53" s="181"/>
      <c r="E53" s="181"/>
      <c r="F53" s="181"/>
      <c r="G53" s="181"/>
      <c r="H53" s="181"/>
      <c r="I53" s="181"/>
      <c r="J53" s="181"/>
      <c r="K53" s="182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72" t="s">
        <v>224</v>
      </c>
      <c r="D54" s="17"/>
      <c r="E54" s="17"/>
      <c r="F54" s="17"/>
      <c r="G54" s="17"/>
      <c r="H54" s="17"/>
      <c r="I54" s="22"/>
      <c r="J54" s="163">
        <f t="shared" ref="J54:K54" si="4">SUM(J42:J52)</f>
        <v>31</v>
      </c>
      <c r="K54" s="164">
        <f t="shared" si="4"/>
        <v>42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4.5" customHeight="1">
      <c r="A55" s="141"/>
      <c r="B55" s="141"/>
      <c r="C55" s="161"/>
      <c r="D55" s="17"/>
      <c r="E55" s="17"/>
      <c r="F55" s="17"/>
      <c r="G55" s="17"/>
      <c r="H55" s="17"/>
      <c r="I55" s="17"/>
      <c r="J55" s="17"/>
      <c r="K55" s="22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53" t="s">
        <v>217</v>
      </c>
      <c r="D56" s="154" t="s">
        <v>223</v>
      </c>
      <c r="E56" s="165" t="s">
        <v>124</v>
      </c>
      <c r="F56" s="165" t="s">
        <v>128</v>
      </c>
      <c r="G56" s="156" t="s">
        <v>214</v>
      </c>
      <c r="H56" s="165" t="s">
        <v>126</v>
      </c>
      <c r="I56" s="165" t="s">
        <v>131</v>
      </c>
      <c r="J56" s="157">
        <v>5.0</v>
      </c>
      <c r="K56" s="158">
        <v>13.0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12.75" customHeight="1">
      <c r="A57" s="141"/>
      <c r="B57" s="141"/>
      <c r="C57" s="125"/>
      <c r="D57" s="125"/>
      <c r="E57" s="125"/>
      <c r="F57" s="125"/>
      <c r="G57" s="125"/>
      <c r="H57" s="125"/>
      <c r="I57" s="125"/>
      <c r="J57" s="160"/>
      <c r="K57" s="148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4.5" customHeight="1">
      <c r="A58" s="141"/>
      <c r="B58" s="141"/>
      <c r="C58" s="161"/>
      <c r="D58" s="17"/>
      <c r="E58" s="17"/>
      <c r="F58" s="17"/>
      <c r="G58" s="17"/>
      <c r="H58" s="17"/>
      <c r="I58" s="17"/>
      <c r="J58" s="17"/>
      <c r="K58" s="22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53" t="s">
        <v>234</v>
      </c>
      <c r="D59" s="154" t="s">
        <v>226</v>
      </c>
      <c r="E59" s="165" t="s">
        <v>45</v>
      </c>
      <c r="F59" s="165" t="s">
        <v>59</v>
      </c>
      <c r="G59" s="156" t="s">
        <v>214</v>
      </c>
      <c r="H59" s="165" t="s">
        <v>48</v>
      </c>
      <c r="I59" s="165" t="s">
        <v>55</v>
      </c>
      <c r="J59" s="157">
        <v>9.0</v>
      </c>
      <c r="K59" s="158">
        <v>9.0</v>
      </c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25"/>
      <c r="D60" s="125"/>
      <c r="E60" s="125"/>
      <c r="F60" s="125"/>
      <c r="G60" s="125"/>
      <c r="H60" s="125"/>
      <c r="I60" s="125"/>
      <c r="J60" s="160"/>
      <c r="K60" s="148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4.5" customHeight="1">
      <c r="A61" s="141"/>
      <c r="B61" s="141"/>
      <c r="C61" s="161"/>
      <c r="D61" s="17"/>
      <c r="E61" s="17"/>
      <c r="F61" s="17"/>
      <c r="G61" s="17"/>
      <c r="H61" s="17"/>
      <c r="I61" s="17"/>
      <c r="J61" s="17"/>
      <c r="K61" s="22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53" t="s">
        <v>222</v>
      </c>
      <c r="D62" s="154" t="s">
        <v>228</v>
      </c>
      <c r="E62" s="165" t="s">
        <v>66</v>
      </c>
      <c r="F62" s="165" t="s">
        <v>73</v>
      </c>
      <c r="G62" s="156" t="s">
        <v>214</v>
      </c>
      <c r="H62" s="165" t="s">
        <v>69</v>
      </c>
      <c r="I62" s="165" t="s">
        <v>83</v>
      </c>
      <c r="J62" s="166">
        <v>7.0</v>
      </c>
      <c r="K62" s="158">
        <v>11.0</v>
      </c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12.75" customHeight="1">
      <c r="A63" s="141"/>
      <c r="B63" s="141"/>
      <c r="C63" s="125"/>
      <c r="D63" s="125"/>
      <c r="E63" s="125"/>
      <c r="F63" s="125"/>
      <c r="G63" s="125"/>
      <c r="H63" s="125"/>
      <c r="I63" s="125"/>
      <c r="J63" s="167"/>
      <c r="K63" s="148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4.5" customHeight="1">
      <c r="A64" s="141"/>
      <c r="B64" s="141"/>
      <c r="C64" s="161"/>
      <c r="D64" s="17"/>
      <c r="E64" s="17"/>
      <c r="F64" s="17"/>
      <c r="G64" s="17"/>
      <c r="H64" s="17"/>
      <c r="I64" s="17"/>
      <c r="J64" s="17"/>
      <c r="K64" s="22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4.5" customHeight="1">
      <c r="A65" s="141"/>
      <c r="B65" s="141"/>
      <c r="C65" s="161"/>
      <c r="D65" s="17"/>
      <c r="E65" s="17"/>
      <c r="F65" s="17"/>
      <c r="G65" s="17"/>
      <c r="H65" s="17"/>
      <c r="I65" s="17"/>
      <c r="J65" s="17"/>
      <c r="K65" s="22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12.75" customHeight="1">
      <c r="A66" s="141"/>
      <c r="B66" s="141"/>
      <c r="C66" s="162" t="s">
        <v>229</v>
      </c>
      <c r="D66" s="17"/>
      <c r="E66" s="17"/>
      <c r="F66" s="17"/>
      <c r="G66" s="17"/>
      <c r="H66" s="17"/>
      <c r="I66" s="22"/>
      <c r="J66" s="163">
        <f t="shared" ref="J66:K66" si="5">SUM(J56:J64)</f>
        <v>21</v>
      </c>
      <c r="K66" s="183">
        <f t="shared" si="5"/>
        <v>33</v>
      </c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4.5" customHeight="1">
      <c r="A67" s="141"/>
      <c r="B67" s="141"/>
      <c r="C67" s="161"/>
      <c r="D67" s="17"/>
      <c r="E67" s="17"/>
      <c r="F67" s="17"/>
      <c r="G67" s="17"/>
      <c r="H67" s="17"/>
      <c r="I67" s="17"/>
      <c r="J67" s="17"/>
      <c r="K67" s="22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72" t="s">
        <v>230</v>
      </c>
      <c r="D68" s="17"/>
      <c r="E68" s="17"/>
      <c r="F68" s="17"/>
      <c r="G68" s="17"/>
      <c r="H68" s="17"/>
      <c r="I68" s="22"/>
      <c r="J68" s="173">
        <f>SUM(J54+J66)</f>
        <v>52</v>
      </c>
      <c r="K68" s="174">
        <f>K66+K54</f>
        <v>75</v>
      </c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6.75" customHeight="1">
      <c r="A69" s="141"/>
      <c r="B69" s="141"/>
      <c r="C69" s="161"/>
      <c r="D69" s="17"/>
      <c r="E69" s="17"/>
      <c r="F69" s="17"/>
      <c r="G69" s="17"/>
      <c r="H69" s="17"/>
      <c r="I69" s="17"/>
      <c r="J69" s="17"/>
      <c r="K69" s="22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12.75" customHeight="1">
      <c r="A70" s="141"/>
      <c r="B70" s="141"/>
      <c r="C70" s="149" t="s">
        <v>235</v>
      </c>
      <c r="D70" s="144"/>
      <c r="E70" s="144"/>
      <c r="F70" s="144"/>
      <c r="G70" s="144"/>
      <c r="H70" s="144"/>
      <c r="I70" s="144"/>
      <c r="J70" s="144"/>
      <c r="K70" s="145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12.75" customHeight="1">
      <c r="A71" s="141"/>
      <c r="B71" s="141"/>
      <c r="C71" s="146"/>
      <c r="D71" s="147"/>
      <c r="E71" s="147"/>
      <c r="F71" s="147"/>
      <c r="G71" s="147"/>
      <c r="H71" s="147"/>
      <c r="I71" s="147"/>
      <c r="J71" s="147"/>
      <c r="K71" s="148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25.5" customHeight="1">
      <c r="A72" s="141"/>
      <c r="B72" s="141"/>
      <c r="C72" s="184" t="s">
        <v>211</v>
      </c>
      <c r="D72" s="152" t="s">
        <v>212</v>
      </c>
      <c r="E72" s="151" t="s">
        <v>236</v>
      </c>
      <c r="F72" s="22"/>
      <c r="G72" s="150" t="s">
        <v>214</v>
      </c>
      <c r="H72" s="151" t="s">
        <v>237</v>
      </c>
      <c r="I72" s="22"/>
      <c r="J72" s="152" t="s">
        <v>216</v>
      </c>
      <c r="K72" s="22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53" t="s">
        <v>217</v>
      </c>
      <c r="D73" s="154" t="s">
        <v>227</v>
      </c>
      <c r="E73" s="165" t="s">
        <v>141</v>
      </c>
      <c r="F73" s="165" t="s">
        <v>147</v>
      </c>
      <c r="G73" s="156" t="s">
        <v>214</v>
      </c>
      <c r="H73" s="165" t="s">
        <v>143</v>
      </c>
      <c r="I73" s="165" t="s">
        <v>149</v>
      </c>
      <c r="J73" s="157">
        <v>10.0</v>
      </c>
      <c r="K73" s="158">
        <v>8.0</v>
      </c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12.75" customHeight="1">
      <c r="A74" s="141"/>
      <c r="B74" s="141"/>
      <c r="C74" s="125"/>
      <c r="D74" s="125"/>
      <c r="E74" s="125"/>
      <c r="F74" s="125"/>
      <c r="G74" s="125"/>
      <c r="H74" s="125"/>
      <c r="I74" s="125"/>
      <c r="J74" s="160"/>
      <c r="K74" s="148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4.5" customHeight="1">
      <c r="A75" s="141"/>
      <c r="B75" s="141"/>
      <c r="C75" s="161"/>
      <c r="D75" s="17"/>
      <c r="E75" s="17"/>
      <c r="F75" s="17"/>
      <c r="G75" s="17"/>
      <c r="H75" s="17"/>
      <c r="I75" s="17"/>
      <c r="J75" s="17"/>
      <c r="K75" s="22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69" t="s">
        <v>217</v>
      </c>
      <c r="D76" s="154" t="s">
        <v>228</v>
      </c>
      <c r="E76" s="165" t="s">
        <v>68</v>
      </c>
      <c r="F76" s="165" t="s">
        <v>177</v>
      </c>
      <c r="G76" s="156" t="s">
        <v>214</v>
      </c>
      <c r="H76" s="165" t="s">
        <v>70</v>
      </c>
      <c r="I76" s="165" t="s">
        <v>84</v>
      </c>
      <c r="J76" s="157">
        <v>9.0</v>
      </c>
      <c r="K76" s="158">
        <v>9.0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25"/>
      <c r="D77" s="125"/>
      <c r="E77" s="125"/>
      <c r="F77" s="125"/>
      <c r="G77" s="125"/>
      <c r="H77" s="125"/>
      <c r="I77" s="125"/>
      <c r="J77" s="160"/>
      <c r="K77" s="148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4.5" customHeight="1">
      <c r="A78" s="141"/>
      <c r="B78" s="141"/>
      <c r="C78" s="161"/>
      <c r="D78" s="17"/>
      <c r="E78" s="17"/>
      <c r="F78" s="17"/>
      <c r="G78" s="17"/>
      <c r="H78" s="17"/>
      <c r="I78" s="17"/>
      <c r="J78" s="17"/>
      <c r="K78" s="22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69" t="s">
        <v>238</v>
      </c>
      <c r="D79" s="154" t="s">
        <v>223</v>
      </c>
      <c r="E79" s="165" t="s">
        <v>125</v>
      </c>
      <c r="F79" s="165" t="s">
        <v>130</v>
      </c>
      <c r="G79" s="156" t="s">
        <v>214</v>
      </c>
      <c r="H79" s="165" t="s">
        <v>14</v>
      </c>
      <c r="I79" s="165" t="s">
        <v>132</v>
      </c>
      <c r="J79" s="166">
        <v>11.0</v>
      </c>
      <c r="K79" s="158">
        <v>7.0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25"/>
      <c r="D80" s="125"/>
      <c r="E80" s="125"/>
      <c r="F80" s="125"/>
      <c r="G80" s="125"/>
      <c r="H80" s="125"/>
      <c r="I80" s="125"/>
      <c r="J80" s="167"/>
      <c r="K80" s="148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7.5" customHeight="1">
      <c r="A81" s="141"/>
      <c r="B81" s="141"/>
      <c r="C81" s="161"/>
      <c r="D81" s="17"/>
      <c r="E81" s="17"/>
      <c r="F81" s="17"/>
      <c r="G81" s="17"/>
      <c r="H81" s="17"/>
      <c r="I81" s="17"/>
      <c r="J81" s="17"/>
      <c r="K81" s="22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69" t="s">
        <v>222</v>
      </c>
      <c r="D82" s="154" t="s">
        <v>226</v>
      </c>
      <c r="E82" s="165" t="s">
        <v>47</v>
      </c>
      <c r="F82" s="165" t="s">
        <v>54</v>
      </c>
      <c r="G82" s="156" t="s">
        <v>214</v>
      </c>
      <c r="H82" s="165" t="s">
        <v>49</v>
      </c>
      <c r="I82" s="165" t="s">
        <v>56</v>
      </c>
      <c r="J82" s="166">
        <v>8.0</v>
      </c>
      <c r="K82" s="158">
        <v>10.0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25"/>
      <c r="D83" s="125"/>
      <c r="E83" s="125"/>
      <c r="F83" s="125"/>
      <c r="G83" s="125"/>
      <c r="H83" s="125"/>
      <c r="I83" s="125"/>
      <c r="J83" s="167"/>
      <c r="K83" s="148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4.5" customHeight="1">
      <c r="A84" s="141"/>
      <c r="B84" s="141"/>
      <c r="C84" s="161"/>
      <c r="D84" s="17"/>
      <c r="E84" s="17"/>
      <c r="F84" s="17"/>
      <c r="G84" s="17"/>
      <c r="H84" s="17"/>
      <c r="I84" s="17"/>
      <c r="J84" s="17"/>
      <c r="K84" s="22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12.75" customHeight="1">
      <c r="A85" s="141"/>
      <c r="B85" s="141"/>
      <c r="C85" s="162" t="s">
        <v>224</v>
      </c>
      <c r="D85" s="17"/>
      <c r="E85" s="17"/>
      <c r="F85" s="17"/>
      <c r="G85" s="17"/>
      <c r="H85" s="17"/>
      <c r="I85" s="22"/>
      <c r="J85" s="163">
        <f t="shared" ref="J85:K85" si="6">SUM(J73:J83)</f>
        <v>38</v>
      </c>
      <c r="K85" s="163">
        <f t="shared" si="6"/>
        <v>34</v>
      </c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4.5" customHeight="1">
      <c r="A86" s="141"/>
      <c r="B86" s="141"/>
      <c r="C86" s="161"/>
      <c r="D86" s="17"/>
      <c r="E86" s="17"/>
      <c r="F86" s="17"/>
      <c r="G86" s="17"/>
      <c r="H86" s="17"/>
      <c r="I86" s="17"/>
      <c r="J86" s="17"/>
      <c r="K86" s="22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12.75" customHeight="1">
      <c r="A87" s="141"/>
      <c r="B87" s="141"/>
      <c r="C87" s="153" t="s">
        <v>217</v>
      </c>
      <c r="D87" s="154" t="s">
        <v>221</v>
      </c>
      <c r="E87" s="175" t="s">
        <v>116</v>
      </c>
      <c r="F87" s="165" t="s">
        <v>12</v>
      </c>
      <c r="G87" s="156" t="s">
        <v>214</v>
      </c>
      <c r="H87" s="175" t="s">
        <v>112</v>
      </c>
      <c r="I87" s="165" t="s">
        <v>122</v>
      </c>
      <c r="J87" s="166">
        <v>1.0</v>
      </c>
      <c r="K87" s="158">
        <v>17.0</v>
      </c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25"/>
      <c r="D88" s="125"/>
      <c r="E88" s="148"/>
      <c r="F88" s="125"/>
      <c r="G88" s="125"/>
      <c r="H88" s="148"/>
      <c r="I88" s="125"/>
      <c r="J88" s="167"/>
      <c r="K88" s="148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4.5" customHeight="1">
      <c r="A89" s="141"/>
      <c r="B89" s="141"/>
      <c r="C89" s="161"/>
      <c r="D89" s="17"/>
      <c r="E89" s="17"/>
      <c r="F89" s="17"/>
      <c r="G89" s="17"/>
      <c r="H89" s="17"/>
      <c r="I89" s="17"/>
      <c r="J89" s="17"/>
      <c r="K89" s="22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12.75" customHeight="1">
      <c r="A90" s="141"/>
      <c r="B90" s="141"/>
      <c r="C90" s="153" t="s">
        <v>220</v>
      </c>
      <c r="D90" s="154" t="s">
        <v>218</v>
      </c>
      <c r="E90" s="175" t="s">
        <v>89</v>
      </c>
      <c r="F90" s="165" t="s">
        <v>96</v>
      </c>
      <c r="G90" s="156" t="s">
        <v>214</v>
      </c>
      <c r="H90" s="175" t="s">
        <v>91</v>
      </c>
      <c r="I90" s="165" t="s">
        <v>105</v>
      </c>
      <c r="J90" s="166">
        <v>14.0</v>
      </c>
      <c r="K90" s="158">
        <v>4.0</v>
      </c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25"/>
      <c r="D91" s="125"/>
      <c r="E91" s="148"/>
      <c r="F91" s="125"/>
      <c r="G91" s="125"/>
      <c r="H91" s="148"/>
      <c r="I91" s="125"/>
      <c r="J91" s="167"/>
      <c r="K91" s="148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4.5" customHeight="1">
      <c r="A92" s="141"/>
      <c r="B92" s="141"/>
      <c r="C92" s="161"/>
      <c r="D92" s="17"/>
      <c r="E92" s="17"/>
      <c r="F92" s="17"/>
      <c r="G92" s="17"/>
      <c r="H92" s="17"/>
      <c r="I92" s="17"/>
      <c r="J92" s="17"/>
      <c r="K92" s="22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53" t="s">
        <v>222</v>
      </c>
      <c r="D93" s="154" t="s">
        <v>225</v>
      </c>
      <c r="E93" s="175" t="s">
        <v>26</v>
      </c>
      <c r="F93" s="165" t="s">
        <v>33</v>
      </c>
      <c r="G93" s="156" t="s">
        <v>214</v>
      </c>
      <c r="H93" s="175" t="s">
        <v>28</v>
      </c>
      <c r="I93" s="165" t="s">
        <v>35</v>
      </c>
      <c r="J93" s="166">
        <v>10.0</v>
      </c>
      <c r="K93" s="158">
        <v>9.0</v>
      </c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25"/>
      <c r="D94" s="125"/>
      <c r="E94" s="148"/>
      <c r="F94" s="125"/>
      <c r="G94" s="125"/>
      <c r="H94" s="148"/>
      <c r="I94" s="125"/>
      <c r="J94" s="167"/>
      <c r="K94" s="148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4.5" customHeight="1">
      <c r="A95" s="141"/>
      <c r="B95" s="141"/>
      <c r="C95" s="161"/>
      <c r="D95" s="17"/>
      <c r="E95" s="17"/>
      <c r="F95" s="17"/>
      <c r="G95" s="17"/>
      <c r="H95" s="17"/>
      <c r="I95" s="17"/>
      <c r="J95" s="17"/>
      <c r="K95" s="22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4.5" customHeight="1">
      <c r="A96" s="141"/>
      <c r="B96" s="141"/>
      <c r="C96" s="161"/>
      <c r="D96" s="17"/>
      <c r="E96" s="17"/>
      <c r="F96" s="17"/>
      <c r="G96" s="17"/>
      <c r="H96" s="17"/>
      <c r="I96" s="17"/>
      <c r="J96" s="17"/>
      <c r="K96" s="22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62" t="s">
        <v>229</v>
      </c>
      <c r="D97" s="17"/>
      <c r="E97" s="17"/>
      <c r="F97" s="17"/>
      <c r="G97" s="17"/>
      <c r="H97" s="17"/>
      <c r="I97" s="22"/>
      <c r="J97" s="163">
        <f t="shared" ref="J97:K97" si="7">SUM(J87:J95)</f>
        <v>25</v>
      </c>
      <c r="K97" s="164">
        <f t="shared" si="7"/>
        <v>30</v>
      </c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4.5" customHeight="1">
      <c r="A98" s="141"/>
      <c r="B98" s="141"/>
      <c r="C98" s="161"/>
      <c r="D98" s="17"/>
      <c r="E98" s="17"/>
      <c r="F98" s="17"/>
      <c r="G98" s="17"/>
      <c r="H98" s="17"/>
      <c r="I98" s="17"/>
      <c r="J98" s="17"/>
      <c r="K98" s="22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12.75" customHeight="1">
      <c r="A99" s="141"/>
      <c r="B99" s="141"/>
      <c r="C99" s="172" t="s">
        <v>230</v>
      </c>
      <c r="D99" s="17"/>
      <c r="E99" s="17"/>
      <c r="F99" s="17"/>
      <c r="G99" s="17"/>
      <c r="H99" s="17"/>
      <c r="I99" s="22"/>
      <c r="J99" s="173">
        <f t="shared" ref="J99:K99" si="8">J97+J85</f>
        <v>63</v>
      </c>
      <c r="K99" s="174">
        <f t="shared" si="8"/>
        <v>64</v>
      </c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6.75" customHeight="1">
      <c r="A100" s="141"/>
      <c r="B100" s="141"/>
      <c r="C100" s="161"/>
      <c r="D100" s="17"/>
      <c r="E100" s="17"/>
      <c r="F100" s="17"/>
      <c r="G100" s="17"/>
      <c r="H100" s="17"/>
      <c r="I100" s="17"/>
      <c r="J100" s="17"/>
      <c r="K100" s="22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12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12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12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 t="s">
        <v>239</v>
      </c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2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 ht="12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 ht="12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 ht="12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 ht="12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 ht="12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</row>
    <row r="276" ht="12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</row>
    <row r="277" ht="12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</row>
    <row r="278" ht="12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</row>
    <row r="279" ht="12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</row>
    <row r="280" ht="12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</row>
    <row r="281" ht="12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</row>
    <row r="282" ht="12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</row>
    <row r="283" ht="12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</row>
    <row r="284" ht="12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</row>
    <row r="285" ht="12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</row>
    <row r="286" ht="12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</row>
    <row r="287" ht="12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</row>
    <row r="288" ht="12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</row>
    <row r="289" ht="12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</row>
    <row r="290" ht="12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</row>
    <row r="291" ht="12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</row>
    <row r="292" ht="12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</row>
    <row r="293" ht="12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</row>
    <row r="294" ht="12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</row>
    <row r="295" ht="12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</row>
    <row r="296" ht="12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</row>
    <row r="297" ht="12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</row>
    <row r="298" ht="12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</row>
    <row r="299" ht="12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</row>
    <row r="300" ht="12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</row>
    <row r="301" ht="12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</row>
    <row r="302" ht="12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</row>
    <row r="303" ht="12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</row>
    <row r="304" ht="12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</row>
    <row r="305" ht="12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</row>
    <row r="306" ht="12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</row>
    <row r="307" ht="12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</row>
    <row r="308" ht="12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</row>
    <row r="309" ht="12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</row>
    <row r="310" ht="12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</row>
    <row r="311" ht="12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</row>
    <row r="312" ht="12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</row>
    <row r="313" ht="12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</row>
    <row r="314" ht="12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</row>
    <row r="315" ht="12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</row>
    <row r="316" ht="12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</row>
    <row r="317" ht="12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</row>
    <row r="318" ht="12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</row>
    <row r="319" ht="12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</row>
    <row r="320" ht="12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</row>
    <row r="321" ht="12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</row>
    <row r="322" ht="12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</row>
    <row r="323" ht="12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</row>
    <row r="324" ht="12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</row>
    <row r="325" ht="12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</row>
    <row r="326" ht="12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</row>
    <row r="327" ht="12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</row>
    <row r="328" ht="12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</row>
    <row r="329" ht="12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</row>
    <row r="330" ht="12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</row>
    <row r="331" ht="12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</row>
    <row r="332" ht="12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</row>
    <row r="333" ht="12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47">
    <mergeCell ref="B2:K2"/>
    <mergeCell ref="B3:K3"/>
    <mergeCell ref="C5:K5"/>
    <mergeCell ref="C6:K7"/>
    <mergeCell ref="C8:K9"/>
    <mergeCell ref="H10:I10"/>
    <mergeCell ref="J10:K10"/>
    <mergeCell ref="I11:I12"/>
    <mergeCell ref="J11:J12"/>
    <mergeCell ref="K11:K12"/>
    <mergeCell ref="E10:F10"/>
    <mergeCell ref="D11:D12"/>
    <mergeCell ref="E11:E12"/>
    <mergeCell ref="F11:F12"/>
    <mergeCell ref="G11:G12"/>
    <mergeCell ref="H11:H12"/>
    <mergeCell ref="C13:K13"/>
    <mergeCell ref="I14:I15"/>
    <mergeCell ref="J14:J15"/>
    <mergeCell ref="K14:K15"/>
    <mergeCell ref="C16:K16"/>
    <mergeCell ref="C11:C12"/>
    <mergeCell ref="C14:C15"/>
    <mergeCell ref="D14:D15"/>
    <mergeCell ref="E14:E15"/>
    <mergeCell ref="F14:F15"/>
    <mergeCell ref="G14:G15"/>
    <mergeCell ref="H14:H15"/>
    <mergeCell ref="J17:J18"/>
    <mergeCell ref="K17:K18"/>
    <mergeCell ref="J29:J30"/>
    <mergeCell ref="K29:K30"/>
    <mergeCell ref="D29:D30"/>
    <mergeCell ref="E29:E30"/>
    <mergeCell ref="F29:F30"/>
    <mergeCell ref="G29:G30"/>
    <mergeCell ref="H29:H30"/>
    <mergeCell ref="I29:I30"/>
    <mergeCell ref="C31:K31"/>
    <mergeCell ref="C29:C30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C34:K34"/>
    <mergeCell ref="C35:I35"/>
    <mergeCell ref="C36:K36"/>
    <mergeCell ref="C37:I37"/>
    <mergeCell ref="G42:G43"/>
    <mergeCell ref="H42:H43"/>
    <mergeCell ref="I42:I43"/>
    <mergeCell ref="J42:J43"/>
    <mergeCell ref="C38:K38"/>
    <mergeCell ref="C39:K40"/>
    <mergeCell ref="E41:F41"/>
    <mergeCell ref="H41:I41"/>
    <mergeCell ref="J41:K41"/>
    <mergeCell ref="C42:C43"/>
    <mergeCell ref="D42:D43"/>
    <mergeCell ref="K42:K43"/>
    <mergeCell ref="I45:I46"/>
    <mergeCell ref="J45:J46"/>
    <mergeCell ref="E42:E43"/>
    <mergeCell ref="F42:F43"/>
    <mergeCell ref="C44:K44"/>
    <mergeCell ref="C45:C46"/>
    <mergeCell ref="D45:D46"/>
    <mergeCell ref="E45:E46"/>
    <mergeCell ref="F45:F46"/>
    <mergeCell ref="K45:K46"/>
    <mergeCell ref="I48:I49"/>
    <mergeCell ref="J48:J49"/>
    <mergeCell ref="G45:G46"/>
    <mergeCell ref="H45:H46"/>
    <mergeCell ref="C47:K47"/>
    <mergeCell ref="C48:C49"/>
    <mergeCell ref="D48:D49"/>
    <mergeCell ref="E48:E49"/>
    <mergeCell ref="F48:F49"/>
    <mergeCell ref="K48:K49"/>
    <mergeCell ref="I51:I52"/>
    <mergeCell ref="J51:J52"/>
    <mergeCell ref="G48:G49"/>
    <mergeCell ref="H48:H49"/>
    <mergeCell ref="C50:K50"/>
    <mergeCell ref="C51:C52"/>
    <mergeCell ref="D51:D52"/>
    <mergeCell ref="E51:E52"/>
    <mergeCell ref="F51:F52"/>
    <mergeCell ref="J79:J80"/>
    <mergeCell ref="K79:K80"/>
    <mergeCell ref="D79:D80"/>
    <mergeCell ref="E79:E80"/>
    <mergeCell ref="F79:F80"/>
    <mergeCell ref="G79:G80"/>
    <mergeCell ref="H79:H80"/>
    <mergeCell ref="I79:I80"/>
    <mergeCell ref="C81:K81"/>
    <mergeCell ref="F73:F74"/>
    <mergeCell ref="G73:G74"/>
    <mergeCell ref="H73:H74"/>
    <mergeCell ref="I73:I74"/>
    <mergeCell ref="J73:J74"/>
    <mergeCell ref="K73:K74"/>
    <mergeCell ref="C70:K71"/>
    <mergeCell ref="E72:F72"/>
    <mergeCell ref="H72:I72"/>
    <mergeCell ref="J72:K72"/>
    <mergeCell ref="D73:D74"/>
    <mergeCell ref="E73:E74"/>
    <mergeCell ref="C75:K75"/>
    <mergeCell ref="I76:I77"/>
    <mergeCell ref="J76:J77"/>
    <mergeCell ref="K76:K77"/>
    <mergeCell ref="C78:K78"/>
    <mergeCell ref="C73:C74"/>
    <mergeCell ref="C76:C77"/>
    <mergeCell ref="D76:D77"/>
    <mergeCell ref="E76:E77"/>
    <mergeCell ref="F76:F77"/>
    <mergeCell ref="G76:G77"/>
    <mergeCell ref="H76:H77"/>
    <mergeCell ref="C79:C80"/>
    <mergeCell ref="C82:C83"/>
    <mergeCell ref="D82:D83"/>
    <mergeCell ref="E82:E83"/>
    <mergeCell ref="F82:F83"/>
    <mergeCell ref="G82:G83"/>
    <mergeCell ref="H82:H83"/>
    <mergeCell ref="C20:K20"/>
    <mergeCell ref="C21:I21"/>
    <mergeCell ref="C22:K22"/>
    <mergeCell ref="D23:D24"/>
    <mergeCell ref="E23:E24"/>
    <mergeCell ref="C25:K25"/>
    <mergeCell ref="C23:C24"/>
    <mergeCell ref="C26:C27"/>
    <mergeCell ref="D26:D27"/>
    <mergeCell ref="E26:E27"/>
    <mergeCell ref="F26:F27"/>
    <mergeCell ref="G26:G27"/>
    <mergeCell ref="H26:H27"/>
    <mergeCell ref="F56:F57"/>
    <mergeCell ref="G56:G57"/>
    <mergeCell ref="H56:H57"/>
    <mergeCell ref="I56:I57"/>
    <mergeCell ref="J56:J57"/>
    <mergeCell ref="K56:K57"/>
    <mergeCell ref="G51:G52"/>
    <mergeCell ref="H51:H52"/>
    <mergeCell ref="K51:K52"/>
    <mergeCell ref="C53:K53"/>
    <mergeCell ref="C54:I54"/>
    <mergeCell ref="C55:K55"/>
    <mergeCell ref="C56:C57"/>
    <mergeCell ref="I59:I60"/>
    <mergeCell ref="J59:J60"/>
    <mergeCell ref="D56:D57"/>
    <mergeCell ref="E56:E57"/>
    <mergeCell ref="C58:K58"/>
    <mergeCell ref="C59:C60"/>
    <mergeCell ref="D59:D60"/>
    <mergeCell ref="E59:E60"/>
    <mergeCell ref="F59:F60"/>
    <mergeCell ref="K59:K60"/>
    <mergeCell ref="I62:I63"/>
    <mergeCell ref="J62:J63"/>
    <mergeCell ref="G59:G60"/>
    <mergeCell ref="H59:H60"/>
    <mergeCell ref="C61:K61"/>
    <mergeCell ref="C62:C63"/>
    <mergeCell ref="D62:D63"/>
    <mergeCell ref="E62:E63"/>
    <mergeCell ref="F62:F63"/>
    <mergeCell ref="K62:K63"/>
    <mergeCell ref="D17:D18"/>
    <mergeCell ref="E17:E18"/>
    <mergeCell ref="F17:F18"/>
    <mergeCell ref="G17:G18"/>
    <mergeCell ref="H17:H18"/>
    <mergeCell ref="I17:I18"/>
    <mergeCell ref="C19:K19"/>
    <mergeCell ref="F23:F24"/>
    <mergeCell ref="G23:G24"/>
    <mergeCell ref="H23:H24"/>
    <mergeCell ref="I23:I24"/>
    <mergeCell ref="J23:J24"/>
    <mergeCell ref="K23:K24"/>
    <mergeCell ref="I26:I27"/>
    <mergeCell ref="J26:J27"/>
    <mergeCell ref="K26:K27"/>
    <mergeCell ref="C28:K28"/>
    <mergeCell ref="C65:K65"/>
    <mergeCell ref="C66:I66"/>
    <mergeCell ref="C67:K67"/>
    <mergeCell ref="C68:I68"/>
    <mergeCell ref="C69:K69"/>
    <mergeCell ref="C17:C18"/>
    <mergeCell ref="J93:J94"/>
    <mergeCell ref="K93:K94"/>
    <mergeCell ref="D93:D94"/>
    <mergeCell ref="E93:E94"/>
    <mergeCell ref="F93:F94"/>
    <mergeCell ref="G93:G94"/>
    <mergeCell ref="H93:H94"/>
    <mergeCell ref="I93:I94"/>
    <mergeCell ref="C95:K95"/>
    <mergeCell ref="F87:F88"/>
    <mergeCell ref="G87:G88"/>
    <mergeCell ref="H87:H88"/>
    <mergeCell ref="I87:I88"/>
    <mergeCell ref="J87:J88"/>
    <mergeCell ref="K87:K88"/>
    <mergeCell ref="I82:I83"/>
    <mergeCell ref="J82:J83"/>
    <mergeCell ref="K82:K83"/>
    <mergeCell ref="C84:K84"/>
    <mergeCell ref="C85:I85"/>
    <mergeCell ref="C86:K86"/>
    <mergeCell ref="C87:C88"/>
    <mergeCell ref="C89:K89"/>
    <mergeCell ref="H90:H91"/>
    <mergeCell ref="I90:I91"/>
    <mergeCell ref="J90:J91"/>
    <mergeCell ref="K90:K91"/>
    <mergeCell ref="C92:K92"/>
    <mergeCell ref="D87:D88"/>
    <mergeCell ref="E87:E88"/>
    <mergeCell ref="C90:C91"/>
    <mergeCell ref="D90:D91"/>
    <mergeCell ref="E90:E91"/>
    <mergeCell ref="F90:F91"/>
    <mergeCell ref="G90:G91"/>
    <mergeCell ref="C96:K96"/>
    <mergeCell ref="C97:I97"/>
    <mergeCell ref="C98:K98"/>
    <mergeCell ref="C99:I99"/>
    <mergeCell ref="C100:K100"/>
    <mergeCell ref="C93:C94"/>
    <mergeCell ref="G62:G63"/>
    <mergeCell ref="H62:H63"/>
    <mergeCell ref="C64:K64"/>
  </mergeCells>
  <printOptions/>
  <pageMargins bottom="0.75" footer="0.0" header="0.0" left="0.7" right="0.7" top="0.75"/>
  <pageSetup paperSize="9" scale="6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6" width="9.13"/>
    <col customWidth="1" min="17" max="24" width="8.0"/>
  </cols>
  <sheetData>
    <row r="1" ht="12.75" customHeight="1">
      <c r="A1" s="141"/>
      <c r="B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28" t="s">
        <v>156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>
      <c r="A3" s="141"/>
      <c r="B3" s="30" t="s">
        <v>1</v>
      </c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ht="12.7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2.75" customHeight="1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19.5" customHeight="1">
      <c r="A6" s="141"/>
      <c r="B6" s="141"/>
      <c r="C6" s="185" t="s">
        <v>240</v>
      </c>
      <c r="D6" s="17"/>
      <c r="E6" s="17"/>
      <c r="F6" s="17"/>
      <c r="G6" s="17"/>
      <c r="H6" s="17"/>
      <c r="I6" s="17"/>
      <c r="J6" s="17"/>
      <c r="K6" s="22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3"/>
      <c r="D7" s="144"/>
      <c r="E7" s="144"/>
      <c r="F7" s="144"/>
      <c r="G7" s="144"/>
      <c r="H7" s="144"/>
      <c r="I7" s="144"/>
      <c r="J7" s="144"/>
      <c r="K7" s="145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4.5" customHeight="1">
      <c r="A8" s="141"/>
      <c r="B8" s="141"/>
      <c r="C8" s="146"/>
      <c r="D8" s="147"/>
      <c r="E8" s="147"/>
      <c r="F8" s="147"/>
      <c r="G8" s="147"/>
      <c r="H8" s="147"/>
      <c r="I8" s="147"/>
      <c r="J8" s="147"/>
      <c r="K8" s="148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9" t="s">
        <v>210</v>
      </c>
      <c r="D9" s="144"/>
      <c r="E9" s="144"/>
      <c r="F9" s="144"/>
      <c r="G9" s="144"/>
      <c r="H9" s="144"/>
      <c r="I9" s="144"/>
      <c r="J9" s="144"/>
      <c r="K9" s="145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2.75" customHeight="1">
      <c r="A10" s="141"/>
      <c r="B10" s="141"/>
      <c r="C10" s="146"/>
      <c r="D10" s="147"/>
      <c r="E10" s="147"/>
      <c r="F10" s="147"/>
      <c r="G10" s="147"/>
      <c r="H10" s="147"/>
      <c r="I10" s="147"/>
      <c r="J10" s="147"/>
      <c r="K10" s="148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9.5" customHeight="1">
      <c r="A11" s="141"/>
      <c r="B11" s="141"/>
      <c r="C11" s="150" t="s">
        <v>211</v>
      </c>
      <c r="D11" s="150" t="s">
        <v>212</v>
      </c>
      <c r="E11" s="151" t="s">
        <v>241</v>
      </c>
      <c r="F11" s="22"/>
      <c r="G11" s="150"/>
      <c r="H11" s="151" t="s">
        <v>236</v>
      </c>
      <c r="I11" s="22"/>
      <c r="J11" s="152" t="s">
        <v>216</v>
      </c>
      <c r="K11" s="22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186"/>
      <c r="D12" s="17"/>
      <c r="E12" s="17"/>
      <c r="F12" s="17"/>
      <c r="G12" s="17"/>
      <c r="H12" s="17"/>
      <c r="I12" s="17"/>
      <c r="J12" s="17"/>
      <c r="K12" s="22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13.5" customHeight="1">
      <c r="A13" s="141"/>
      <c r="B13" s="141"/>
      <c r="C13" s="153" t="s">
        <v>217</v>
      </c>
      <c r="D13" s="154" t="s">
        <v>218</v>
      </c>
      <c r="E13" s="165" t="s">
        <v>87</v>
      </c>
      <c r="F13" s="165" t="s">
        <v>101</v>
      </c>
      <c r="G13" s="156" t="s">
        <v>214</v>
      </c>
      <c r="H13" s="165" t="s">
        <v>103</v>
      </c>
      <c r="I13" s="165" t="s">
        <v>96</v>
      </c>
      <c r="J13" s="155">
        <v>12.0</v>
      </c>
      <c r="K13" s="155">
        <v>7.0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75" customHeight="1">
      <c r="A14" s="141"/>
      <c r="B14" s="141"/>
      <c r="C14" s="125"/>
      <c r="D14" s="125"/>
      <c r="E14" s="125"/>
      <c r="F14" s="125"/>
      <c r="G14" s="125"/>
      <c r="H14" s="125"/>
      <c r="I14" s="125"/>
      <c r="J14" s="125"/>
      <c r="K14" s="125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4.5" customHeight="1">
      <c r="A15" s="141"/>
      <c r="B15" s="141"/>
      <c r="C15" s="161"/>
      <c r="D15" s="17"/>
      <c r="E15" s="17"/>
      <c r="F15" s="17"/>
      <c r="G15" s="17"/>
      <c r="H15" s="17"/>
      <c r="I15" s="17"/>
      <c r="J15" s="17"/>
      <c r="K15" s="22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12.75" customHeight="1">
      <c r="A16" s="141"/>
      <c r="B16" s="141"/>
      <c r="C16" s="153" t="s">
        <v>220</v>
      </c>
      <c r="D16" s="154" t="s">
        <v>221</v>
      </c>
      <c r="E16" s="165" t="s">
        <v>114</v>
      </c>
      <c r="F16" s="165" t="s">
        <v>119</v>
      </c>
      <c r="G16" s="187" t="s">
        <v>214</v>
      </c>
      <c r="H16" s="165" t="s">
        <v>110</v>
      </c>
      <c r="I16" s="165" t="s">
        <v>12</v>
      </c>
      <c r="J16" s="155">
        <v>11.0</v>
      </c>
      <c r="K16" s="155">
        <v>7.0</v>
      </c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75" customHeight="1">
      <c r="A17" s="141"/>
      <c r="B17" s="141"/>
      <c r="C17" s="125"/>
      <c r="D17" s="125"/>
      <c r="E17" s="125"/>
      <c r="F17" s="125"/>
      <c r="G17" s="125"/>
      <c r="H17" s="125"/>
      <c r="I17" s="125"/>
      <c r="J17" s="125"/>
      <c r="K17" s="125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4.5" customHeight="1">
      <c r="A18" s="141"/>
      <c r="B18" s="141"/>
      <c r="C18" s="161"/>
      <c r="D18" s="17"/>
      <c r="E18" s="17"/>
      <c r="F18" s="17"/>
      <c r="G18" s="17"/>
      <c r="H18" s="17"/>
      <c r="I18" s="17"/>
      <c r="J18" s="17"/>
      <c r="K18" s="22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12.75" customHeight="1">
      <c r="A19" s="141"/>
      <c r="B19" s="141"/>
      <c r="C19" s="153" t="s">
        <v>222</v>
      </c>
      <c r="D19" s="154" t="s">
        <v>225</v>
      </c>
      <c r="E19" s="165" t="s">
        <v>24</v>
      </c>
      <c r="F19" s="165" t="s">
        <v>31</v>
      </c>
      <c r="G19" s="156" t="s">
        <v>214</v>
      </c>
      <c r="H19" s="165" t="s">
        <v>26</v>
      </c>
      <c r="I19" s="165" t="s">
        <v>33</v>
      </c>
      <c r="J19" s="155">
        <v>9.0</v>
      </c>
      <c r="K19" s="155">
        <v>9.0</v>
      </c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12.75" customHeight="1">
      <c r="A20" s="141"/>
      <c r="B20" s="141"/>
      <c r="C20" s="125"/>
      <c r="D20" s="125"/>
      <c r="E20" s="125"/>
      <c r="F20" s="125"/>
      <c r="G20" s="125"/>
      <c r="H20" s="125"/>
      <c r="I20" s="125"/>
      <c r="J20" s="125"/>
      <c r="K20" s="125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4.5" customHeight="1">
      <c r="A21" s="141"/>
      <c r="B21" s="141"/>
      <c r="C21" s="161"/>
      <c r="D21" s="17"/>
      <c r="E21" s="17"/>
      <c r="F21" s="17"/>
      <c r="G21" s="17"/>
      <c r="H21" s="17"/>
      <c r="I21" s="17"/>
      <c r="J21" s="17"/>
      <c r="K21" s="22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12.75" customHeight="1">
      <c r="A22" s="141"/>
      <c r="B22" s="141"/>
      <c r="C22" s="169" t="s">
        <v>217</v>
      </c>
      <c r="D22" s="171" t="s">
        <v>227</v>
      </c>
      <c r="E22" s="155" t="s">
        <v>10</v>
      </c>
      <c r="F22" s="155" t="s">
        <v>151</v>
      </c>
      <c r="G22" s="156" t="s">
        <v>214</v>
      </c>
      <c r="H22" s="155" t="s">
        <v>147</v>
      </c>
      <c r="I22" s="155" t="s">
        <v>153</v>
      </c>
      <c r="J22" s="155">
        <v>6.0</v>
      </c>
      <c r="K22" s="155">
        <v>12.0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75" customHeight="1">
      <c r="A23" s="141"/>
      <c r="B23" s="141"/>
      <c r="C23" s="125"/>
      <c r="D23" s="125"/>
      <c r="E23" s="125"/>
      <c r="F23" s="125"/>
      <c r="G23" s="125"/>
      <c r="H23" s="125"/>
      <c r="I23" s="125"/>
      <c r="J23" s="125"/>
      <c r="K23" s="125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4.5" customHeight="1">
      <c r="A24" s="141"/>
      <c r="B24" s="141"/>
      <c r="C24" s="161"/>
      <c r="D24" s="17"/>
      <c r="E24" s="17"/>
      <c r="F24" s="17"/>
      <c r="G24" s="17"/>
      <c r="H24" s="17"/>
      <c r="I24" s="17"/>
      <c r="J24" s="17"/>
      <c r="K24" s="22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12.75" customHeight="1">
      <c r="A25" s="141"/>
      <c r="B25" s="141"/>
      <c r="C25" s="162" t="s">
        <v>242</v>
      </c>
      <c r="D25" s="17"/>
      <c r="E25" s="17"/>
      <c r="F25" s="17"/>
      <c r="G25" s="17"/>
      <c r="H25" s="17"/>
      <c r="I25" s="22"/>
      <c r="J25" s="164">
        <f t="shared" ref="J25:K25" si="1">SUM(J15:J23)</f>
        <v>26</v>
      </c>
      <c r="K25" s="164">
        <f t="shared" si="1"/>
        <v>28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4.5" customHeight="1">
      <c r="A26" s="141"/>
      <c r="B26" s="141"/>
      <c r="C26" s="161"/>
      <c r="D26" s="17"/>
      <c r="E26" s="17"/>
      <c r="F26" s="17"/>
      <c r="G26" s="17"/>
      <c r="H26" s="17"/>
      <c r="I26" s="17"/>
      <c r="J26" s="17"/>
      <c r="K26" s="22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41"/>
      <c r="B27" s="141"/>
      <c r="C27" s="172"/>
      <c r="D27" s="17"/>
      <c r="E27" s="17"/>
      <c r="F27" s="17"/>
      <c r="G27" s="17"/>
      <c r="H27" s="17"/>
      <c r="I27" s="17"/>
      <c r="J27" s="17"/>
      <c r="K27" s="22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75" customHeight="1">
      <c r="A28" s="141"/>
      <c r="B28" s="141"/>
      <c r="C28" s="153" t="s">
        <v>217</v>
      </c>
      <c r="D28" s="154" t="s">
        <v>226</v>
      </c>
      <c r="E28" s="155" t="s">
        <v>45</v>
      </c>
      <c r="F28" s="155" t="s">
        <v>52</v>
      </c>
      <c r="G28" s="156" t="s">
        <v>214</v>
      </c>
      <c r="H28" s="155" t="s">
        <v>47</v>
      </c>
      <c r="I28" s="155" t="s">
        <v>61</v>
      </c>
      <c r="J28" s="155">
        <v>9.0</v>
      </c>
      <c r="K28" s="155">
        <v>9.0</v>
      </c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12.75" customHeight="1">
      <c r="A29" s="141"/>
      <c r="B29" s="141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4.5" customHeight="1">
      <c r="A30" s="141"/>
      <c r="B30" s="141"/>
      <c r="C30" s="161"/>
      <c r="D30" s="17"/>
      <c r="E30" s="17"/>
      <c r="F30" s="17"/>
      <c r="G30" s="17"/>
      <c r="H30" s="17"/>
      <c r="I30" s="17"/>
      <c r="J30" s="17"/>
      <c r="K30" s="22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12.75" customHeight="1">
      <c r="A31" s="168"/>
      <c r="B31" s="141"/>
      <c r="C31" s="153" t="s">
        <v>220</v>
      </c>
      <c r="D31" s="154" t="s">
        <v>223</v>
      </c>
      <c r="E31" s="155" t="s">
        <v>124</v>
      </c>
      <c r="F31" s="155" t="s">
        <v>134</v>
      </c>
      <c r="G31" s="156" t="s">
        <v>214</v>
      </c>
      <c r="H31" s="155" t="s">
        <v>125</v>
      </c>
      <c r="I31" s="155" t="s">
        <v>136</v>
      </c>
      <c r="J31" s="155">
        <v>9.0</v>
      </c>
      <c r="K31" s="155">
        <v>9.0</v>
      </c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12.75" customHeight="1">
      <c r="A32" s="168"/>
      <c r="B32" s="141"/>
      <c r="C32" s="125"/>
      <c r="D32" s="125"/>
      <c r="E32" s="125"/>
      <c r="F32" s="125"/>
      <c r="G32" s="125"/>
      <c r="H32" s="125"/>
      <c r="I32" s="125"/>
      <c r="J32" s="125"/>
      <c r="K32" s="125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4.5" customHeight="1">
      <c r="A33" s="141"/>
      <c r="B33" s="141"/>
      <c r="C33" s="161"/>
      <c r="D33" s="17"/>
      <c r="E33" s="17"/>
      <c r="F33" s="17"/>
      <c r="G33" s="17"/>
      <c r="H33" s="17"/>
      <c r="I33" s="17"/>
      <c r="J33" s="17"/>
      <c r="K33" s="22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153" t="s">
        <v>222</v>
      </c>
      <c r="D34" s="154" t="s">
        <v>228</v>
      </c>
      <c r="E34" s="155" t="s">
        <v>66</v>
      </c>
      <c r="F34" s="155" t="s">
        <v>243</v>
      </c>
      <c r="G34" s="156" t="s">
        <v>214</v>
      </c>
      <c r="H34" s="155" t="s">
        <v>68</v>
      </c>
      <c r="I34" s="155" t="s">
        <v>82</v>
      </c>
      <c r="J34" s="155">
        <v>9.0</v>
      </c>
      <c r="K34" s="155">
        <v>9.0</v>
      </c>
      <c r="L34" s="141"/>
      <c r="M34" s="141" t="s">
        <v>239</v>
      </c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12.75" customHeight="1">
      <c r="A35" s="141"/>
      <c r="B35" s="141"/>
      <c r="C35" s="125"/>
      <c r="D35" s="125"/>
      <c r="E35" s="125"/>
      <c r="F35" s="125"/>
      <c r="G35" s="125"/>
      <c r="H35" s="125"/>
      <c r="I35" s="125"/>
      <c r="J35" s="125"/>
      <c r="K35" s="125"/>
      <c r="L35" s="141"/>
      <c r="M35" s="141" t="s">
        <v>239</v>
      </c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4.5" customHeight="1">
      <c r="A36" s="141"/>
      <c r="B36" s="141"/>
      <c r="C36" s="161"/>
      <c r="D36" s="17"/>
      <c r="E36" s="17"/>
      <c r="F36" s="17"/>
      <c r="G36" s="17"/>
      <c r="H36" s="17"/>
      <c r="I36" s="17"/>
      <c r="J36" s="17"/>
      <c r="K36" s="22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4.5" customHeight="1">
      <c r="A37" s="141"/>
      <c r="B37" s="141"/>
      <c r="C37" s="161"/>
      <c r="D37" s="17"/>
      <c r="E37" s="17"/>
      <c r="F37" s="17"/>
      <c r="G37" s="17"/>
      <c r="H37" s="17"/>
      <c r="I37" s="17"/>
      <c r="J37" s="17"/>
      <c r="K37" s="22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12.75" customHeight="1">
      <c r="A38" s="141"/>
      <c r="B38" s="141"/>
      <c r="C38" s="162" t="s">
        <v>244</v>
      </c>
      <c r="D38" s="17"/>
      <c r="E38" s="17"/>
      <c r="F38" s="17"/>
      <c r="G38" s="17"/>
      <c r="H38" s="17"/>
      <c r="I38" s="22"/>
      <c r="J38" s="164">
        <f t="shared" ref="J38:K38" si="2">SUM(J28:J36)</f>
        <v>27</v>
      </c>
      <c r="K38" s="164">
        <f t="shared" si="2"/>
        <v>27</v>
      </c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4.5" customHeight="1">
      <c r="A39" s="141"/>
      <c r="B39" s="141"/>
      <c r="C39" s="161"/>
      <c r="D39" s="17"/>
      <c r="E39" s="17"/>
      <c r="F39" s="17"/>
      <c r="G39" s="17"/>
      <c r="H39" s="17"/>
      <c r="I39" s="17"/>
      <c r="J39" s="17"/>
      <c r="K39" s="22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12.75" customHeight="1">
      <c r="A40" s="141"/>
      <c r="B40" s="141"/>
      <c r="C40" s="172" t="s">
        <v>245</v>
      </c>
      <c r="D40" s="17"/>
      <c r="E40" s="17"/>
      <c r="F40" s="17"/>
      <c r="G40" s="17"/>
      <c r="H40" s="17"/>
      <c r="I40" s="22"/>
      <c r="J40" s="188">
        <f t="shared" ref="J40:K40" si="3">J38+J25</f>
        <v>53</v>
      </c>
      <c r="K40" s="188">
        <f t="shared" si="3"/>
        <v>55</v>
      </c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6.75" customHeight="1">
      <c r="A41" s="141"/>
      <c r="B41" s="141"/>
      <c r="C41" s="161"/>
      <c r="D41" s="17"/>
      <c r="E41" s="17"/>
      <c r="F41" s="17"/>
      <c r="G41" s="17"/>
      <c r="H41" s="17"/>
      <c r="I41" s="17"/>
      <c r="J41" s="17"/>
      <c r="K41" s="22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7.5" customHeight="1">
      <c r="A42" s="141"/>
      <c r="B42" s="141"/>
      <c r="C42" s="149" t="s">
        <v>231</v>
      </c>
      <c r="D42" s="144"/>
      <c r="E42" s="144"/>
      <c r="F42" s="144"/>
      <c r="G42" s="144"/>
      <c r="H42" s="144"/>
      <c r="I42" s="144"/>
      <c r="J42" s="144"/>
      <c r="K42" s="145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46"/>
      <c r="D43" s="147"/>
      <c r="E43" s="147"/>
      <c r="F43" s="147"/>
      <c r="G43" s="147"/>
      <c r="H43" s="147"/>
      <c r="I43" s="147"/>
      <c r="J43" s="147"/>
      <c r="K43" s="148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26.25" customHeight="1">
      <c r="A44" s="141"/>
      <c r="B44" s="141"/>
      <c r="C44" s="150" t="s">
        <v>211</v>
      </c>
      <c r="D44" s="150" t="s">
        <v>212</v>
      </c>
      <c r="E44" s="151" t="s">
        <v>213</v>
      </c>
      <c r="F44" s="22"/>
      <c r="G44" s="150" t="s">
        <v>214</v>
      </c>
      <c r="H44" s="151" t="s">
        <v>237</v>
      </c>
      <c r="I44" s="22"/>
      <c r="J44" s="152" t="s">
        <v>216</v>
      </c>
      <c r="K44" s="22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86"/>
      <c r="D45" s="17"/>
      <c r="E45" s="17"/>
      <c r="F45" s="17"/>
      <c r="G45" s="17"/>
      <c r="H45" s="17"/>
      <c r="I45" s="17"/>
      <c r="J45" s="17"/>
      <c r="K45" s="22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12.75" customHeight="1">
      <c r="A46" s="141"/>
      <c r="B46" s="141"/>
      <c r="C46" s="153" t="s">
        <v>246</v>
      </c>
      <c r="D46" s="154" t="s">
        <v>223</v>
      </c>
      <c r="E46" s="165" t="s">
        <v>123</v>
      </c>
      <c r="F46" s="165" t="s">
        <v>133</v>
      </c>
      <c r="G46" s="156" t="s">
        <v>214</v>
      </c>
      <c r="H46" s="165" t="s">
        <v>132</v>
      </c>
      <c r="I46" s="165" t="s">
        <v>138</v>
      </c>
      <c r="J46" s="155">
        <v>15.0</v>
      </c>
      <c r="K46" s="155">
        <v>3.0</v>
      </c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25"/>
      <c r="D47" s="125"/>
      <c r="E47" s="125"/>
      <c r="F47" s="125"/>
      <c r="G47" s="125"/>
      <c r="H47" s="125"/>
      <c r="I47" s="125"/>
      <c r="J47" s="125"/>
      <c r="K47" s="125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4.5" customHeight="1">
      <c r="A48" s="141"/>
      <c r="B48" s="141"/>
      <c r="C48" s="161"/>
      <c r="D48" s="17"/>
      <c r="E48" s="17"/>
      <c r="F48" s="17"/>
      <c r="G48" s="17"/>
      <c r="H48" s="17"/>
      <c r="I48" s="17"/>
      <c r="J48" s="17"/>
      <c r="K48" s="22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12.75" customHeight="1">
      <c r="A49" s="141"/>
      <c r="B49" s="141"/>
      <c r="C49" s="153" t="s">
        <v>217</v>
      </c>
      <c r="D49" s="154" t="s">
        <v>221</v>
      </c>
      <c r="E49" s="165" t="s">
        <v>9</v>
      </c>
      <c r="F49" s="165" t="s">
        <v>247</v>
      </c>
      <c r="G49" s="156" t="s">
        <v>214</v>
      </c>
      <c r="H49" s="165" t="s">
        <v>112</v>
      </c>
      <c r="I49" s="165" t="s">
        <v>118</v>
      </c>
      <c r="J49" s="155">
        <v>4.0</v>
      </c>
      <c r="K49" s="155">
        <v>14.0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25"/>
      <c r="D50" s="125"/>
      <c r="E50" s="125"/>
      <c r="F50" s="125"/>
      <c r="G50" s="125"/>
      <c r="H50" s="125"/>
      <c r="I50" s="125"/>
      <c r="J50" s="125"/>
      <c r="K50" s="125"/>
      <c r="L50" s="189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4.5" customHeight="1">
      <c r="A51" s="141"/>
      <c r="B51" s="141"/>
      <c r="C51" s="161"/>
      <c r="D51" s="17"/>
      <c r="E51" s="17"/>
      <c r="F51" s="17"/>
      <c r="G51" s="17"/>
      <c r="H51" s="17"/>
      <c r="I51" s="17"/>
      <c r="J51" s="17"/>
      <c r="K51" s="22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12.75" customHeight="1">
      <c r="A52" s="141"/>
      <c r="B52" s="141"/>
      <c r="C52" s="169" t="s">
        <v>217</v>
      </c>
      <c r="D52" s="154" t="s">
        <v>218</v>
      </c>
      <c r="E52" s="165" t="s">
        <v>86</v>
      </c>
      <c r="F52" s="165" t="s">
        <v>93</v>
      </c>
      <c r="G52" s="156" t="s">
        <v>214</v>
      </c>
      <c r="H52" s="165" t="s">
        <v>98</v>
      </c>
      <c r="I52" s="165" t="s">
        <v>105</v>
      </c>
      <c r="J52" s="155">
        <v>12.0</v>
      </c>
      <c r="K52" s="155">
        <v>7.0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12.75" customHeight="1">
      <c r="A53" s="141"/>
      <c r="B53" s="141"/>
      <c r="C53" s="125"/>
      <c r="D53" s="125"/>
      <c r="E53" s="125"/>
      <c r="F53" s="125"/>
      <c r="G53" s="125"/>
      <c r="H53" s="125"/>
      <c r="I53" s="125"/>
      <c r="J53" s="125"/>
      <c r="K53" s="125"/>
      <c r="L53" s="141"/>
      <c r="M53" s="141" t="s">
        <v>239</v>
      </c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4.5" customHeight="1">
      <c r="A54" s="141"/>
      <c r="B54" s="141"/>
      <c r="C54" s="161"/>
      <c r="D54" s="17"/>
      <c r="E54" s="17"/>
      <c r="F54" s="17"/>
      <c r="G54" s="17"/>
      <c r="H54" s="17"/>
      <c r="I54" s="17"/>
      <c r="J54" s="17"/>
      <c r="K54" s="22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12.75" customHeight="1">
      <c r="A55" s="141"/>
      <c r="B55" s="141"/>
      <c r="C55" s="153" t="s">
        <v>246</v>
      </c>
      <c r="D55" s="154" t="s">
        <v>226</v>
      </c>
      <c r="E55" s="165" t="s">
        <v>248</v>
      </c>
      <c r="F55" s="165" t="s">
        <v>249</v>
      </c>
      <c r="G55" s="156" t="s">
        <v>214</v>
      </c>
      <c r="H55" s="165" t="s">
        <v>56</v>
      </c>
      <c r="I55" s="165" t="s">
        <v>250</v>
      </c>
      <c r="J55" s="155">
        <v>6.0</v>
      </c>
      <c r="K55" s="155">
        <v>12.0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25"/>
      <c r="D56" s="125"/>
      <c r="E56" s="125"/>
      <c r="F56" s="125"/>
      <c r="G56" s="125"/>
      <c r="H56" s="125"/>
      <c r="I56" s="125"/>
      <c r="J56" s="125"/>
      <c r="K56" s="125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4.5" customHeight="1">
      <c r="A57" s="141"/>
      <c r="B57" s="141"/>
      <c r="C57" s="161"/>
      <c r="D57" s="17"/>
      <c r="E57" s="17"/>
      <c r="F57" s="17"/>
      <c r="G57" s="17"/>
      <c r="H57" s="17"/>
      <c r="I57" s="17"/>
      <c r="J57" s="17"/>
      <c r="K57" s="22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12.75" customHeight="1">
      <c r="A58" s="141"/>
      <c r="B58" s="141"/>
      <c r="C58" s="162"/>
      <c r="D58" s="17"/>
      <c r="E58" s="17"/>
      <c r="F58" s="17"/>
      <c r="G58" s="17"/>
      <c r="H58" s="17"/>
      <c r="I58" s="22"/>
      <c r="J58" s="164">
        <f t="shared" ref="J58:K58" si="4">SUM(J46:J56)</f>
        <v>37</v>
      </c>
      <c r="K58" s="164">
        <f t="shared" si="4"/>
        <v>36</v>
      </c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4.5" customHeight="1">
      <c r="A59" s="141"/>
      <c r="B59" s="141"/>
      <c r="C59" s="161"/>
      <c r="D59" s="17"/>
      <c r="E59" s="17"/>
      <c r="F59" s="17"/>
      <c r="G59" s="17"/>
      <c r="H59" s="17"/>
      <c r="I59" s="17"/>
      <c r="J59" s="17"/>
      <c r="K59" s="22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72"/>
      <c r="D60" s="17"/>
      <c r="E60" s="17"/>
      <c r="F60" s="17"/>
      <c r="G60" s="17"/>
      <c r="H60" s="17"/>
      <c r="I60" s="17"/>
      <c r="J60" s="17"/>
      <c r="K60" s="22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12.75" customHeight="1">
      <c r="A61" s="141"/>
      <c r="B61" s="141"/>
      <c r="C61" s="153" t="s">
        <v>217</v>
      </c>
      <c r="D61" s="154" t="s">
        <v>225</v>
      </c>
      <c r="E61" s="165" t="s">
        <v>23</v>
      </c>
      <c r="F61" s="165" t="s">
        <v>37</v>
      </c>
      <c r="G61" s="156" t="s">
        <v>214</v>
      </c>
      <c r="H61" s="165" t="s">
        <v>28</v>
      </c>
      <c r="I61" s="165" t="s">
        <v>42</v>
      </c>
      <c r="J61" s="155">
        <v>11.0</v>
      </c>
      <c r="K61" s="155">
        <v>7.0</v>
      </c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25"/>
      <c r="D62" s="125"/>
      <c r="E62" s="125"/>
      <c r="F62" s="125"/>
      <c r="G62" s="125"/>
      <c r="H62" s="125"/>
      <c r="I62" s="125"/>
      <c r="J62" s="125"/>
      <c r="K62" s="125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4.5" customHeight="1">
      <c r="A63" s="141"/>
      <c r="B63" s="141"/>
      <c r="C63" s="161"/>
      <c r="D63" s="17"/>
      <c r="E63" s="17"/>
      <c r="F63" s="17"/>
      <c r="G63" s="17"/>
      <c r="H63" s="17"/>
      <c r="I63" s="17"/>
      <c r="J63" s="17"/>
      <c r="K63" s="22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12.75" customHeight="1">
      <c r="A64" s="141"/>
      <c r="B64" s="141"/>
      <c r="C64" s="153" t="s">
        <v>220</v>
      </c>
      <c r="D64" s="154" t="s">
        <v>228</v>
      </c>
      <c r="E64" s="165" t="s">
        <v>65</v>
      </c>
      <c r="F64" s="165" t="s">
        <v>72</v>
      </c>
      <c r="G64" s="156" t="s">
        <v>214</v>
      </c>
      <c r="H64" s="165" t="s">
        <v>70</v>
      </c>
      <c r="I64" s="165" t="s">
        <v>77</v>
      </c>
      <c r="J64" s="155">
        <v>8.0</v>
      </c>
      <c r="K64" s="155">
        <v>10.0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25"/>
      <c r="D65" s="125"/>
      <c r="E65" s="125"/>
      <c r="F65" s="125"/>
      <c r="G65" s="125"/>
      <c r="H65" s="125"/>
      <c r="I65" s="125"/>
      <c r="J65" s="125"/>
      <c r="K65" s="125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4.5" customHeight="1">
      <c r="A66" s="141"/>
      <c r="B66" s="141"/>
      <c r="C66" s="161"/>
      <c r="D66" s="17"/>
      <c r="E66" s="17"/>
      <c r="F66" s="17"/>
      <c r="G66" s="17"/>
      <c r="H66" s="17"/>
      <c r="I66" s="17"/>
      <c r="J66" s="17"/>
      <c r="K66" s="22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12.75" customHeight="1">
      <c r="A67" s="141"/>
      <c r="B67" s="141"/>
      <c r="C67" s="153" t="s">
        <v>222</v>
      </c>
      <c r="D67" s="171" t="s">
        <v>227</v>
      </c>
      <c r="E67" s="165" t="s">
        <v>139</v>
      </c>
      <c r="F67" s="165" t="s">
        <v>150</v>
      </c>
      <c r="G67" s="156" t="s">
        <v>214</v>
      </c>
      <c r="H67" s="165" t="s">
        <v>143</v>
      </c>
      <c r="I67" s="165" t="s">
        <v>155</v>
      </c>
      <c r="J67" s="155">
        <v>9.0</v>
      </c>
      <c r="K67" s="155">
        <v>9.0</v>
      </c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25"/>
      <c r="D68" s="125"/>
      <c r="E68" s="125"/>
      <c r="F68" s="125"/>
      <c r="G68" s="125"/>
      <c r="H68" s="125"/>
      <c r="I68" s="125"/>
      <c r="J68" s="125"/>
      <c r="K68" s="125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4.5" customHeight="1">
      <c r="A69" s="141"/>
      <c r="B69" s="141"/>
      <c r="C69" s="161"/>
      <c r="D69" s="17"/>
      <c r="E69" s="17"/>
      <c r="F69" s="17"/>
      <c r="G69" s="17"/>
      <c r="H69" s="17"/>
      <c r="I69" s="17"/>
      <c r="J69" s="17"/>
      <c r="K69" s="22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4.5" customHeight="1">
      <c r="A70" s="141"/>
      <c r="B70" s="141"/>
      <c r="C70" s="161"/>
      <c r="D70" s="17"/>
      <c r="E70" s="17"/>
      <c r="F70" s="17"/>
      <c r="G70" s="17"/>
      <c r="H70" s="17"/>
      <c r="I70" s="17"/>
      <c r="J70" s="17"/>
      <c r="K70" s="22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12.75" customHeight="1">
      <c r="A71" s="141"/>
      <c r="B71" s="141"/>
      <c r="C71" s="162" t="s">
        <v>244</v>
      </c>
      <c r="D71" s="17"/>
      <c r="E71" s="17"/>
      <c r="F71" s="17"/>
      <c r="G71" s="17"/>
      <c r="H71" s="17"/>
      <c r="I71" s="22"/>
      <c r="J71" s="164">
        <f t="shared" ref="J71:K71" si="5">SUM(J61:J69)</f>
        <v>28</v>
      </c>
      <c r="K71" s="164">
        <f t="shared" si="5"/>
        <v>26</v>
      </c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4.5" customHeight="1">
      <c r="A72" s="141"/>
      <c r="B72" s="141"/>
      <c r="C72" s="161"/>
      <c r="D72" s="17"/>
      <c r="E72" s="17"/>
      <c r="F72" s="17"/>
      <c r="G72" s="17"/>
      <c r="H72" s="17"/>
      <c r="I72" s="17"/>
      <c r="J72" s="17"/>
      <c r="K72" s="22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72" t="s">
        <v>245</v>
      </c>
      <c r="D73" s="17"/>
      <c r="E73" s="17"/>
      <c r="F73" s="17"/>
      <c r="G73" s="17"/>
      <c r="H73" s="17"/>
      <c r="I73" s="22"/>
      <c r="J73" s="188">
        <f t="shared" ref="J73:K73" si="6">J71+J58</f>
        <v>65</v>
      </c>
      <c r="K73" s="188">
        <f t="shared" si="6"/>
        <v>62</v>
      </c>
      <c r="L73" s="141"/>
      <c r="M73" s="141"/>
      <c r="N73" s="141"/>
      <c r="O73" s="141"/>
      <c r="P73" s="141" t="s">
        <v>239</v>
      </c>
      <c r="Q73" s="141"/>
      <c r="R73" s="141"/>
      <c r="S73" s="141"/>
      <c r="T73" s="141"/>
      <c r="U73" s="141"/>
      <c r="V73" s="141"/>
      <c r="W73" s="141"/>
      <c r="X73" s="141"/>
    </row>
    <row r="74" ht="6.75" customHeight="1">
      <c r="A74" s="141"/>
      <c r="B74" s="141"/>
      <c r="C74" s="161"/>
      <c r="D74" s="17"/>
      <c r="E74" s="17"/>
      <c r="F74" s="17"/>
      <c r="G74" s="17"/>
      <c r="H74" s="17"/>
      <c r="I74" s="17"/>
      <c r="J74" s="17"/>
      <c r="K74" s="22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12.75" customHeight="1">
      <c r="A75" s="141"/>
      <c r="B75" s="141"/>
      <c r="C75" s="149" t="s">
        <v>235</v>
      </c>
      <c r="D75" s="144"/>
      <c r="E75" s="144"/>
      <c r="F75" s="144"/>
      <c r="G75" s="144"/>
      <c r="H75" s="144"/>
      <c r="I75" s="144"/>
      <c r="J75" s="144"/>
      <c r="K75" s="145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46"/>
      <c r="D76" s="147"/>
      <c r="E76" s="147"/>
      <c r="F76" s="147"/>
      <c r="G76" s="147"/>
      <c r="H76" s="147"/>
      <c r="I76" s="147"/>
      <c r="J76" s="147"/>
      <c r="K76" s="148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25.5" customHeight="1">
      <c r="A77" s="141"/>
      <c r="B77" s="141"/>
      <c r="C77" s="184" t="s">
        <v>211</v>
      </c>
      <c r="D77" s="150" t="s">
        <v>212</v>
      </c>
      <c r="E77" s="151" t="s">
        <v>215</v>
      </c>
      <c r="F77" s="22"/>
      <c r="G77" s="150"/>
      <c r="H77" s="151" t="s">
        <v>251</v>
      </c>
      <c r="I77" s="22"/>
      <c r="J77" s="152" t="s">
        <v>216</v>
      </c>
      <c r="K77" s="22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12.75" customHeight="1">
      <c r="A78" s="141"/>
      <c r="B78" s="141"/>
      <c r="C78" s="186"/>
      <c r="D78" s="17"/>
      <c r="E78" s="17"/>
      <c r="F78" s="17"/>
      <c r="G78" s="17"/>
      <c r="H78" s="17"/>
      <c r="I78" s="17"/>
      <c r="J78" s="17"/>
      <c r="K78" s="22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53" t="s">
        <v>217</v>
      </c>
      <c r="D79" s="171" t="s">
        <v>227</v>
      </c>
      <c r="E79" s="165" t="s">
        <v>140</v>
      </c>
      <c r="F79" s="165" t="s">
        <v>152</v>
      </c>
      <c r="G79" s="156" t="s">
        <v>214</v>
      </c>
      <c r="H79" s="165" t="s">
        <v>142</v>
      </c>
      <c r="I79" s="165" t="s">
        <v>148</v>
      </c>
      <c r="J79" s="155">
        <v>3.0</v>
      </c>
      <c r="K79" s="155">
        <v>15.0</v>
      </c>
      <c r="L79" s="141"/>
      <c r="M79" s="141"/>
      <c r="N79" s="141"/>
      <c r="O79" s="141"/>
      <c r="P79" s="141" t="s">
        <v>239</v>
      </c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25"/>
      <c r="D80" s="125"/>
      <c r="E80" s="125"/>
      <c r="F80" s="125"/>
      <c r="G80" s="125"/>
      <c r="H80" s="125"/>
      <c r="I80" s="125"/>
      <c r="J80" s="125"/>
      <c r="K80" s="125"/>
      <c r="L80" s="141"/>
      <c r="M80" s="141"/>
      <c r="N80" s="190"/>
      <c r="O80" s="190"/>
      <c r="P80" s="141"/>
      <c r="Q80" s="141"/>
      <c r="R80" s="141"/>
      <c r="S80" s="141"/>
      <c r="T80" s="141"/>
      <c r="U80" s="141"/>
      <c r="V80" s="141"/>
      <c r="W80" s="141"/>
      <c r="X80" s="141"/>
    </row>
    <row r="81" ht="4.5" customHeight="1">
      <c r="A81" s="141"/>
      <c r="B81" s="141"/>
      <c r="C81" s="161"/>
      <c r="D81" s="17"/>
      <c r="E81" s="17"/>
      <c r="F81" s="17"/>
      <c r="G81" s="17"/>
      <c r="H81" s="17"/>
      <c r="I81" s="17"/>
      <c r="J81" s="17"/>
      <c r="K81" s="22"/>
      <c r="L81" s="141"/>
      <c r="M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53" t="s">
        <v>220</v>
      </c>
      <c r="D82" s="171" t="s">
        <v>221</v>
      </c>
      <c r="E82" s="165" t="s">
        <v>109</v>
      </c>
      <c r="F82" s="165" t="s">
        <v>120</v>
      </c>
      <c r="G82" s="156" t="s">
        <v>214</v>
      </c>
      <c r="H82" s="165" t="s">
        <v>117</v>
      </c>
      <c r="I82" s="165" t="s">
        <v>121</v>
      </c>
      <c r="J82" s="155">
        <v>11.0</v>
      </c>
      <c r="K82" s="155">
        <v>7.0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25"/>
      <c r="D83" s="125"/>
      <c r="E83" s="125"/>
      <c r="F83" s="125"/>
      <c r="G83" s="125"/>
      <c r="H83" s="125"/>
      <c r="I83" s="125"/>
      <c r="J83" s="125"/>
      <c r="K83" s="125"/>
      <c r="L83" s="141"/>
      <c r="M83" s="141" t="s">
        <v>239</v>
      </c>
      <c r="N83" s="190"/>
      <c r="O83" s="190"/>
      <c r="P83" s="141"/>
      <c r="Q83" s="141"/>
      <c r="R83" s="141"/>
      <c r="S83" s="141"/>
      <c r="T83" s="141"/>
      <c r="U83" s="141"/>
      <c r="V83" s="141"/>
      <c r="W83" s="141"/>
      <c r="X83" s="141"/>
    </row>
    <row r="84" ht="4.5" customHeight="1">
      <c r="A84" s="141"/>
      <c r="B84" s="141"/>
      <c r="C84" s="161"/>
      <c r="D84" s="17"/>
      <c r="E84" s="17"/>
      <c r="F84" s="17"/>
      <c r="G84" s="17"/>
      <c r="H84" s="17"/>
      <c r="I84" s="17"/>
      <c r="J84" s="17"/>
      <c r="K84" s="22"/>
      <c r="L84" s="141"/>
      <c r="M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12.75" customHeight="1">
      <c r="A85" s="141"/>
      <c r="B85" s="141"/>
      <c r="C85" s="153" t="s">
        <v>222</v>
      </c>
      <c r="D85" s="171" t="s">
        <v>223</v>
      </c>
      <c r="E85" s="165" t="s">
        <v>11</v>
      </c>
      <c r="F85" s="165" t="s">
        <v>135</v>
      </c>
      <c r="G85" s="156" t="s">
        <v>214</v>
      </c>
      <c r="H85" s="165" t="s">
        <v>126</v>
      </c>
      <c r="I85" s="165" t="s">
        <v>137</v>
      </c>
      <c r="J85" s="155">
        <v>9.0</v>
      </c>
      <c r="K85" s="155">
        <v>9.0</v>
      </c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25"/>
      <c r="D86" s="125"/>
      <c r="E86" s="125"/>
      <c r="F86" s="125"/>
      <c r="G86" s="125"/>
      <c r="H86" s="125"/>
      <c r="I86" s="125"/>
      <c r="J86" s="125"/>
      <c r="K86" s="125"/>
      <c r="L86" s="141"/>
      <c r="M86" s="141"/>
      <c r="N86" s="190"/>
      <c r="O86" s="190"/>
      <c r="P86" s="141"/>
      <c r="Q86" s="141"/>
      <c r="R86" s="141"/>
      <c r="S86" s="141"/>
      <c r="T86" s="141"/>
      <c r="U86" s="141"/>
      <c r="V86" s="141"/>
      <c r="W86" s="141"/>
      <c r="X86" s="141"/>
    </row>
    <row r="87" ht="4.5" customHeight="1">
      <c r="A87" s="141"/>
      <c r="B87" s="141"/>
      <c r="C87" s="161"/>
      <c r="D87" s="17"/>
      <c r="E87" s="17"/>
      <c r="F87" s="17"/>
      <c r="G87" s="17"/>
      <c r="H87" s="17"/>
      <c r="I87" s="17"/>
      <c r="J87" s="17"/>
      <c r="K87" s="22"/>
      <c r="L87" s="141"/>
      <c r="M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69" t="s">
        <v>220</v>
      </c>
      <c r="D88" s="171" t="s">
        <v>218</v>
      </c>
      <c r="E88" s="155" t="s">
        <v>88</v>
      </c>
      <c r="F88" s="191" t="s">
        <v>252</v>
      </c>
      <c r="G88" s="156" t="s">
        <v>214</v>
      </c>
      <c r="H88" s="165" t="s">
        <v>90</v>
      </c>
      <c r="I88" s="165" t="s">
        <v>97</v>
      </c>
      <c r="J88" s="155">
        <v>6.0</v>
      </c>
      <c r="K88" s="155">
        <v>13.0</v>
      </c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12.75" customHeight="1">
      <c r="A89" s="141"/>
      <c r="B89" s="141"/>
      <c r="C89" s="125"/>
      <c r="D89" s="125"/>
      <c r="E89" s="125"/>
      <c r="F89" s="125"/>
      <c r="G89" s="125"/>
      <c r="H89" s="125"/>
      <c r="I89" s="125"/>
      <c r="J89" s="125"/>
      <c r="K89" s="125"/>
      <c r="L89" s="141"/>
      <c r="M89" s="141"/>
      <c r="N89" s="192"/>
      <c r="O89" s="192"/>
      <c r="P89" s="141"/>
      <c r="Q89" s="141"/>
      <c r="R89" s="141"/>
      <c r="S89" s="141"/>
      <c r="T89" s="141"/>
      <c r="U89" s="141"/>
      <c r="V89" s="141"/>
      <c r="W89" s="141"/>
      <c r="X89" s="141"/>
    </row>
    <row r="90" ht="4.5" customHeight="1">
      <c r="A90" s="141"/>
      <c r="B90" s="141"/>
      <c r="C90" s="161"/>
      <c r="D90" s="17"/>
      <c r="E90" s="17"/>
      <c r="F90" s="17"/>
      <c r="G90" s="17"/>
      <c r="H90" s="17"/>
      <c r="I90" s="17"/>
      <c r="J90" s="17"/>
      <c r="K90" s="22"/>
      <c r="L90" s="141"/>
      <c r="M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62" t="s">
        <v>242</v>
      </c>
      <c r="D91" s="17"/>
      <c r="E91" s="17"/>
      <c r="F91" s="17"/>
      <c r="G91" s="17"/>
      <c r="H91" s="17"/>
      <c r="I91" s="22"/>
      <c r="J91" s="164">
        <f t="shared" ref="J91:K91" si="7">SUM(J79:J89)</f>
        <v>29</v>
      </c>
      <c r="K91" s="164">
        <f t="shared" si="7"/>
        <v>44</v>
      </c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4.5" customHeight="1">
      <c r="A92" s="141"/>
      <c r="B92" s="141"/>
      <c r="C92" s="161"/>
      <c r="D92" s="17"/>
      <c r="E92" s="17"/>
      <c r="F92" s="17"/>
      <c r="G92" s="17"/>
      <c r="H92" s="17"/>
      <c r="I92" s="17"/>
      <c r="J92" s="17"/>
      <c r="K92" s="22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72"/>
      <c r="D93" s="17"/>
      <c r="E93" s="17"/>
      <c r="F93" s="17"/>
      <c r="G93" s="17"/>
      <c r="H93" s="17"/>
      <c r="I93" s="17"/>
      <c r="J93" s="17"/>
      <c r="K93" s="22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53" t="s">
        <v>217</v>
      </c>
      <c r="D94" s="154" t="s">
        <v>226</v>
      </c>
      <c r="E94" s="165" t="s">
        <v>46</v>
      </c>
      <c r="F94" s="165" t="s">
        <v>60</v>
      </c>
      <c r="G94" s="156" t="s">
        <v>214</v>
      </c>
      <c r="H94" s="165" t="s">
        <v>55</v>
      </c>
      <c r="I94" s="165" t="s">
        <v>62</v>
      </c>
      <c r="J94" s="155">
        <v>9.0</v>
      </c>
      <c r="K94" s="155">
        <v>9.0</v>
      </c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12.75" customHeight="1">
      <c r="A95" s="141"/>
      <c r="B95" s="141"/>
      <c r="C95" s="125"/>
      <c r="D95" s="125"/>
      <c r="E95" s="125"/>
      <c r="F95" s="125"/>
      <c r="G95" s="125"/>
      <c r="H95" s="125"/>
      <c r="I95" s="125"/>
      <c r="J95" s="125"/>
      <c r="K95" s="125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4.5" customHeight="1">
      <c r="A96" s="141"/>
      <c r="B96" s="141"/>
      <c r="C96" s="161"/>
      <c r="D96" s="17"/>
      <c r="E96" s="17"/>
      <c r="F96" s="17"/>
      <c r="G96" s="17"/>
      <c r="H96" s="17"/>
      <c r="I96" s="17"/>
      <c r="J96" s="17"/>
      <c r="K96" s="22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53" t="s">
        <v>220</v>
      </c>
      <c r="D97" s="154" t="s">
        <v>225</v>
      </c>
      <c r="E97" s="165" t="s">
        <v>25</v>
      </c>
      <c r="F97" s="165" t="s">
        <v>32</v>
      </c>
      <c r="G97" s="156" t="s">
        <v>214</v>
      </c>
      <c r="H97" s="165" t="s">
        <v>34</v>
      </c>
      <c r="I97" s="165" t="s">
        <v>41</v>
      </c>
      <c r="J97" s="155">
        <v>14.0</v>
      </c>
      <c r="K97" s="155">
        <v>4.0</v>
      </c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12.75" customHeight="1">
      <c r="A98" s="141"/>
      <c r="B98" s="141"/>
      <c r="C98" s="125"/>
      <c r="D98" s="125"/>
      <c r="E98" s="125"/>
      <c r="F98" s="125"/>
      <c r="G98" s="125"/>
      <c r="H98" s="125"/>
      <c r="I98" s="125"/>
      <c r="J98" s="125"/>
      <c r="K98" s="125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4.5" customHeight="1">
      <c r="A99" s="141"/>
      <c r="B99" s="141"/>
      <c r="C99" s="161"/>
      <c r="D99" s="17"/>
      <c r="E99" s="17"/>
      <c r="F99" s="17"/>
      <c r="G99" s="17"/>
      <c r="H99" s="17"/>
      <c r="I99" s="17"/>
      <c r="J99" s="17"/>
      <c r="K99" s="22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12.75" customHeight="1">
      <c r="A100" s="141"/>
      <c r="B100" s="141"/>
      <c r="C100" s="153" t="s">
        <v>222</v>
      </c>
      <c r="D100" s="154" t="s">
        <v>228</v>
      </c>
      <c r="E100" s="165" t="s">
        <v>74</v>
      </c>
      <c r="F100" s="165" t="s">
        <v>81</v>
      </c>
      <c r="G100" s="156" t="s">
        <v>214</v>
      </c>
      <c r="H100" s="165" t="s">
        <v>69</v>
      </c>
      <c r="I100" s="165" t="s">
        <v>76</v>
      </c>
      <c r="J100" s="155">
        <v>4.0</v>
      </c>
      <c r="K100" s="155">
        <v>14.0</v>
      </c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12.75" customHeight="1">
      <c r="A101" s="141"/>
      <c r="B101" s="141"/>
      <c r="C101" s="125"/>
      <c r="D101" s="125"/>
      <c r="E101" s="125"/>
      <c r="F101" s="125"/>
      <c r="G101" s="125"/>
      <c r="H101" s="125"/>
      <c r="I101" s="125"/>
      <c r="J101" s="125"/>
      <c r="K101" s="125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4.5" customHeight="1">
      <c r="A102" s="141"/>
      <c r="B102" s="141"/>
      <c r="C102" s="161"/>
      <c r="D102" s="17"/>
      <c r="E102" s="17"/>
      <c r="F102" s="17"/>
      <c r="G102" s="17"/>
      <c r="H102" s="17"/>
      <c r="I102" s="17"/>
      <c r="J102" s="17"/>
      <c r="K102" s="22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4.5" customHeight="1">
      <c r="A103" s="141"/>
      <c r="B103" s="141"/>
      <c r="C103" s="161"/>
      <c r="D103" s="17"/>
      <c r="E103" s="17"/>
      <c r="F103" s="17"/>
      <c r="G103" s="17"/>
      <c r="H103" s="17"/>
      <c r="I103" s="17"/>
      <c r="J103" s="17"/>
      <c r="K103" s="22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62" t="s">
        <v>244</v>
      </c>
      <c r="D104" s="17"/>
      <c r="E104" s="17"/>
      <c r="F104" s="17"/>
      <c r="G104" s="17"/>
      <c r="H104" s="17"/>
      <c r="I104" s="22"/>
      <c r="J104" s="164">
        <f t="shared" ref="J104:K104" si="8">SUM(J94:J102)</f>
        <v>27</v>
      </c>
      <c r="K104" s="164">
        <f t="shared" si="8"/>
        <v>27</v>
      </c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4.5" customHeight="1">
      <c r="A105" s="141"/>
      <c r="B105" s="141"/>
      <c r="C105" s="161"/>
      <c r="D105" s="17"/>
      <c r="E105" s="17"/>
      <c r="F105" s="17"/>
      <c r="G105" s="17"/>
      <c r="H105" s="17"/>
      <c r="I105" s="17"/>
      <c r="J105" s="17"/>
      <c r="K105" s="22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72" t="s">
        <v>245</v>
      </c>
      <c r="D106" s="17"/>
      <c r="E106" s="17"/>
      <c r="F106" s="17"/>
      <c r="G106" s="17"/>
      <c r="H106" s="17"/>
      <c r="I106" s="22"/>
      <c r="J106" s="188">
        <f t="shared" ref="J106:K106" si="9">J104+J91</f>
        <v>56</v>
      </c>
      <c r="K106" s="188">
        <f t="shared" si="9"/>
        <v>71</v>
      </c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6.75" customHeight="1">
      <c r="A107" s="141"/>
      <c r="B107" s="141"/>
      <c r="C107" s="161"/>
      <c r="D107" s="17"/>
      <c r="E107" s="17"/>
      <c r="F107" s="17"/>
      <c r="G107" s="17"/>
      <c r="H107" s="17"/>
      <c r="I107" s="17"/>
      <c r="J107" s="17"/>
      <c r="K107" s="22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 t="s">
        <v>239</v>
      </c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2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 ht="12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 ht="12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 ht="12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 ht="12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 ht="12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</row>
    <row r="276" ht="12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</row>
    <row r="277" ht="12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</row>
    <row r="278" ht="12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</row>
    <row r="279" ht="12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</row>
    <row r="280" ht="12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</row>
    <row r="281" ht="12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</row>
    <row r="282" ht="12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</row>
    <row r="283" ht="12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</row>
    <row r="284" ht="12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</row>
    <row r="285" ht="12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</row>
    <row r="286" ht="12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</row>
    <row r="287" ht="12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</row>
    <row r="288" ht="12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</row>
    <row r="289" ht="12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</row>
    <row r="290" ht="12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</row>
    <row r="291" ht="12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</row>
    <row r="292" ht="12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</row>
    <row r="293" ht="12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</row>
    <row r="294" ht="12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</row>
    <row r="295" ht="12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</row>
    <row r="296" ht="12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</row>
    <row r="297" ht="12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</row>
    <row r="298" ht="12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</row>
    <row r="299" ht="12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</row>
    <row r="300" ht="12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</row>
    <row r="301" ht="12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</row>
    <row r="302" ht="12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</row>
    <row r="303" ht="12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</row>
    <row r="304" ht="12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</row>
    <row r="305" ht="12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</row>
    <row r="306" ht="12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</row>
    <row r="307" ht="12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</row>
    <row r="308" ht="12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</row>
    <row r="309" ht="12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</row>
    <row r="310" ht="12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</row>
    <row r="311" ht="12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</row>
    <row r="312" ht="12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</row>
    <row r="313" ht="12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</row>
    <row r="314" ht="12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</row>
    <row r="315" ht="12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</row>
    <row r="316" ht="12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</row>
    <row r="317" ht="12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</row>
    <row r="318" ht="12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</row>
    <row r="319" ht="12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</row>
    <row r="320" ht="12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</row>
    <row r="321" ht="12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</row>
    <row r="322" ht="12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</row>
    <row r="323" ht="12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</row>
    <row r="324" ht="12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</row>
    <row r="325" ht="12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</row>
    <row r="326" ht="12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</row>
    <row r="327" ht="12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</row>
    <row r="328" ht="12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</row>
    <row r="329" ht="12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</row>
    <row r="330" ht="12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</row>
    <row r="331" ht="12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</row>
    <row r="332" ht="12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</row>
    <row r="333" ht="12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</row>
    <row r="334" ht="12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</row>
    <row r="335" ht="12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</row>
    <row r="336" ht="12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</row>
    <row r="337" ht="12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</row>
    <row r="338" ht="12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</row>
    <row r="339" ht="12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</row>
    <row r="340" ht="12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</row>
    <row r="341" ht="12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</row>
    <row r="342" ht="12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61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C27:K27"/>
    <mergeCell ref="J28:J29"/>
    <mergeCell ref="K28:K29"/>
    <mergeCell ref="D28:D29"/>
    <mergeCell ref="E28:E29"/>
    <mergeCell ref="F28:F29"/>
    <mergeCell ref="G28:G29"/>
    <mergeCell ref="H28:H29"/>
    <mergeCell ref="I28:I29"/>
    <mergeCell ref="C30:K30"/>
    <mergeCell ref="I31:I32"/>
    <mergeCell ref="J31:J32"/>
    <mergeCell ref="K31:K32"/>
    <mergeCell ref="C33:K33"/>
    <mergeCell ref="C28:C29"/>
    <mergeCell ref="C31:C32"/>
    <mergeCell ref="D31:D32"/>
    <mergeCell ref="E31:E32"/>
    <mergeCell ref="F31:F32"/>
    <mergeCell ref="G31:G32"/>
    <mergeCell ref="H31:H32"/>
    <mergeCell ref="J34:J35"/>
    <mergeCell ref="K34:K35"/>
    <mergeCell ref="D34:D35"/>
    <mergeCell ref="E34:E35"/>
    <mergeCell ref="F34:F35"/>
    <mergeCell ref="G34:G35"/>
    <mergeCell ref="H34:H35"/>
    <mergeCell ref="I34:I35"/>
    <mergeCell ref="C36:K36"/>
    <mergeCell ref="C37:K37"/>
    <mergeCell ref="C38:I38"/>
    <mergeCell ref="C39:K39"/>
    <mergeCell ref="C40:I40"/>
    <mergeCell ref="C34:C35"/>
    <mergeCell ref="J52:J53"/>
    <mergeCell ref="K52:K53"/>
    <mergeCell ref="D52:D53"/>
    <mergeCell ref="E52:E53"/>
    <mergeCell ref="F52:F53"/>
    <mergeCell ref="G52:G53"/>
    <mergeCell ref="H52:H53"/>
    <mergeCell ref="I52:I53"/>
    <mergeCell ref="C54:K54"/>
    <mergeCell ref="J85:J86"/>
    <mergeCell ref="K85:K86"/>
    <mergeCell ref="N86:N87"/>
    <mergeCell ref="O86:O87"/>
    <mergeCell ref="D85:D86"/>
    <mergeCell ref="E85:E86"/>
    <mergeCell ref="F85:F86"/>
    <mergeCell ref="G85:G86"/>
    <mergeCell ref="H85:H86"/>
    <mergeCell ref="I85:I86"/>
    <mergeCell ref="C87:K87"/>
    <mergeCell ref="F79:F80"/>
    <mergeCell ref="G79:G80"/>
    <mergeCell ref="H79:H80"/>
    <mergeCell ref="I79:I80"/>
    <mergeCell ref="J79:J80"/>
    <mergeCell ref="K79:K80"/>
    <mergeCell ref="N80:N81"/>
    <mergeCell ref="O80:O81"/>
    <mergeCell ref="C74:K74"/>
    <mergeCell ref="C75:K76"/>
    <mergeCell ref="E77:F77"/>
    <mergeCell ref="H77:I77"/>
    <mergeCell ref="J77:K77"/>
    <mergeCell ref="C78:K78"/>
    <mergeCell ref="C81:K81"/>
    <mergeCell ref="I82:I83"/>
    <mergeCell ref="J82:J83"/>
    <mergeCell ref="K82:K83"/>
    <mergeCell ref="N83:N84"/>
    <mergeCell ref="O83:O84"/>
    <mergeCell ref="C84:K84"/>
    <mergeCell ref="C79:C80"/>
    <mergeCell ref="C82:C83"/>
    <mergeCell ref="D82:D83"/>
    <mergeCell ref="E82:E83"/>
    <mergeCell ref="F82:F83"/>
    <mergeCell ref="G82:G83"/>
    <mergeCell ref="H82:H83"/>
    <mergeCell ref="C85:C86"/>
    <mergeCell ref="C88:C89"/>
    <mergeCell ref="D88:D89"/>
    <mergeCell ref="E88:E89"/>
    <mergeCell ref="F88:F89"/>
    <mergeCell ref="G88:G89"/>
    <mergeCell ref="H88:H89"/>
    <mergeCell ref="J100:J101"/>
    <mergeCell ref="K100:K101"/>
    <mergeCell ref="D100:D101"/>
    <mergeCell ref="E100:E101"/>
    <mergeCell ref="F100:F101"/>
    <mergeCell ref="G100:G101"/>
    <mergeCell ref="H100:H101"/>
    <mergeCell ref="I100:I101"/>
    <mergeCell ref="C102:K102"/>
    <mergeCell ref="I88:I89"/>
    <mergeCell ref="J88:J89"/>
    <mergeCell ref="K88:K89"/>
    <mergeCell ref="N89:N90"/>
    <mergeCell ref="O89:O90"/>
    <mergeCell ref="C90:K90"/>
    <mergeCell ref="C91:I91"/>
    <mergeCell ref="H94:H95"/>
    <mergeCell ref="I94:I95"/>
    <mergeCell ref="J94:J95"/>
    <mergeCell ref="K94:K95"/>
    <mergeCell ref="C92:K92"/>
    <mergeCell ref="C93:K93"/>
    <mergeCell ref="D94:D95"/>
    <mergeCell ref="E94:E95"/>
    <mergeCell ref="F94:F95"/>
    <mergeCell ref="G94:G95"/>
    <mergeCell ref="C96:K96"/>
    <mergeCell ref="I97:I98"/>
    <mergeCell ref="J97:J98"/>
    <mergeCell ref="K97:K98"/>
    <mergeCell ref="C99:K99"/>
    <mergeCell ref="C94:C95"/>
    <mergeCell ref="C97:C98"/>
    <mergeCell ref="D97:D98"/>
    <mergeCell ref="E97:E98"/>
    <mergeCell ref="F97:F98"/>
    <mergeCell ref="G97:G98"/>
    <mergeCell ref="H97:H98"/>
    <mergeCell ref="C103:K103"/>
    <mergeCell ref="C104:I104"/>
    <mergeCell ref="C105:K105"/>
    <mergeCell ref="C106:I106"/>
    <mergeCell ref="C107:K107"/>
    <mergeCell ref="C100:C101"/>
    <mergeCell ref="B2:K2"/>
    <mergeCell ref="B3:K3"/>
    <mergeCell ref="C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6:D47"/>
    <mergeCell ref="E46:E47"/>
    <mergeCell ref="C52:C53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C57:K57"/>
    <mergeCell ref="C58:I58"/>
    <mergeCell ref="C59:K59"/>
    <mergeCell ref="C60:K60"/>
    <mergeCell ref="J61:J62"/>
    <mergeCell ref="K61:K62"/>
    <mergeCell ref="D61:D62"/>
    <mergeCell ref="E61:E62"/>
    <mergeCell ref="F61:F62"/>
    <mergeCell ref="G61:G62"/>
    <mergeCell ref="H61:H62"/>
    <mergeCell ref="I61:I62"/>
    <mergeCell ref="C63:K63"/>
    <mergeCell ref="I64:I65"/>
    <mergeCell ref="J64:J65"/>
    <mergeCell ref="K64:K65"/>
    <mergeCell ref="C66:K66"/>
    <mergeCell ref="C61:C62"/>
    <mergeCell ref="C64:C65"/>
    <mergeCell ref="D64:D65"/>
    <mergeCell ref="E64:E65"/>
    <mergeCell ref="F64:F65"/>
    <mergeCell ref="G64:G65"/>
    <mergeCell ref="H64:H65"/>
    <mergeCell ref="J67:J68"/>
    <mergeCell ref="K67:K68"/>
    <mergeCell ref="D67:D68"/>
    <mergeCell ref="E67:E68"/>
    <mergeCell ref="F67:F68"/>
    <mergeCell ref="G67:G68"/>
    <mergeCell ref="H67:H68"/>
    <mergeCell ref="I67:I68"/>
    <mergeCell ref="C69:K69"/>
    <mergeCell ref="C70:K70"/>
    <mergeCell ref="C71:I71"/>
    <mergeCell ref="C72:K72"/>
    <mergeCell ref="C73:I73"/>
    <mergeCell ref="C67:C68"/>
    <mergeCell ref="F46:F47"/>
    <mergeCell ref="G46:G47"/>
    <mergeCell ref="H46:H47"/>
    <mergeCell ref="I46:I47"/>
    <mergeCell ref="J46:J47"/>
    <mergeCell ref="K46:K47"/>
    <mergeCell ref="C41:K41"/>
    <mergeCell ref="C42:K43"/>
    <mergeCell ref="E44:F44"/>
    <mergeCell ref="H44:I44"/>
    <mergeCell ref="J44:K44"/>
    <mergeCell ref="C45:K45"/>
    <mergeCell ref="C48:K48"/>
    <mergeCell ref="I49:I50"/>
    <mergeCell ref="J49:J50"/>
    <mergeCell ref="K49:K50"/>
    <mergeCell ref="C51:K51"/>
    <mergeCell ref="C46:C47"/>
    <mergeCell ref="C49:C50"/>
    <mergeCell ref="D49:D50"/>
    <mergeCell ref="E49:E50"/>
    <mergeCell ref="F49:F50"/>
    <mergeCell ref="G49:G50"/>
    <mergeCell ref="H49:H50"/>
    <mergeCell ref="D79:D80"/>
    <mergeCell ref="E79:E80"/>
  </mergeCells>
  <printOptions/>
  <pageMargins bottom="0.75" footer="0.0" header="0.0" left="0.7" right="0.7" top="0.75"/>
  <pageSetup paperSize="9" scale="6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20.75"/>
    <col customWidth="1" min="10" max="11" width="5.75"/>
    <col customWidth="1" min="12" max="16" width="9.13"/>
    <col customWidth="1" min="17" max="24" width="8.0"/>
  </cols>
  <sheetData>
    <row r="1">
      <c r="A1" s="141"/>
      <c r="B1" s="141"/>
      <c r="C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141"/>
      <c r="C2" s="28" t="s">
        <v>156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>
      <c r="A3" s="141"/>
      <c r="B3" s="141"/>
      <c r="C3" s="30" t="s">
        <v>1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ht="12.7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9.5" customHeight="1">
      <c r="A5" s="141"/>
      <c r="B5" s="141"/>
      <c r="C5" s="142" t="s">
        <v>253</v>
      </c>
      <c r="D5" s="17"/>
      <c r="E5" s="17"/>
      <c r="F5" s="17"/>
      <c r="G5" s="17"/>
      <c r="H5" s="17"/>
      <c r="I5" s="17"/>
      <c r="J5" s="17"/>
      <c r="K5" s="22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4.5" customHeight="1">
      <c r="A6" s="141"/>
      <c r="B6" s="141"/>
      <c r="C6" s="143"/>
      <c r="D6" s="144"/>
      <c r="E6" s="144"/>
      <c r="F6" s="144"/>
      <c r="G6" s="144"/>
      <c r="H6" s="144"/>
      <c r="I6" s="144"/>
      <c r="J6" s="144"/>
      <c r="K6" s="145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6"/>
      <c r="D7" s="147"/>
      <c r="E7" s="147"/>
      <c r="F7" s="147"/>
      <c r="G7" s="147"/>
      <c r="H7" s="147"/>
      <c r="I7" s="147"/>
      <c r="J7" s="147"/>
      <c r="K7" s="148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12.75" customHeight="1">
      <c r="A8" s="141"/>
      <c r="B8" s="141"/>
      <c r="C8" s="149" t="s">
        <v>210</v>
      </c>
      <c r="D8" s="144"/>
      <c r="E8" s="144"/>
      <c r="F8" s="144"/>
      <c r="G8" s="144"/>
      <c r="H8" s="144"/>
      <c r="I8" s="144"/>
      <c r="J8" s="144"/>
      <c r="K8" s="145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6"/>
      <c r="D9" s="147"/>
      <c r="E9" s="147"/>
      <c r="F9" s="147"/>
      <c r="G9" s="147"/>
      <c r="H9" s="147"/>
      <c r="I9" s="147"/>
      <c r="J9" s="147"/>
      <c r="K9" s="148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9.5" customHeight="1">
      <c r="A10" s="141"/>
      <c r="B10" s="141"/>
      <c r="C10" s="150" t="s">
        <v>211</v>
      </c>
      <c r="D10" s="150" t="s">
        <v>212</v>
      </c>
      <c r="E10" s="151" t="s">
        <v>251</v>
      </c>
      <c r="F10" s="22"/>
      <c r="G10" s="150" t="s">
        <v>214</v>
      </c>
      <c r="H10" s="151" t="s">
        <v>237</v>
      </c>
      <c r="I10" s="22"/>
      <c r="J10" s="152" t="s">
        <v>216</v>
      </c>
      <c r="K10" s="22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2.75" customHeight="1">
      <c r="A11" s="141"/>
      <c r="B11" s="141"/>
      <c r="C11" s="186"/>
      <c r="D11" s="17"/>
      <c r="E11" s="17"/>
      <c r="F11" s="17"/>
      <c r="G11" s="17"/>
      <c r="H11" s="17"/>
      <c r="I11" s="17"/>
      <c r="J11" s="17"/>
      <c r="K11" s="22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3.5" customHeight="1">
      <c r="A12" s="141"/>
      <c r="B12" s="141"/>
      <c r="C12" s="153" t="s">
        <v>217</v>
      </c>
      <c r="D12" s="154" t="s">
        <v>225</v>
      </c>
      <c r="E12" s="155" t="s">
        <v>27</v>
      </c>
      <c r="F12" s="155" t="s">
        <v>41</v>
      </c>
      <c r="G12" s="156" t="s">
        <v>214</v>
      </c>
      <c r="H12" s="155" t="s">
        <v>35</v>
      </c>
      <c r="I12" s="155" t="s">
        <v>42</v>
      </c>
      <c r="J12" s="155">
        <v>10.0</v>
      </c>
      <c r="K12" s="155">
        <v>8.0</v>
      </c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12.75" customHeight="1">
      <c r="A13" s="141"/>
      <c r="B13" s="141"/>
      <c r="C13" s="125"/>
      <c r="D13" s="125"/>
      <c r="E13" s="125"/>
      <c r="F13" s="125"/>
      <c r="G13" s="125"/>
      <c r="H13" s="125"/>
      <c r="I13" s="125"/>
      <c r="J13" s="125"/>
      <c r="K13" s="125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4.5" customHeight="1">
      <c r="A14" s="141"/>
      <c r="B14" s="141"/>
      <c r="C14" s="161"/>
      <c r="D14" s="17"/>
      <c r="E14" s="17"/>
      <c r="F14" s="17"/>
      <c r="G14" s="17"/>
      <c r="H14" s="17"/>
      <c r="I14" s="17"/>
      <c r="J14" s="17"/>
      <c r="K14" s="22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12.75" customHeight="1">
      <c r="A15" s="141"/>
      <c r="B15" s="141"/>
      <c r="C15" s="153" t="s">
        <v>220</v>
      </c>
      <c r="D15" s="154" t="s">
        <v>221</v>
      </c>
      <c r="E15" s="155" t="s">
        <v>111</v>
      </c>
      <c r="F15" s="155" t="s">
        <v>117</v>
      </c>
      <c r="G15" s="156" t="s">
        <v>214</v>
      </c>
      <c r="H15" s="155" t="s">
        <v>112</v>
      </c>
      <c r="I15" s="155" t="s">
        <v>118</v>
      </c>
      <c r="J15" s="155">
        <v>10.0</v>
      </c>
      <c r="K15" s="155">
        <v>8.0</v>
      </c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12.75" customHeight="1">
      <c r="A16" s="141"/>
      <c r="B16" s="141"/>
      <c r="C16" s="125"/>
      <c r="D16" s="125"/>
      <c r="E16" s="125"/>
      <c r="F16" s="125"/>
      <c r="G16" s="125"/>
      <c r="H16" s="125"/>
      <c r="I16" s="125"/>
      <c r="J16" s="125"/>
      <c r="K16" s="125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4.5" customHeight="1">
      <c r="A17" s="141"/>
      <c r="B17" s="141"/>
      <c r="C17" s="161"/>
      <c r="D17" s="17"/>
      <c r="E17" s="17"/>
      <c r="F17" s="17"/>
      <c r="G17" s="17"/>
      <c r="H17" s="17"/>
      <c r="I17" s="17"/>
      <c r="J17" s="17"/>
      <c r="K17" s="22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12.75" customHeight="1">
      <c r="A18" s="141"/>
      <c r="B18" s="141"/>
      <c r="C18" s="153" t="s">
        <v>222</v>
      </c>
      <c r="D18" s="154" t="s">
        <v>218</v>
      </c>
      <c r="E18" s="155" t="s">
        <v>97</v>
      </c>
      <c r="F18" s="155" t="s">
        <v>254</v>
      </c>
      <c r="G18" s="156" t="s">
        <v>214</v>
      </c>
      <c r="H18" s="155" t="s">
        <v>91</v>
      </c>
      <c r="I18" s="155" t="s">
        <v>98</v>
      </c>
      <c r="J18" s="155">
        <v>6.0</v>
      </c>
      <c r="K18" s="155">
        <v>12.0</v>
      </c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12.75" customHeight="1">
      <c r="A19" s="141"/>
      <c r="B19" s="141"/>
      <c r="C19" s="125"/>
      <c r="D19" s="125"/>
      <c r="E19" s="125"/>
      <c r="F19" s="125"/>
      <c r="G19" s="125"/>
      <c r="H19" s="125"/>
      <c r="I19" s="125"/>
      <c r="J19" s="125"/>
      <c r="K19" s="125"/>
      <c r="L19" s="141"/>
      <c r="M19" s="141" t="s">
        <v>239</v>
      </c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4.5" customHeight="1">
      <c r="A20" s="141"/>
      <c r="B20" s="141"/>
      <c r="C20" s="161"/>
      <c r="D20" s="17"/>
      <c r="E20" s="17"/>
      <c r="F20" s="17"/>
      <c r="G20" s="17"/>
      <c r="H20" s="17"/>
      <c r="I20" s="17"/>
      <c r="J20" s="17"/>
      <c r="K20" s="22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4.5" customHeight="1">
      <c r="A21" s="141"/>
      <c r="B21" s="141"/>
      <c r="C21" s="161"/>
      <c r="D21" s="17"/>
      <c r="E21" s="17"/>
      <c r="F21" s="17"/>
      <c r="G21" s="17"/>
      <c r="H21" s="17"/>
      <c r="I21" s="17"/>
      <c r="J21" s="17"/>
      <c r="K21" s="22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12.75" customHeight="1">
      <c r="A22" s="141"/>
      <c r="B22" s="141"/>
      <c r="C22" s="162" t="s">
        <v>255</v>
      </c>
      <c r="D22" s="17"/>
      <c r="E22" s="17"/>
      <c r="F22" s="17"/>
      <c r="G22" s="17"/>
      <c r="H22" s="17"/>
      <c r="I22" s="22"/>
      <c r="J22" s="164">
        <f t="shared" ref="J22:K22" si="1">SUM(J12:J20)</f>
        <v>26</v>
      </c>
      <c r="K22" s="164">
        <f t="shared" si="1"/>
        <v>28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4.5" customHeight="1">
      <c r="A23" s="141"/>
      <c r="B23" s="141"/>
      <c r="C23" s="161"/>
      <c r="D23" s="17"/>
      <c r="E23" s="17"/>
      <c r="F23" s="17"/>
      <c r="G23" s="17"/>
      <c r="H23" s="17"/>
      <c r="I23" s="17"/>
      <c r="J23" s="17"/>
      <c r="K23" s="22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12.75" customHeight="1">
      <c r="A24" s="141"/>
      <c r="B24" s="141"/>
      <c r="C24" s="153" t="s">
        <v>217</v>
      </c>
      <c r="D24" s="193" t="s">
        <v>223</v>
      </c>
      <c r="E24" s="165" t="s">
        <v>256</v>
      </c>
      <c r="F24" s="165" t="s">
        <v>137</v>
      </c>
      <c r="G24" s="156" t="s">
        <v>214</v>
      </c>
      <c r="H24" s="165" t="s">
        <v>14</v>
      </c>
      <c r="I24" s="165" t="s">
        <v>138</v>
      </c>
      <c r="J24" s="155">
        <v>9.0</v>
      </c>
      <c r="K24" s="155">
        <v>10.0</v>
      </c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12.75" customHeight="1">
      <c r="A25" s="141"/>
      <c r="B25" s="141"/>
      <c r="C25" s="125"/>
      <c r="D25" s="125"/>
      <c r="E25" s="125"/>
      <c r="F25" s="125"/>
      <c r="G25" s="125"/>
      <c r="H25" s="125"/>
      <c r="I25" s="125"/>
      <c r="J25" s="125"/>
      <c r="K25" s="125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4.5" customHeight="1">
      <c r="A26" s="141"/>
      <c r="B26" s="141"/>
      <c r="C26" s="161"/>
      <c r="D26" s="17"/>
      <c r="E26" s="17"/>
      <c r="F26" s="17"/>
      <c r="G26" s="17"/>
      <c r="H26" s="17"/>
      <c r="I26" s="17"/>
      <c r="J26" s="17"/>
      <c r="K26" s="22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68"/>
      <c r="B27" s="141"/>
      <c r="C27" s="153" t="s">
        <v>220</v>
      </c>
      <c r="D27" s="154" t="s">
        <v>228</v>
      </c>
      <c r="E27" s="165" t="s">
        <v>76</v>
      </c>
      <c r="F27" s="165" t="s">
        <v>83</v>
      </c>
      <c r="G27" s="156" t="s">
        <v>214</v>
      </c>
      <c r="H27" s="165" t="s">
        <v>70</v>
      </c>
      <c r="I27" s="165" t="s">
        <v>84</v>
      </c>
      <c r="J27" s="155">
        <v>7.0</v>
      </c>
      <c r="K27" s="155">
        <v>11.0</v>
      </c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75" customHeight="1">
      <c r="A28" s="168"/>
      <c r="B28" s="141"/>
      <c r="C28" s="125"/>
      <c r="D28" s="125"/>
      <c r="E28" s="125"/>
      <c r="F28" s="125"/>
      <c r="G28" s="125"/>
      <c r="H28" s="125"/>
      <c r="I28" s="125"/>
      <c r="J28" s="125"/>
      <c r="K28" s="125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4.5" customHeight="1">
      <c r="A29" s="141"/>
      <c r="B29" s="141"/>
      <c r="C29" s="161"/>
      <c r="D29" s="17"/>
      <c r="E29" s="17"/>
      <c r="F29" s="17"/>
      <c r="G29" s="17"/>
      <c r="H29" s="17"/>
      <c r="I29" s="17"/>
      <c r="J29" s="17"/>
      <c r="K29" s="22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12.75" customHeight="1">
      <c r="A30" s="141"/>
      <c r="B30" s="141"/>
      <c r="C30" s="153" t="s">
        <v>222</v>
      </c>
      <c r="D30" s="154" t="s">
        <v>226</v>
      </c>
      <c r="E30" s="165" t="s">
        <v>48</v>
      </c>
      <c r="F30" s="165" t="s">
        <v>257</v>
      </c>
      <c r="G30" s="156" t="s">
        <v>214</v>
      </c>
      <c r="H30" s="165" t="s">
        <v>56</v>
      </c>
      <c r="I30" s="165" t="s">
        <v>63</v>
      </c>
      <c r="J30" s="155">
        <v>8.0</v>
      </c>
      <c r="K30" s="155">
        <v>10.0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12.75" customHeight="1">
      <c r="A31" s="141"/>
      <c r="B31" s="141"/>
      <c r="C31" s="125"/>
      <c r="D31" s="125"/>
      <c r="E31" s="125"/>
      <c r="F31" s="125"/>
      <c r="G31" s="125"/>
      <c r="H31" s="125"/>
      <c r="I31" s="125"/>
      <c r="J31" s="125"/>
      <c r="K31" s="125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4.5" customHeight="1">
      <c r="A32" s="141"/>
      <c r="B32" s="141"/>
      <c r="C32" s="161"/>
      <c r="D32" s="17"/>
      <c r="E32" s="17"/>
      <c r="F32" s="17"/>
      <c r="G32" s="17"/>
      <c r="H32" s="17"/>
      <c r="I32" s="17"/>
      <c r="J32" s="17"/>
      <c r="K32" s="22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53"/>
      <c r="D33" s="171" t="s">
        <v>227</v>
      </c>
      <c r="E33" s="155" t="s">
        <v>148</v>
      </c>
      <c r="F33" s="155" t="s">
        <v>184</v>
      </c>
      <c r="G33" s="156" t="s">
        <v>214</v>
      </c>
      <c r="H33" s="155" t="s">
        <v>149</v>
      </c>
      <c r="I33" s="155" t="s">
        <v>155</v>
      </c>
      <c r="J33" s="155">
        <v>8.0</v>
      </c>
      <c r="K33" s="155">
        <v>10.0</v>
      </c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125"/>
      <c r="D34" s="125"/>
      <c r="E34" s="125"/>
      <c r="F34" s="125"/>
      <c r="G34" s="125"/>
      <c r="H34" s="125"/>
      <c r="I34" s="125"/>
      <c r="J34" s="125"/>
      <c r="K34" s="125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4.5" customHeight="1">
      <c r="A35" s="141"/>
      <c r="B35" s="141"/>
      <c r="C35" s="161"/>
      <c r="D35" s="17"/>
      <c r="E35" s="17"/>
      <c r="F35" s="17"/>
      <c r="G35" s="17"/>
      <c r="H35" s="17"/>
      <c r="I35" s="17"/>
      <c r="J35" s="17"/>
      <c r="K35" s="22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12.75" customHeight="1">
      <c r="A36" s="141"/>
      <c r="B36" s="141"/>
      <c r="C36" s="162" t="s">
        <v>258</v>
      </c>
      <c r="D36" s="17"/>
      <c r="E36" s="17"/>
      <c r="F36" s="17"/>
      <c r="G36" s="17"/>
      <c r="H36" s="17"/>
      <c r="I36" s="22"/>
      <c r="J36" s="164">
        <f t="shared" ref="J36:K36" si="2">SUM(J24:J34)</f>
        <v>32</v>
      </c>
      <c r="K36" s="164">
        <f t="shared" si="2"/>
        <v>41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4.5" customHeight="1">
      <c r="A37" s="141"/>
      <c r="B37" s="141"/>
      <c r="C37" s="161"/>
      <c r="D37" s="17"/>
      <c r="E37" s="17"/>
      <c r="F37" s="17"/>
      <c r="G37" s="17"/>
      <c r="H37" s="17"/>
      <c r="I37" s="17"/>
      <c r="J37" s="17"/>
      <c r="K37" s="22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12.75" customHeight="1">
      <c r="A38" s="141"/>
      <c r="B38" s="141"/>
      <c r="C38" s="172" t="s">
        <v>259</v>
      </c>
      <c r="D38" s="17"/>
      <c r="E38" s="17"/>
      <c r="F38" s="17"/>
      <c r="G38" s="17"/>
      <c r="H38" s="17"/>
      <c r="I38" s="22"/>
      <c r="J38" s="188">
        <f t="shared" ref="J38:K38" si="3">J36+J22</f>
        <v>58</v>
      </c>
      <c r="K38" s="188">
        <f t="shared" si="3"/>
        <v>69</v>
      </c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6.75" customHeight="1">
      <c r="A39" s="141"/>
      <c r="B39" s="141"/>
      <c r="C39" s="161"/>
      <c r="D39" s="17"/>
      <c r="E39" s="17"/>
      <c r="F39" s="17"/>
      <c r="G39" s="17"/>
      <c r="H39" s="17"/>
      <c r="I39" s="17"/>
      <c r="J39" s="17"/>
      <c r="K39" s="22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7.5" customHeight="1">
      <c r="A40" s="141"/>
      <c r="B40" s="141"/>
      <c r="C40" s="149" t="s">
        <v>231</v>
      </c>
      <c r="D40" s="144"/>
      <c r="E40" s="144"/>
      <c r="F40" s="144"/>
      <c r="G40" s="144"/>
      <c r="H40" s="144"/>
      <c r="I40" s="144"/>
      <c r="J40" s="144"/>
      <c r="K40" s="145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12.75" customHeight="1">
      <c r="A41" s="141"/>
      <c r="B41" s="141"/>
      <c r="C41" s="146"/>
      <c r="D41" s="147"/>
      <c r="E41" s="147"/>
      <c r="F41" s="147"/>
      <c r="G41" s="147"/>
      <c r="H41" s="147"/>
      <c r="I41" s="147"/>
      <c r="J41" s="147"/>
      <c r="K41" s="148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26.25" customHeight="1">
      <c r="A42" s="141"/>
      <c r="B42" s="141"/>
      <c r="C42" s="150" t="s">
        <v>211</v>
      </c>
      <c r="D42" s="150" t="s">
        <v>212</v>
      </c>
      <c r="E42" s="151" t="s">
        <v>241</v>
      </c>
      <c r="F42" s="22"/>
      <c r="G42" s="150" t="s">
        <v>214</v>
      </c>
      <c r="H42" s="151" t="s">
        <v>215</v>
      </c>
      <c r="I42" s="22"/>
      <c r="J42" s="152" t="s">
        <v>216</v>
      </c>
      <c r="K42" s="22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86"/>
      <c r="D43" s="17"/>
      <c r="E43" s="17"/>
      <c r="F43" s="17"/>
      <c r="G43" s="17"/>
      <c r="H43" s="17"/>
      <c r="I43" s="17"/>
      <c r="J43" s="17"/>
      <c r="K43" s="22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12.75" customHeight="1">
      <c r="A44" s="141"/>
      <c r="B44" s="141"/>
      <c r="C44" s="153" t="s">
        <v>217</v>
      </c>
      <c r="D44" s="154" t="s">
        <v>228</v>
      </c>
      <c r="E44" s="165" t="s">
        <v>66</v>
      </c>
      <c r="F44" s="165" t="s">
        <v>80</v>
      </c>
      <c r="G44" s="156" t="s">
        <v>214</v>
      </c>
      <c r="H44" s="165" t="s">
        <v>67</v>
      </c>
      <c r="I44" s="165" t="s">
        <v>74</v>
      </c>
      <c r="J44" s="155">
        <v>7.0</v>
      </c>
      <c r="K44" s="155">
        <v>11.0</v>
      </c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25"/>
      <c r="D45" s="125"/>
      <c r="E45" s="125"/>
      <c r="F45" s="125"/>
      <c r="G45" s="125"/>
      <c r="H45" s="125"/>
      <c r="I45" s="125"/>
      <c r="J45" s="125"/>
      <c r="K45" s="125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4.5" customHeight="1">
      <c r="A46" s="141"/>
      <c r="B46" s="141"/>
      <c r="C46" s="161"/>
      <c r="D46" s="17"/>
      <c r="E46" s="17"/>
      <c r="F46" s="17"/>
      <c r="G46" s="17"/>
      <c r="H46" s="17"/>
      <c r="I46" s="17"/>
      <c r="J46" s="17"/>
      <c r="K46" s="22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53" t="s">
        <v>220</v>
      </c>
      <c r="D47" s="154" t="s">
        <v>227</v>
      </c>
      <c r="E47" s="165" t="s">
        <v>10</v>
      </c>
      <c r="F47" s="165" t="s">
        <v>151</v>
      </c>
      <c r="G47" s="156" t="s">
        <v>214</v>
      </c>
      <c r="H47" s="165" t="s">
        <v>260</v>
      </c>
      <c r="I47" s="165" t="s">
        <v>152</v>
      </c>
      <c r="J47" s="155">
        <v>14.0</v>
      </c>
      <c r="K47" s="155">
        <v>4.0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25"/>
      <c r="D48" s="125"/>
      <c r="E48" s="125"/>
      <c r="F48" s="125"/>
      <c r="G48" s="125"/>
      <c r="H48" s="125"/>
      <c r="I48" s="125"/>
      <c r="J48" s="125"/>
      <c r="K48" s="125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4.5" customHeight="1">
      <c r="A49" s="141"/>
      <c r="B49" s="141"/>
      <c r="C49" s="161"/>
      <c r="D49" s="17"/>
      <c r="E49" s="17"/>
      <c r="F49" s="17"/>
      <c r="G49" s="17"/>
      <c r="H49" s="17"/>
      <c r="I49" s="17"/>
      <c r="J49" s="17"/>
      <c r="K49" s="22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53" t="s">
        <v>222</v>
      </c>
      <c r="D50" s="154" t="s">
        <v>226</v>
      </c>
      <c r="E50" s="165" t="s">
        <v>52</v>
      </c>
      <c r="F50" s="165" t="s">
        <v>59</v>
      </c>
      <c r="G50" s="156" t="s">
        <v>214</v>
      </c>
      <c r="H50" s="165" t="s">
        <v>53</v>
      </c>
      <c r="I50" s="165" t="s">
        <v>60</v>
      </c>
      <c r="J50" s="155">
        <v>7.0</v>
      </c>
      <c r="K50" s="155">
        <v>11.0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25"/>
      <c r="D51" s="125"/>
      <c r="E51" s="125"/>
      <c r="F51" s="125"/>
      <c r="G51" s="125"/>
      <c r="H51" s="125"/>
      <c r="I51" s="125"/>
      <c r="J51" s="125"/>
      <c r="K51" s="125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4.5" customHeight="1">
      <c r="A52" s="141"/>
      <c r="B52" s="141"/>
      <c r="C52" s="161"/>
      <c r="D52" s="17"/>
      <c r="E52" s="17"/>
      <c r="F52" s="17"/>
      <c r="G52" s="17"/>
      <c r="H52" s="17"/>
      <c r="I52" s="17"/>
      <c r="J52" s="17"/>
      <c r="K52" s="22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4.5" customHeight="1">
      <c r="A53" s="141"/>
      <c r="B53" s="141"/>
      <c r="C53" s="161"/>
      <c r="D53" s="17"/>
      <c r="E53" s="17"/>
      <c r="F53" s="17"/>
      <c r="G53" s="17"/>
      <c r="H53" s="17"/>
      <c r="I53" s="17"/>
      <c r="J53" s="17"/>
      <c r="K53" s="22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62" t="s">
        <v>255</v>
      </c>
      <c r="D54" s="17"/>
      <c r="E54" s="17"/>
      <c r="F54" s="17"/>
      <c r="G54" s="17"/>
      <c r="H54" s="17"/>
      <c r="I54" s="22"/>
      <c r="J54" s="164">
        <f t="shared" ref="J54:K54" si="4">SUM(J44:J52)</f>
        <v>28</v>
      </c>
      <c r="K54" s="164">
        <f t="shared" si="4"/>
        <v>26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4.5" customHeight="1">
      <c r="A55" s="141"/>
      <c r="B55" s="141"/>
      <c r="C55" s="161"/>
      <c r="D55" s="17"/>
      <c r="E55" s="17"/>
      <c r="F55" s="17"/>
      <c r="G55" s="17"/>
      <c r="H55" s="17"/>
      <c r="I55" s="17"/>
      <c r="J55" s="17"/>
      <c r="K55" s="22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53" t="s">
        <v>217</v>
      </c>
      <c r="D56" s="154" t="s">
        <v>225</v>
      </c>
      <c r="E56" s="165" t="s">
        <v>24</v>
      </c>
      <c r="F56" s="165" t="s">
        <v>38</v>
      </c>
      <c r="G56" s="156" t="s">
        <v>214</v>
      </c>
      <c r="H56" s="165" t="s">
        <v>261</v>
      </c>
      <c r="I56" s="165" t="s">
        <v>39</v>
      </c>
      <c r="J56" s="155">
        <v>13.0</v>
      </c>
      <c r="K56" s="155">
        <v>5.0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12.75" customHeight="1">
      <c r="A57" s="141"/>
      <c r="B57" s="141"/>
      <c r="C57" s="125"/>
      <c r="D57" s="125"/>
      <c r="E57" s="125"/>
      <c r="F57" s="125"/>
      <c r="G57" s="125"/>
      <c r="H57" s="125"/>
      <c r="I57" s="125"/>
      <c r="J57" s="125"/>
      <c r="K57" s="125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4.5" customHeight="1">
      <c r="A58" s="141"/>
      <c r="B58" s="141"/>
      <c r="C58" s="161"/>
      <c r="D58" s="17"/>
      <c r="E58" s="17"/>
      <c r="F58" s="17"/>
      <c r="G58" s="17"/>
      <c r="H58" s="17"/>
      <c r="I58" s="17"/>
      <c r="J58" s="17"/>
      <c r="K58" s="22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53" t="s">
        <v>220</v>
      </c>
      <c r="D59" s="154" t="s">
        <v>223</v>
      </c>
      <c r="E59" s="165" t="s">
        <v>128</v>
      </c>
      <c r="F59" s="165" t="s">
        <v>134</v>
      </c>
      <c r="G59" s="156" t="s">
        <v>214</v>
      </c>
      <c r="H59" s="165" t="s">
        <v>129</v>
      </c>
      <c r="I59" s="165" t="s">
        <v>135</v>
      </c>
      <c r="J59" s="155">
        <v>8.0</v>
      </c>
      <c r="K59" s="155">
        <v>11.0</v>
      </c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25"/>
      <c r="D60" s="125"/>
      <c r="E60" s="125"/>
      <c r="F60" s="125"/>
      <c r="G60" s="125"/>
      <c r="H60" s="125"/>
      <c r="I60" s="125"/>
      <c r="J60" s="125"/>
      <c r="K60" s="125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4.5" customHeight="1">
      <c r="A61" s="141"/>
      <c r="B61" s="141"/>
      <c r="C61" s="161"/>
      <c r="D61" s="17"/>
      <c r="E61" s="17"/>
      <c r="F61" s="17"/>
      <c r="G61" s="17"/>
      <c r="H61" s="17"/>
      <c r="I61" s="17"/>
      <c r="J61" s="17"/>
      <c r="K61" s="22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53" t="s">
        <v>222</v>
      </c>
      <c r="D62" s="154" t="s">
        <v>221</v>
      </c>
      <c r="E62" s="165" t="s">
        <v>114</v>
      </c>
      <c r="F62" s="165" t="s">
        <v>119</v>
      </c>
      <c r="G62" s="156" t="s">
        <v>214</v>
      </c>
      <c r="H62" s="165" t="s">
        <v>115</v>
      </c>
      <c r="I62" s="165" t="s">
        <v>120</v>
      </c>
      <c r="J62" s="155">
        <v>13.0</v>
      </c>
      <c r="K62" s="155">
        <v>5.0</v>
      </c>
      <c r="L62" s="141"/>
      <c r="M62" s="141"/>
      <c r="N62" s="141" t="s">
        <v>239</v>
      </c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12.75" customHeight="1">
      <c r="A63" s="141"/>
      <c r="B63" s="141"/>
      <c r="C63" s="125"/>
      <c r="D63" s="125"/>
      <c r="E63" s="125"/>
      <c r="F63" s="125"/>
      <c r="G63" s="125"/>
      <c r="H63" s="125"/>
      <c r="I63" s="125"/>
      <c r="J63" s="125"/>
      <c r="K63" s="125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4.5" customHeight="1">
      <c r="A64" s="141"/>
      <c r="B64" s="141"/>
      <c r="C64" s="161"/>
      <c r="D64" s="17"/>
      <c r="E64" s="17"/>
      <c r="F64" s="17"/>
      <c r="G64" s="17"/>
      <c r="H64" s="17"/>
      <c r="I64" s="17"/>
      <c r="J64" s="17"/>
      <c r="K64" s="22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69" t="s">
        <v>246</v>
      </c>
      <c r="D65" s="171" t="s">
        <v>218</v>
      </c>
      <c r="E65" s="165" t="s">
        <v>87</v>
      </c>
      <c r="F65" s="165" t="s">
        <v>101</v>
      </c>
      <c r="G65" s="156" t="s">
        <v>214</v>
      </c>
      <c r="H65" s="165" t="s">
        <v>95</v>
      </c>
      <c r="I65" s="165" t="s">
        <v>102</v>
      </c>
      <c r="J65" s="155">
        <v>16.0</v>
      </c>
      <c r="K65" s="155">
        <v>2.0</v>
      </c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12.75" customHeight="1">
      <c r="A66" s="141"/>
      <c r="B66" s="141"/>
      <c r="C66" s="125"/>
      <c r="D66" s="125"/>
      <c r="E66" s="125"/>
      <c r="F66" s="125"/>
      <c r="G66" s="125"/>
      <c r="H66" s="125"/>
      <c r="I66" s="125"/>
      <c r="J66" s="125"/>
      <c r="K66" s="125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4.5" customHeight="1">
      <c r="A67" s="141"/>
      <c r="B67" s="141"/>
      <c r="C67" s="161"/>
      <c r="D67" s="17"/>
      <c r="E67" s="17"/>
      <c r="F67" s="17"/>
      <c r="G67" s="17"/>
      <c r="H67" s="17"/>
      <c r="I67" s="17"/>
      <c r="J67" s="17"/>
      <c r="K67" s="22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62" t="s">
        <v>258</v>
      </c>
      <c r="D68" s="17"/>
      <c r="E68" s="17"/>
      <c r="F68" s="17"/>
      <c r="G68" s="17"/>
      <c r="H68" s="17"/>
      <c r="I68" s="22"/>
      <c r="J68" s="164">
        <f t="shared" ref="J68:K68" si="5">SUM(J56:J66)</f>
        <v>50</v>
      </c>
      <c r="K68" s="164">
        <f t="shared" si="5"/>
        <v>23</v>
      </c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4.5" customHeight="1">
      <c r="A69" s="141"/>
      <c r="B69" s="141"/>
      <c r="C69" s="161"/>
      <c r="D69" s="17"/>
      <c r="E69" s="17"/>
      <c r="F69" s="17"/>
      <c r="G69" s="17"/>
      <c r="H69" s="17"/>
      <c r="I69" s="17"/>
      <c r="J69" s="17"/>
      <c r="K69" s="22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12.75" customHeight="1">
      <c r="A70" s="141"/>
      <c r="B70" s="141"/>
      <c r="C70" s="172" t="s">
        <v>259</v>
      </c>
      <c r="D70" s="17"/>
      <c r="E70" s="17"/>
      <c r="F70" s="17"/>
      <c r="G70" s="17"/>
      <c r="H70" s="17"/>
      <c r="I70" s="22"/>
      <c r="J70" s="188">
        <f t="shared" ref="J70:K70" si="6">J68+J54</f>
        <v>78</v>
      </c>
      <c r="K70" s="188">
        <f t="shared" si="6"/>
        <v>49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6.75" customHeight="1">
      <c r="A71" s="141"/>
      <c r="B71" s="141"/>
      <c r="C71" s="161"/>
      <c r="D71" s="17"/>
      <c r="E71" s="17"/>
      <c r="F71" s="17"/>
      <c r="G71" s="17"/>
      <c r="H71" s="17"/>
      <c r="I71" s="17"/>
      <c r="J71" s="17"/>
      <c r="K71" s="22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12.75" customHeight="1">
      <c r="A72" s="141"/>
      <c r="B72" s="141"/>
      <c r="C72" s="149" t="s">
        <v>235</v>
      </c>
      <c r="D72" s="144"/>
      <c r="E72" s="144"/>
      <c r="F72" s="144"/>
      <c r="G72" s="144"/>
      <c r="H72" s="144"/>
      <c r="I72" s="144"/>
      <c r="J72" s="144"/>
      <c r="K72" s="145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46"/>
      <c r="D73" s="147"/>
      <c r="E73" s="147"/>
      <c r="F73" s="147"/>
      <c r="G73" s="147"/>
      <c r="H73" s="147"/>
      <c r="I73" s="147"/>
      <c r="J73" s="147"/>
      <c r="K73" s="148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25.5" customHeight="1">
      <c r="A74" s="141"/>
      <c r="B74" s="141"/>
      <c r="C74" s="184" t="s">
        <v>211</v>
      </c>
      <c r="D74" s="150" t="s">
        <v>212</v>
      </c>
      <c r="E74" s="151" t="s">
        <v>213</v>
      </c>
      <c r="F74" s="22"/>
      <c r="G74" s="150" t="s">
        <v>214</v>
      </c>
      <c r="H74" s="151" t="s">
        <v>236</v>
      </c>
      <c r="I74" s="22"/>
      <c r="J74" s="152" t="s">
        <v>216</v>
      </c>
      <c r="K74" s="22"/>
      <c r="L74" s="141"/>
      <c r="M74" s="141"/>
      <c r="N74" s="141"/>
      <c r="O74" s="141"/>
      <c r="P74" s="141" t="s">
        <v>239</v>
      </c>
      <c r="Q74" s="141"/>
      <c r="R74" s="141"/>
      <c r="S74" s="141"/>
      <c r="T74" s="141"/>
      <c r="U74" s="141"/>
      <c r="V74" s="141"/>
      <c r="W74" s="141"/>
      <c r="X74" s="141"/>
    </row>
    <row r="75" ht="12.75" customHeight="1">
      <c r="A75" s="141"/>
      <c r="B75" s="141"/>
      <c r="C75" s="186"/>
      <c r="D75" s="17"/>
      <c r="E75" s="17"/>
      <c r="F75" s="17"/>
      <c r="G75" s="17"/>
      <c r="H75" s="17"/>
      <c r="I75" s="17"/>
      <c r="J75" s="17"/>
      <c r="K75" s="22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53" t="s">
        <v>217</v>
      </c>
      <c r="D76" s="154" t="s">
        <v>223</v>
      </c>
      <c r="E76" s="165" t="s">
        <v>133</v>
      </c>
      <c r="F76" s="165" t="s">
        <v>127</v>
      </c>
      <c r="G76" s="156" t="s">
        <v>214</v>
      </c>
      <c r="H76" s="165" t="s">
        <v>125</v>
      </c>
      <c r="I76" s="165" t="s">
        <v>136</v>
      </c>
      <c r="J76" s="155">
        <v>11.0</v>
      </c>
      <c r="K76" s="155">
        <v>8.0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25"/>
      <c r="D77" s="125"/>
      <c r="E77" s="125"/>
      <c r="F77" s="125"/>
      <c r="G77" s="125"/>
      <c r="H77" s="125"/>
      <c r="I77" s="125"/>
      <c r="J77" s="125"/>
      <c r="K77" s="125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4.5" customHeight="1">
      <c r="A78" s="141"/>
      <c r="B78" s="141"/>
      <c r="C78" s="161"/>
      <c r="D78" s="17"/>
      <c r="E78" s="17"/>
      <c r="F78" s="17"/>
      <c r="G78" s="17"/>
      <c r="H78" s="17"/>
      <c r="I78" s="17"/>
      <c r="J78" s="17"/>
      <c r="K78" s="22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53" t="s">
        <v>220</v>
      </c>
      <c r="D79" s="154" t="s">
        <v>221</v>
      </c>
      <c r="E79" s="165" t="s">
        <v>107</v>
      </c>
      <c r="F79" s="165" t="s">
        <v>113</v>
      </c>
      <c r="G79" s="156" t="s">
        <v>214</v>
      </c>
      <c r="H79" s="165" t="s">
        <v>110</v>
      </c>
      <c r="I79" s="165" t="s">
        <v>12</v>
      </c>
      <c r="J79" s="155">
        <v>10.0</v>
      </c>
      <c r="K79" s="155">
        <v>8.0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25"/>
      <c r="D80" s="125"/>
      <c r="E80" s="125"/>
      <c r="F80" s="125"/>
      <c r="G80" s="125"/>
      <c r="H80" s="125"/>
      <c r="I80" s="125"/>
      <c r="J80" s="125"/>
      <c r="K80" s="125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4.5" customHeight="1">
      <c r="A81" s="141"/>
      <c r="B81" s="141"/>
      <c r="C81" s="161"/>
      <c r="D81" s="17"/>
      <c r="E81" s="17"/>
      <c r="F81" s="17"/>
      <c r="G81" s="17"/>
      <c r="H81" s="17"/>
      <c r="I81" s="17"/>
      <c r="J81" s="17"/>
      <c r="K81" s="22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53" t="s">
        <v>222</v>
      </c>
      <c r="D82" s="154" t="s">
        <v>225</v>
      </c>
      <c r="E82" s="165" t="s">
        <v>30</v>
      </c>
      <c r="F82" s="165" t="s">
        <v>37</v>
      </c>
      <c r="G82" s="156" t="s">
        <v>214</v>
      </c>
      <c r="H82" s="165" t="s">
        <v>33</v>
      </c>
      <c r="I82" s="165" t="s">
        <v>40</v>
      </c>
      <c r="J82" s="155">
        <v>6.0</v>
      </c>
      <c r="K82" s="155">
        <v>12.0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25"/>
      <c r="D83" s="125"/>
      <c r="E83" s="125"/>
      <c r="F83" s="125"/>
      <c r="G83" s="125"/>
      <c r="H83" s="125"/>
      <c r="I83" s="125"/>
      <c r="J83" s="125"/>
      <c r="K83" s="125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4.5" customHeight="1">
      <c r="A84" s="141"/>
      <c r="B84" s="141"/>
      <c r="C84" s="161"/>
      <c r="D84" s="17"/>
      <c r="E84" s="17"/>
      <c r="F84" s="17"/>
      <c r="G84" s="17"/>
      <c r="H84" s="17"/>
      <c r="I84" s="17"/>
      <c r="J84" s="17"/>
      <c r="K84" s="22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4.5" customHeight="1">
      <c r="A85" s="141"/>
      <c r="B85" s="141"/>
      <c r="C85" s="161"/>
      <c r="D85" s="17"/>
      <c r="E85" s="17"/>
      <c r="F85" s="17"/>
      <c r="G85" s="17"/>
      <c r="H85" s="17"/>
      <c r="I85" s="17"/>
      <c r="J85" s="17"/>
      <c r="K85" s="22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62" t="s">
        <v>255</v>
      </c>
      <c r="D86" s="17"/>
      <c r="E86" s="17"/>
      <c r="F86" s="17"/>
      <c r="G86" s="17"/>
      <c r="H86" s="17"/>
      <c r="I86" s="22"/>
      <c r="J86" s="164">
        <f t="shared" ref="J86:K86" si="7">SUM(J76:J84)</f>
        <v>27</v>
      </c>
      <c r="K86" s="164">
        <f t="shared" si="7"/>
        <v>28</v>
      </c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4.5" customHeight="1">
      <c r="A87" s="141"/>
      <c r="B87" s="141"/>
      <c r="C87" s="161"/>
      <c r="D87" s="17"/>
      <c r="E87" s="17"/>
      <c r="F87" s="17"/>
      <c r="G87" s="17"/>
      <c r="H87" s="17"/>
      <c r="I87" s="17"/>
      <c r="J87" s="17"/>
      <c r="K87" s="22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53" t="s">
        <v>217</v>
      </c>
      <c r="D88" s="154" t="s">
        <v>228</v>
      </c>
      <c r="E88" s="165" t="s">
        <v>65</v>
      </c>
      <c r="F88" s="165" t="s">
        <v>79</v>
      </c>
      <c r="G88" s="156" t="s">
        <v>214</v>
      </c>
      <c r="H88" s="165" t="s">
        <v>68</v>
      </c>
      <c r="I88" s="165" t="s">
        <v>177</v>
      </c>
      <c r="J88" s="155">
        <v>14.0</v>
      </c>
      <c r="K88" s="155">
        <v>4.0</v>
      </c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12.75" customHeight="1">
      <c r="A89" s="141"/>
      <c r="B89" s="141"/>
      <c r="C89" s="125"/>
      <c r="D89" s="125"/>
      <c r="E89" s="125"/>
      <c r="F89" s="125"/>
      <c r="G89" s="125"/>
      <c r="H89" s="125"/>
      <c r="I89" s="125"/>
      <c r="J89" s="125"/>
      <c r="K89" s="125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4.5" customHeight="1">
      <c r="A90" s="141"/>
      <c r="B90" s="141"/>
      <c r="C90" s="161"/>
      <c r="D90" s="17"/>
      <c r="E90" s="17"/>
      <c r="F90" s="17"/>
      <c r="G90" s="17"/>
      <c r="H90" s="17"/>
      <c r="I90" s="17"/>
      <c r="J90" s="17"/>
      <c r="K90" s="22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53" t="s">
        <v>220</v>
      </c>
      <c r="D91" s="154" t="s">
        <v>226</v>
      </c>
      <c r="E91" s="165" t="s">
        <v>51</v>
      </c>
      <c r="F91" s="165" t="s">
        <v>58</v>
      </c>
      <c r="G91" s="156" t="s">
        <v>214</v>
      </c>
      <c r="H91" s="165" t="s">
        <v>54</v>
      </c>
      <c r="I91" s="165" t="s">
        <v>61</v>
      </c>
      <c r="J91" s="155">
        <v>6.0</v>
      </c>
      <c r="K91" s="155">
        <v>12.0</v>
      </c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12.75" customHeight="1">
      <c r="A92" s="141"/>
      <c r="B92" s="141"/>
      <c r="C92" s="125"/>
      <c r="D92" s="125"/>
      <c r="E92" s="125"/>
      <c r="F92" s="125"/>
      <c r="G92" s="125"/>
      <c r="H92" s="125"/>
      <c r="I92" s="125"/>
      <c r="J92" s="125"/>
      <c r="K92" s="125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4.5" customHeight="1">
      <c r="A93" s="141"/>
      <c r="B93" s="141"/>
      <c r="C93" s="161"/>
      <c r="D93" s="17"/>
      <c r="E93" s="17"/>
      <c r="F93" s="17"/>
      <c r="G93" s="17"/>
      <c r="H93" s="17"/>
      <c r="I93" s="17"/>
      <c r="J93" s="17"/>
      <c r="K93" s="22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53" t="s">
        <v>222</v>
      </c>
      <c r="D94" s="154" t="s">
        <v>218</v>
      </c>
      <c r="E94" s="165" t="s">
        <v>86</v>
      </c>
      <c r="F94" s="165" t="s">
        <v>100</v>
      </c>
      <c r="G94" s="156" t="s">
        <v>214</v>
      </c>
      <c r="H94" s="165" t="s">
        <v>89</v>
      </c>
      <c r="I94" s="165" t="s">
        <v>96</v>
      </c>
      <c r="J94" s="155">
        <v>11.0</v>
      </c>
      <c r="K94" s="155">
        <v>7.0</v>
      </c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12.75" customHeight="1">
      <c r="A95" s="141"/>
      <c r="B95" s="141"/>
      <c r="C95" s="125"/>
      <c r="D95" s="125"/>
      <c r="E95" s="125"/>
      <c r="F95" s="125"/>
      <c r="G95" s="125"/>
      <c r="H95" s="125"/>
      <c r="I95" s="125"/>
      <c r="J95" s="125"/>
      <c r="K95" s="125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4.5" customHeight="1">
      <c r="A96" s="141"/>
      <c r="B96" s="141"/>
      <c r="C96" s="161"/>
      <c r="D96" s="17"/>
      <c r="E96" s="17"/>
      <c r="F96" s="17"/>
      <c r="G96" s="17"/>
      <c r="H96" s="17"/>
      <c r="I96" s="17"/>
      <c r="J96" s="17"/>
      <c r="K96" s="22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69" t="s">
        <v>262</v>
      </c>
      <c r="D97" s="171" t="s">
        <v>227</v>
      </c>
      <c r="E97" s="165" t="s">
        <v>139</v>
      </c>
      <c r="F97" s="165" t="s">
        <v>144</v>
      </c>
      <c r="G97" s="156" t="s">
        <v>214</v>
      </c>
      <c r="H97" s="165" t="s">
        <v>141</v>
      </c>
      <c r="I97" s="165" t="s">
        <v>153</v>
      </c>
      <c r="J97" s="155">
        <v>11.0</v>
      </c>
      <c r="K97" s="155">
        <v>7.0</v>
      </c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12.75" customHeight="1">
      <c r="A98" s="141"/>
      <c r="B98" s="141"/>
      <c r="C98" s="125"/>
      <c r="D98" s="125"/>
      <c r="E98" s="125"/>
      <c r="F98" s="125"/>
      <c r="G98" s="125"/>
      <c r="H98" s="125"/>
      <c r="I98" s="125"/>
      <c r="J98" s="125"/>
      <c r="K98" s="125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4.5" customHeight="1">
      <c r="A99" s="141"/>
      <c r="B99" s="141"/>
      <c r="C99" s="161"/>
      <c r="D99" s="17"/>
      <c r="E99" s="17"/>
      <c r="F99" s="17"/>
      <c r="G99" s="17"/>
      <c r="H99" s="17"/>
      <c r="I99" s="17"/>
      <c r="J99" s="17"/>
      <c r="K99" s="22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12.75" customHeight="1">
      <c r="A100" s="141"/>
      <c r="B100" s="141"/>
      <c r="C100" s="162" t="s">
        <v>258</v>
      </c>
      <c r="D100" s="17"/>
      <c r="E100" s="17"/>
      <c r="F100" s="17"/>
      <c r="G100" s="17"/>
      <c r="H100" s="17"/>
      <c r="I100" s="22"/>
      <c r="J100" s="164">
        <f t="shared" ref="J100:K100" si="8">SUM(J88:J98)</f>
        <v>42</v>
      </c>
      <c r="K100" s="164">
        <f t="shared" si="8"/>
        <v>30</v>
      </c>
      <c r="L100" s="141"/>
      <c r="M100" s="141"/>
      <c r="N100" s="141"/>
      <c r="O100" s="141" t="s">
        <v>239</v>
      </c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4.5" customHeight="1">
      <c r="A101" s="141"/>
      <c r="B101" s="141"/>
      <c r="C101" s="161"/>
      <c r="D101" s="17"/>
      <c r="E101" s="17"/>
      <c r="F101" s="17"/>
      <c r="G101" s="17"/>
      <c r="H101" s="17"/>
      <c r="I101" s="17"/>
      <c r="J101" s="17"/>
      <c r="K101" s="22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12.75" customHeight="1">
      <c r="A102" s="141"/>
      <c r="B102" s="141"/>
      <c r="C102" s="172" t="s">
        <v>259</v>
      </c>
      <c r="D102" s="17"/>
      <c r="E102" s="17"/>
      <c r="F102" s="17"/>
      <c r="G102" s="17"/>
      <c r="H102" s="17"/>
      <c r="I102" s="22"/>
      <c r="J102" s="188">
        <f t="shared" ref="J102:K102" si="9">J100+J86</f>
        <v>69</v>
      </c>
      <c r="K102" s="188">
        <f t="shared" si="9"/>
        <v>58</v>
      </c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6.75" customHeight="1">
      <c r="A103" s="141"/>
      <c r="B103" s="141"/>
      <c r="C103" s="161"/>
      <c r="D103" s="17"/>
      <c r="E103" s="17"/>
      <c r="F103" s="17"/>
      <c r="G103" s="17"/>
      <c r="H103" s="17"/>
      <c r="I103" s="17"/>
      <c r="J103" s="17"/>
      <c r="K103" s="22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 t="s">
        <v>239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2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 ht="12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 ht="12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 ht="12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 ht="12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 ht="12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</row>
    <row r="276" ht="12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</row>
    <row r="277" ht="12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</row>
    <row r="278" ht="12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</row>
    <row r="279" ht="12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</row>
    <row r="280" ht="12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</row>
    <row r="281" ht="12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</row>
    <row r="282" ht="12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</row>
    <row r="283" ht="12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</row>
    <row r="284" ht="12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</row>
    <row r="285" ht="12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</row>
    <row r="286" ht="12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</row>
    <row r="287" ht="12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</row>
    <row r="288" ht="12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</row>
    <row r="289" ht="12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</row>
    <row r="290" ht="12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</row>
    <row r="291" ht="12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</row>
    <row r="292" ht="12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</row>
    <row r="293" ht="12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</row>
    <row r="294" ht="12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</row>
    <row r="295" ht="12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</row>
    <row r="296" ht="12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</row>
    <row r="297" ht="12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</row>
    <row r="298" ht="12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</row>
    <row r="299" ht="12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</row>
    <row r="300" ht="12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</row>
    <row r="301" ht="12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</row>
    <row r="302" ht="12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</row>
    <row r="303" ht="12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</row>
    <row r="304" ht="12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</row>
    <row r="305" ht="12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</row>
    <row r="306" ht="12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</row>
    <row r="307" ht="12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</row>
    <row r="308" ht="12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</row>
    <row r="309" ht="12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</row>
    <row r="310" ht="12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</row>
    <row r="311" ht="12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</row>
    <row r="312" ht="12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</row>
    <row r="313" ht="12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</row>
    <row r="314" ht="12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</row>
    <row r="315" ht="12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</row>
    <row r="316" ht="12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</row>
    <row r="317" ht="12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</row>
    <row r="318" ht="12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</row>
    <row r="319" ht="12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</row>
    <row r="320" ht="12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</row>
    <row r="321" ht="12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</row>
    <row r="322" ht="12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</row>
    <row r="323" ht="12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</row>
    <row r="324" ht="12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</row>
    <row r="325" ht="12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</row>
    <row r="326" ht="12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</row>
    <row r="327" ht="12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</row>
    <row r="328" ht="12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</row>
    <row r="329" ht="12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</row>
    <row r="330" ht="12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</row>
    <row r="331" ht="12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</row>
    <row r="332" ht="12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</row>
    <row r="333" ht="12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</row>
    <row r="334" ht="12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</row>
    <row r="335" ht="12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</row>
    <row r="336" ht="12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</row>
    <row r="337" ht="12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</row>
    <row r="338" ht="12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50">
    <mergeCell ref="J18:J19"/>
    <mergeCell ref="K18:K19"/>
    <mergeCell ref="D18:D19"/>
    <mergeCell ref="E18:E19"/>
    <mergeCell ref="F18:F19"/>
    <mergeCell ref="G18:G19"/>
    <mergeCell ref="H18:H19"/>
    <mergeCell ref="I18:I19"/>
    <mergeCell ref="C20:K20"/>
    <mergeCell ref="C21:K21"/>
    <mergeCell ref="C22:I22"/>
    <mergeCell ref="C23:K23"/>
    <mergeCell ref="C18:C19"/>
    <mergeCell ref="J24:J25"/>
    <mergeCell ref="K24:K25"/>
    <mergeCell ref="D24:D25"/>
    <mergeCell ref="E24:E25"/>
    <mergeCell ref="F24:F25"/>
    <mergeCell ref="G24:G25"/>
    <mergeCell ref="H24:H25"/>
    <mergeCell ref="I24:I25"/>
    <mergeCell ref="C26:K26"/>
    <mergeCell ref="I27:I28"/>
    <mergeCell ref="J27:J28"/>
    <mergeCell ref="K27:K28"/>
    <mergeCell ref="C29:K29"/>
    <mergeCell ref="C24:C25"/>
    <mergeCell ref="C27:C28"/>
    <mergeCell ref="D27:D28"/>
    <mergeCell ref="E27:E28"/>
    <mergeCell ref="F27:F28"/>
    <mergeCell ref="G27:G28"/>
    <mergeCell ref="H27:H28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J50:J51"/>
    <mergeCell ref="K50:K51"/>
    <mergeCell ref="D50:D51"/>
    <mergeCell ref="E50:E51"/>
    <mergeCell ref="F50:F51"/>
    <mergeCell ref="G50:G51"/>
    <mergeCell ref="H50:H51"/>
    <mergeCell ref="I50:I51"/>
    <mergeCell ref="C52:K52"/>
    <mergeCell ref="C62:C63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C67:K67"/>
    <mergeCell ref="C68:I68"/>
    <mergeCell ref="C69:K69"/>
    <mergeCell ref="C70:I70"/>
    <mergeCell ref="H82:H83"/>
    <mergeCell ref="I82:I83"/>
    <mergeCell ref="J82:J83"/>
    <mergeCell ref="K82:K83"/>
    <mergeCell ref="G79:G80"/>
    <mergeCell ref="H79:H80"/>
    <mergeCell ref="K79:K80"/>
    <mergeCell ref="C81:K81"/>
    <mergeCell ref="C82:C83"/>
    <mergeCell ref="D82:D83"/>
    <mergeCell ref="E82:E83"/>
    <mergeCell ref="F88:F89"/>
    <mergeCell ref="G88:G89"/>
    <mergeCell ref="H88:H89"/>
    <mergeCell ref="I88:I89"/>
    <mergeCell ref="J88:J89"/>
    <mergeCell ref="K88:K89"/>
    <mergeCell ref="C85:K85"/>
    <mergeCell ref="C86:I86"/>
    <mergeCell ref="C87:K87"/>
    <mergeCell ref="C88:C89"/>
    <mergeCell ref="I91:I92"/>
    <mergeCell ref="J91:J92"/>
    <mergeCell ref="D88:D89"/>
    <mergeCell ref="E88:E89"/>
    <mergeCell ref="C90:K90"/>
    <mergeCell ref="C91:C92"/>
    <mergeCell ref="D91:D92"/>
    <mergeCell ref="E91:E92"/>
    <mergeCell ref="F91:F92"/>
    <mergeCell ref="K91:K92"/>
    <mergeCell ref="I94:I95"/>
    <mergeCell ref="J94:J95"/>
    <mergeCell ref="G91:G92"/>
    <mergeCell ref="H91:H92"/>
    <mergeCell ref="C93:K93"/>
    <mergeCell ref="C94:C95"/>
    <mergeCell ref="D94:D95"/>
    <mergeCell ref="E94:E95"/>
    <mergeCell ref="F94:F95"/>
    <mergeCell ref="K94:K95"/>
    <mergeCell ref="I97:I98"/>
    <mergeCell ref="J97:J98"/>
    <mergeCell ref="G94:G95"/>
    <mergeCell ref="H94:H95"/>
    <mergeCell ref="C96:K96"/>
    <mergeCell ref="C97:C98"/>
    <mergeCell ref="D97:D98"/>
    <mergeCell ref="E97:E98"/>
    <mergeCell ref="F97:F98"/>
    <mergeCell ref="K97:K98"/>
    <mergeCell ref="F44:F45"/>
    <mergeCell ref="G44:G45"/>
    <mergeCell ref="H44:H45"/>
    <mergeCell ref="I44:I45"/>
    <mergeCell ref="J44:J45"/>
    <mergeCell ref="K44:K45"/>
    <mergeCell ref="C39:K39"/>
    <mergeCell ref="C40:K41"/>
    <mergeCell ref="E42:F42"/>
    <mergeCell ref="H42:I42"/>
    <mergeCell ref="J42:K42"/>
    <mergeCell ref="C43:K43"/>
    <mergeCell ref="C46:K46"/>
    <mergeCell ref="I47:I48"/>
    <mergeCell ref="J47:J48"/>
    <mergeCell ref="K47:K48"/>
    <mergeCell ref="C49:K49"/>
    <mergeCell ref="C44:C45"/>
    <mergeCell ref="C47:C48"/>
    <mergeCell ref="D47:D48"/>
    <mergeCell ref="E47:E48"/>
    <mergeCell ref="F47:F48"/>
    <mergeCell ref="G47:G48"/>
    <mergeCell ref="H47:H48"/>
    <mergeCell ref="G97:G98"/>
    <mergeCell ref="H97:H98"/>
    <mergeCell ref="C99:K99"/>
    <mergeCell ref="C100:I100"/>
    <mergeCell ref="C101:K101"/>
    <mergeCell ref="C102:I102"/>
    <mergeCell ref="C103:K103"/>
    <mergeCell ref="F82:F83"/>
    <mergeCell ref="G82:G83"/>
    <mergeCell ref="C84:K84"/>
    <mergeCell ref="C2:L2"/>
    <mergeCell ref="C3:L3"/>
    <mergeCell ref="C5:K5"/>
    <mergeCell ref="C6:K7"/>
    <mergeCell ref="C8:K9"/>
    <mergeCell ref="E10:F10"/>
    <mergeCell ref="H10:I10"/>
    <mergeCell ref="H12:H13"/>
    <mergeCell ref="I12:I13"/>
    <mergeCell ref="J12:J13"/>
    <mergeCell ref="K12:K13"/>
    <mergeCell ref="J10:K10"/>
    <mergeCell ref="C11:K11"/>
    <mergeCell ref="D12:D13"/>
    <mergeCell ref="E12:E13"/>
    <mergeCell ref="F12:F13"/>
    <mergeCell ref="G12:G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D44:D45"/>
    <mergeCell ref="E44:E45"/>
    <mergeCell ref="C53:K53"/>
    <mergeCell ref="C54:I54"/>
    <mergeCell ref="C55:K55"/>
    <mergeCell ref="C50:C51"/>
    <mergeCell ref="J56:J57"/>
    <mergeCell ref="K56:K57"/>
    <mergeCell ref="D56:D57"/>
    <mergeCell ref="E56:E57"/>
    <mergeCell ref="F56:F57"/>
    <mergeCell ref="G56:G57"/>
    <mergeCell ref="H56:H57"/>
    <mergeCell ref="I56:I57"/>
    <mergeCell ref="C58:K58"/>
    <mergeCell ref="I59:I60"/>
    <mergeCell ref="J59:J60"/>
    <mergeCell ref="K59:K60"/>
    <mergeCell ref="C61:K61"/>
    <mergeCell ref="C56:C57"/>
    <mergeCell ref="C59:C60"/>
    <mergeCell ref="D59:D60"/>
    <mergeCell ref="E59:E60"/>
    <mergeCell ref="F59:F60"/>
    <mergeCell ref="G59:G60"/>
    <mergeCell ref="H59:H60"/>
    <mergeCell ref="J62:J63"/>
    <mergeCell ref="K62:K63"/>
    <mergeCell ref="D62:D63"/>
    <mergeCell ref="E62:E63"/>
    <mergeCell ref="F62:F63"/>
    <mergeCell ref="G62:G63"/>
    <mergeCell ref="H62:H63"/>
    <mergeCell ref="I62:I63"/>
    <mergeCell ref="C64:K64"/>
    <mergeCell ref="F76:F77"/>
    <mergeCell ref="G76:G77"/>
    <mergeCell ref="H76:H77"/>
    <mergeCell ref="I76:I77"/>
    <mergeCell ref="J76:J77"/>
    <mergeCell ref="K76:K77"/>
    <mergeCell ref="C71:K71"/>
    <mergeCell ref="C72:K73"/>
    <mergeCell ref="E74:F74"/>
    <mergeCell ref="H74:I74"/>
    <mergeCell ref="J74:K74"/>
    <mergeCell ref="C75:K75"/>
    <mergeCell ref="C76:C77"/>
    <mergeCell ref="I79:I80"/>
    <mergeCell ref="J79:J80"/>
    <mergeCell ref="D76:D77"/>
    <mergeCell ref="E76:E77"/>
    <mergeCell ref="C78:K78"/>
    <mergeCell ref="C79:C80"/>
    <mergeCell ref="D79:D80"/>
    <mergeCell ref="E79:E80"/>
    <mergeCell ref="F79:F80"/>
  </mergeCells>
  <printOptions/>
  <pageMargins bottom="0.75" footer="0.0" header="0.0" left="0.7" right="0.7" top="0.75"/>
  <pageSetup paperSize="9" scale="68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41"/>
      <c r="B1" s="141"/>
      <c r="C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141"/>
      <c r="C2" s="28" t="s">
        <v>156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>
      <c r="A3" s="141"/>
      <c r="B3" s="141"/>
      <c r="C3" s="30" t="s">
        <v>1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ht="12.75" customHeight="1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2.75" customHeight="1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19.5" customHeight="1">
      <c r="A6" s="141"/>
      <c r="B6" s="194" t="s">
        <v>263</v>
      </c>
      <c r="C6" s="17"/>
      <c r="D6" s="17"/>
      <c r="E6" s="17"/>
      <c r="F6" s="17"/>
      <c r="G6" s="17"/>
      <c r="H6" s="17"/>
      <c r="I6" s="17"/>
      <c r="J6" s="17"/>
      <c r="K6" s="22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3"/>
      <c r="D7" s="144"/>
      <c r="E7" s="144"/>
      <c r="F7" s="144"/>
      <c r="G7" s="144"/>
      <c r="H7" s="144"/>
      <c r="I7" s="144"/>
      <c r="J7" s="144"/>
      <c r="K7" s="145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4.5" customHeight="1">
      <c r="A8" s="141"/>
      <c r="B8" s="141"/>
      <c r="C8" s="146"/>
      <c r="D8" s="147"/>
      <c r="E8" s="147"/>
      <c r="F8" s="147"/>
      <c r="G8" s="147"/>
      <c r="H8" s="147"/>
      <c r="I8" s="147"/>
      <c r="J8" s="147"/>
      <c r="K8" s="148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9" t="s">
        <v>210</v>
      </c>
      <c r="D9" s="144"/>
      <c r="E9" s="144"/>
      <c r="F9" s="144"/>
      <c r="G9" s="144"/>
      <c r="H9" s="144"/>
      <c r="I9" s="144"/>
      <c r="J9" s="144"/>
      <c r="K9" s="145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2.75" customHeight="1">
      <c r="A10" s="141"/>
      <c r="B10" s="141"/>
      <c r="C10" s="146"/>
      <c r="D10" s="147"/>
      <c r="E10" s="147"/>
      <c r="F10" s="147"/>
      <c r="G10" s="147"/>
      <c r="H10" s="147"/>
      <c r="I10" s="147"/>
      <c r="J10" s="147"/>
      <c r="K10" s="148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9.5" customHeight="1">
      <c r="A11" s="141"/>
      <c r="B11" s="141"/>
      <c r="C11" s="150" t="s">
        <v>211</v>
      </c>
      <c r="D11" s="150" t="s">
        <v>212</v>
      </c>
      <c r="E11" s="151" t="s">
        <v>215</v>
      </c>
      <c r="F11" s="22"/>
      <c r="G11" s="150" t="s">
        <v>214</v>
      </c>
      <c r="H11" s="151" t="s">
        <v>236</v>
      </c>
      <c r="I11" s="22"/>
      <c r="J11" s="152" t="s">
        <v>216</v>
      </c>
      <c r="K11" s="22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186" t="s">
        <v>210</v>
      </c>
      <c r="D12" s="17"/>
      <c r="E12" s="17"/>
      <c r="F12" s="17"/>
      <c r="G12" s="17"/>
      <c r="H12" s="17"/>
      <c r="I12" s="17"/>
      <c r="J12" s="17"/>
      <c r="K12" s="22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13.5" customHeight="1">
      <c r="A13" s="141"/>
      <c r="B13" s="141"/>
      <c r="C13" s="153" t="s">
        <v>217</v>
      </c>
      <c r="D13" s="154" t="s">
        <v>228</v>
      </c>
      <c r="E13" s="155" t="s">
        <v>81</v>
      </c>
      <c r="F13" s="155" t="s">
        <v>74</v>
      </c>
      <c r="G13" s="156" t="s">
        <v>214</v>
      </c>
      <c r="H13" s="155" t="s">
        <v>177</v>
      </c>
      <c r="I13" s="155" t="s">
        <v>82</v>
      </c>
      <c r="J13" s="155">
        <v>11.0</v>
      </c>
      <c r="K13" s="155">
        <v>7.0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75" customHeight="1">
      <c r="A14" s="141"/>
      <c r="B14" s="141"/>
      <c r="C14" s="125"/>
      <c r="D14" s="125"/>
      <c r="E14" s="125"/>
      <c r="F14" s="125"/>
      <c r="G14" s="125"/>
      <c r="H14" s="125"/>
      <c r="I14" s="125"/>
      <c r="J14" s="125"/>
      <c r="K14" s="125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4.5" customHeight="1">
      <c r="A15" s="141"/>
      <c r="B15" s="141"/>
      <c r="C15" s="161"/>
      <c r="D15" s="17"/>
      <c r="E15" s="17"/>
      <c r="F15" s="17"/>
      <c r="G15" s="17"/>
      <c r="H15" s="17"/>
      <c r="I15" s="17"/>
      <c r="J15" s="17"/>
      <c r="K15" s="22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12.75" customHeight="1">
      <c r="A16" s="141"/>
      <c r="B16" s="141"/>
      <c r="C16" s="153" t="s">
        <v>220</v>
      </c>
      <c r="D16" s="154" t="s">
        <v>226</v>
      </c>
      <c r="E16" s="155" t="s">
        <v>46</v>
      </c>
      <c r="F16" s="155" t="s">
        <v>60</v>
      </c>
      <c r="G16" s="156" t="s">
        <v>214</v>
      </c>
      <c r="H16" s="155" t="s">
        <v>47</v>
      </c>
      <c r="I16" s="155" t="s">
        <v>54</v>
      </c>
      <c r="J16" s="155">
        <v>10.0</v>
      </c>
      <c r="K16" s="155">
        <v>8.0</v>
      </c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75" customHeight="1">
      <c r="A17" s="141"/>
      <c r="B17" s="141"/>
      <c r="C17" s="125"/>
      <c r="D17" s="125"/>
      <c r="E17" s="125"/>
      <c r="F17" s="125"/>
      <c r="G17" s="125"/>
      <c r="H17" s="125"/>
      <c r="I17" s="125"/>
      <c r="J17" s="125"/>
      <c r="K17" s="125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4.5" customHeight="1">
      <c r="A18" s="141"/>
      <c r="B18" s="141"/>
      <c r="C18" s="161"/>
      <c r="D18" s="17"/>
      <c r="E18" s="17"/>
      <c r="F18" s="17"/>
      <c r="G18" s="17"/>
      <c r="H18" s="17"/>
      <c r="I18" s="17"/>
      <c r="J18" s="17"/>
      <c r="K18" s="22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12.75" customHeight="1">
      <c r="A19" s="141"/>
      <c r="B19" s="141"/>
      <c r="C19" s="169" t="s">
        <v>220</v>
      </c>
      <c r="D19" s="154" t="s">
        <v>218</v>
      </c>
      <c r="E19" s="155" t="s">
        <v>88</v>
      </c>
      <c r="F19" s="155" t="s">
        <v>95</v>
      </c>
      <c r="G19" s="156" t="s">
        <v>214</v>
      </c>
      <c r="H19" s="155" t="s">
        <v>96</v>
      </c>
      <c r="I19" s="155" t="s">
        <v>103</v>
      </c>
      <c r="J19" s="155">
        <v>11.0</v>
      </c>
      <c r="K19" s="155">
        <v>7.0</v>
      </c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12.75" customHeight="1">
      <c r="A20" s="141"/>
      <c r="B20" s="141"/>
      <c r="C20" s="125"/>
      <c r="D20" s="125"/>
      <c r="E20" s="125"/>
      <c r="F20" s="125"/>
      <c r="G20" s="125"/>
      <c r="H20" s="125"/>
      <c r="I20" s="125"/>
      <c r="J20" s="125"/>
      <c r="K20" s="125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4.5" customHeight="1">
      <c r="A21" s="141"/>
      <c r="B21" s="141"/>
      <c r="C21" s="161"/>
      <c r="D21" s="17"/>
      <c r="E21" s="17"/>
      <c r="F21" s="17"/>
      <c r="G21" s="17"/>
      <c r="H21" s="17"/>
      <c r="I21" s="17"/>
      <c r="J21" s="17"/>
      <c r="K21" s="22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12.75" customHeight="1">
      <c r="A22" s="141"/>
      <c r="B22" s="141"/>
      <c r="C22" s="195">
        <v>45647.0</v>
      </c>
      <c r="D22" s="171" t="s">
        <v>221</v>
      </c>
      <c r="E22" s="155" t="s">
        <v>178</v>
      </c>
      <c r="F22" s="155" t="s">
        <v>120</v>
      </c>
      <c r="G22" s="156" t="s">
        <v>214</v>
      </c>
      <c r="H22" s="155" t="s">
        <v>110</v>
      </c>
      <c r="I22" s="155" t="s">
        <v>116</v>
      </c>
      <c r="J22" s="155">
        <v>13.0</v>
      </c>
      <c r="K22" s="155">
        <v>6.0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75" customHeight="1">
      <c r="A23" s="141"/>
      <c r="B23" s="141"/>
      <c r="C23" s="125"/>
      <c r="D23" s="125"/>
      <c r="E23" s="125"/>
      <c r="F23" s="125"/>
      <c r="G23" s="125"/>
      <c r="H23" s="125"/>
      <c r="I23" s="125"/>
      <c r="J23" s="125"/>
      <c r="K23" s="125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4.5" customHeight="1">
      <c r="A24" s="141"/>
      <c r="B24" s="141"/>
      <c r="C24" s="161"/>
      <c r="D24" s="17"/>
      <c r="E24" s="17"/>
      <c r="F24" s="17"/>
      <c r="G24" s="17"/>
      <c r="H24" s="17"/>
      <c r="I24" s="17"/>
      <c r="J24" s="17"/>
      <c r="K24" s="22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12.75" customHeight="1">
      <c r="A25" s="141"/>
      <c r="B25" s="141"/>
      <c r="C25" s="162" t="s">
        <v>264</v>
      </c>
      <c r="D25" s="17"/>
      <c r="E25" s="17"/>
      <c r="F25" s="17"/>
      <c r="G25" s="17"/>
      <c r="H25" s="17"/>
      <c r="I25" s="22"/>
      <c r="J25" s="164">
        <f t="shared" ref="J25:K25" si="1">SUM(J13:J23)</f>
        <v>45</v>
      </c>
      <c r="K25" s="164">
        <f t="shared" si="1"/>
        <v>28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4.5" customHeight="1">
      <c r="A26" s="141"/>
      <c r="B26" s="141"/>
      <c r="C26" s="161"/>
      <c r="D26" s="17"/>
      <c r="E26" s="17"/>
      <c r="F26" s="17"/>
      <c r="G26" s="17"/>
      <c r="H26" s="17"/>
      <c r="I26" s="17"/>
      <c r="J26" s="17"/>
      <c r="K26" s="22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41"/>
      <c r="B27" s="141"/>
      <c r="C27" s="153" t="s">
        <v>217</v>
      </c>
      <c r="D27" s="193" t="s">
        <v>223</v>
      </c>
      <c r="E27" s="165" t="s">
        <v>11</v>
      </c>
      <c r="F27" s="165" t="s">
        <v>135</v>
      </c>
      <c r="G27" s="156" t="s">
        <v>214</v>
      </c>
      <c r="H27" s="165" t="s">
        <v>130</v>
      </c>
      <c r="I27" s="165" t="s">
        <v>179</v>
      </c>
      <c r="J27" s="155">
        <v>12.0</v>
      </c>
      <c r="K27" s="155">
        <v>6.0</v>
      </c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75" customHeight="1">
      <c r="A28" s="141"/>
      <c r="B28" s="141"/>
      <c r="C28" s="125"/>
      <c r="D28" s="125"/>
      <c r="E28" s="125"/>
      <c r="F28" s="125"/>
      <c r="G28" s="125"/>
      <c r="H28" s="125"/>
      <c r="I28" s="125"/>
      <c r="J28" s="125"/>
      <c r="K28" s="125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4.5" customHeight="1">
      <c r="A29" s="141"/>
      <c r="B29" s="141"/>
      <c r="C29" s="161"/>
      <c r="D29" s="17"/>
      <c r="E29" s="17"/>
      <c r="F29" s="17"/>
      <c r="G29" s="17"/>
      <c r="H29" s="17"/>
      <c r="I29" s="17"/>
      <c r="J29" s="17"/>
      <c r="K29" s="22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12.75" customHeight="1">
      <c r="A30" s="168"/>
      <c r="B30" s="141"/>
      <c r="C30" s="169" t="s">
        <v>217</v>
      </c>
      <c r="D30" s="154" t="s">
        <v>227</v>
      </c>
      <c r="E30" s="165" t="s">
        <v>140</v>
      </c>
      <c r="F30" s="165" t="s">
        <v>146</v>
      </c>
      <c r="G30" s="156" t="s">
        <v>214</v>
      </c>
      <c r="H30" s="165" t="s">
        <v>141</v>
      </c>
      <c r="I30" s="165" t="s">
        <v>153</v>
      </c>
      <c r="J30" s="155">
        <v>11.0</v>
      </c>
      <c r="K30" s="155">
        <v>7.0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12.75" customHeight="1">
      <c r="A31" s="168"/>
      <c r="B31" s="141"/>
      <c r="C31" s="125"/>
      <c r="D31" s="125"/>
      <c r="E31" s="125"/>
      <c r="F31" s="125"/>
      <c r="G31" s="125"/>
      <c r="H31" s="125"/>
      <c r="I31" s="125"/>
      <c r="J31" s="125"/>
      <c r="K31" s="125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4.5" customHeight="1">
      <c r="A32" s="141"/>
      <c r="B32" s="141"/>
      <c r="C32" s="161"/>
      <c r="D32" s="17"/>
      <c r="E32" s="17"/>
      <c r="F32" s="17"/>
      <c r="G32" s="17"/>
      <c r="H32" s="17"/>
      <c r="I32" s="17"/>
      <c r="J32" s="17"/>
      <c r="K32" s="22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69" t="s">
        <v>220</v>
      </c>
      <c r="D33" s="154" t="s">
        <v>225</v>
      </c>
      <c r="E33" s="165" t="s">
        <v>176</v>
      </c>
      <c r="F33" s="165" t="s">
        <v>32</v>
      </c>
      <c r="G33" s="156" t="s">
        <v>214</v>
      </c>
      <c r="H33" s="165" t="s">
        <v>26</v>
      </c>
      <c r="I33" s="165" t="s">
        <v>40</v>
      </c>
      <c r="J33" s="155">
        <v>9.0</v>
      </c>
      <c r="K33" s="155">
        <v>9.0</v>
      </c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125"/>
      <c r="D34" s="125"/>
      <c r="E34" s="125"/>
      <c r="F34" s="125"/>
      <c r="G34" s="125"/>
      <c r="H34" s="125"/>
      <c r="I34" s="125"/>
      <c r="J34" s="125"/>
      <c r="K34" s="125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4.5" customHeight="1">
      <c r="A35" s="141"/>
      <c r="B35" s="141"/>
      <c r="C35" s="161"/>
      <c r="D35" s="17"/>
      <c r="E35" s="17"/>
      <c r="F35" s="17"/>
      <c r="G35" s="17"/>
      <c r="H35" s="17"/>
      <c r="I35" s="17"/>
      <c r="J35" s="17"/>
      <c r="K35" s="22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4.5" customHeight="1">
      <c r="A36" s="141"/>
      <c r="B36" s="141"/>
      <c r="C36" s="161"/>
      <c r="D36" s="17"/>
      <c r="E36" s="17"/>
      <c r="F36" s="17"/>
      <c r="G36" s="17"/>
      <c r="H36" s="17"/>
      <c r="I36" s="17"/>
      <c r="J36" s="17"/>
      <c r="K36" s="22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12.75" customHeight="1">
      <c r="A37" s="141"/>
      <c r="B37" s="141"/>
      <c r="C37" s="162" t="s">
        <v>265</v>
      </c>
      <c r="D37" s="17"/>
      <c r="E37" s="17"/>
      <c r="F37" s="17"/>
      <c r="G37" s="17"/>
      <c r="H37" s="17"/>
      <c r="I37" s="22"/>
      <c r="J37" s="164">
        <f t="shared" ref="J37:K37" si="2">SUM(J27:J35)</f>
        <v>32</v>
      </c>
      <c r="K37" s="164">
        <f t="shared" si="2"/>
        <v>22</v>
      </c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4.5" customHeight="1">
      <c r="A38" s="141"/>
      <c r="B38" s="141"/>
      <c r="C38" s="161"/>
      <c r="D38" s="17"/>
      <c r="E38" s="17"/>
      <c r="F38" s="17"/>
      <c r="G38" s="17"/>
      <c r="H38" s="17"/>
      <c r="I38" s="17"/>
      <c r="J38" s="17"/>
      <c r="K38" s="22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12.75" customHeight="1">
      <c r="A39" s="141"/>
      <c r="B39" s="141"/>
      <c r="C39" s="172" t="s">
        <v>266</v>
      </c>
      <c r="D39" s="17"/>
      <c r="E39" s="17"/>
      <c r="F39" s="17"/>
      <c r="G39" s="17"/>
      <c r="H39" s="17"/>
      <c r="I39" s="22"/>
      <c r="J39" s="188">
        <f t="shared" ref="J39:K39" si="3">J37+J25</f>
        <v>77</v>
      </c>
      <c r="K39" s="188">
        <f t="shared" si="3"/>
        <v>50</v>
      </c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6.75" customHeight="1">
      <c r="A40" s="141"/>
      <c r="B40" s="141"/>
      <c r="C40" s="161"/>
      <c r="D40" s="17"/>
      <c r="E40" s="17"/>
      <c r="F40" s="17"/>
      <c r="G40" s="17"/>
      <c r="H40" s="17"/>
      <c r="I40" s="17"/>
      <c r="J40" s="17"/>
      <c r="K40" s="22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7.5" customHeight="1">
      <c r="A41" s="141"/>
      <c r="B41" s="141"/>
      <c r="C41" s="149" t="s">
        <v>231</v>
      </c>
      <c r="D41" s="144"/>
      <c r="E41" s="144"/>
      <c r="F41" s="144"/>
      <c r="G41" s="144"/>
      <c r="H41" s="144"/>
      <c r="I41" s="144"/>
      <c r="J41" s="144"/>
      <c r="K41" s="145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12.75" customHeight="1">
      <c r="A42" s="141"/>
      <c r="B42" s="141"/>
      <c r="C42" s="146"/>
      <c r="D42" s="147"/>
      <c r="E42" s="147"/>
      <c r="F42" s="147"/>
      <c r="G42" s="147"/>
      <c r="H42" s="147"/>
      <c r="I42" s="147"/>
      <c r="J42" s="147"/>
      <c r="K42" s="148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26.25" customHeight="1">
      <c r="A43" s="141"/>
      <c r="B43" s="141"/>
      <c r="C43" s="150" t="s">
        <v>211</v>
      </c>
      <c r="D43" s="150" t="s">
        <v>212</v>
      </c>
      <c r="E43" s="151" t="s">
        <v>213</v>
      </c>
      <c r="F43" s="22"/>
      <c r="G43" s="150" t="s">
        <v>214</v>
      </c>
      <c r="H43" s="151" t="s">
        <v>251</v>
      </c>
      <c r="I43" s="22"/>
      <c r="J43" s="152" t="s">
        <v>216</v>
      </c>
      <c r="K43" s="22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12.75" customHeight="1">
      <c r="A44" s="141"/>
      <c r="B44" s="141"/>
      <c r="C44" s="153" t="s">
        <v>217</v>
      </c>
      <c r="D44" s="154" t="s">
        <v>221</v>
      </c>
      <c r="E44" s="165" t="s">
        <v>107</v>
      </c>
      <c r="F44" s="165" t="s">
        <v>113</v>
      </c>
      <c r="G44" s="156" t="s">
        <v>214</v>
      </c>
      <c r="H44" s="165" t="s">
        <v>111</v>
      </c>
      <c r="I44" s="165" t="s">
        <v>121</v>
      </c>
      <c r="J44" s="155">
        <v>11.0</v>
      </c>
      <c r="K44" s="155">
        <v>8.0</v>
      </c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25"/>
      <c r="D45" s="125"/>
      <c r="E45" s="125"/>
      <c r="F45" s="125"/>
      <c r="G45" s="125"/>
      <c r="H45" s="125"/>
      <c r="I45" s="125"/>
      <c r="J45" s="125"/>
      <c r="K45" s="125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4.5" customHeight="1">
      <c r="A46" s="141"/>
      <c r="B46" s="141"/>
      <c r="C46" s="161"/>
      <c r="D46" s="17"/>
      <c r="E46" s="17"/>
      <c r="F46" s="17"/>
      <c r="G46" s="17"/>
      <c r="H46" s="17"/>
      <c r="I46" s="17"/>
      <c r="J46" s="17"/>
      <c r="K46" s="22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69" t="s">
        <v>217</v>
      </c>
      <c r="D47" s="154" t="s">
        <v>227</v>
      </c>
      <c r="E47" s="165" t="s">
        <v>150</v>
      </c>
      <c r="F47" s="165" t="s">
        <v>144</v>
      </c>
      <c r="G47" s="156" t="s">
        <v>214</v>
      </c>
      <c r="H47" s="165" t="s">
        <v>142</v>
      </c>
      <c r="I47" s="165" t="s">
        <v>148</v>
      </c>
      <c r="J47" s="155">
        <v>6.0</v>
      </c>
      <c r="K47" s="155">
        <v>12.0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25"/>
      <c r="D48" s="125"/>
      <c r="E48" s="125"/>
      <c r="F48" s="125"/>
      <c r="G48" s="125"/>
      <c r="H48" s="125"/>
      <c r="I48" s="125"/>
      <c r="J48" s="125"/>
      <c r="K48" s="125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4.5" customHeight="1">
      <c r="A49" s="141"/>
      <c r="B49" s="141"/>
      <c r="C49" s="161"/>
      <c r="D49" s="17"/>
      <c r="E49" s="17"/>
      <c r="F49" s="17"/>
      <c r="G49" s="17"/>
      <c r="H49" s="17"/>
      <c r="I49" s="17"/>
      <c r="J49" s="17"/>
      <c r="K49" s="22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69" t="s">
        <v>220</v>
      </c>
      <c r="D50" s="154" t="s">
        <v>223</v>
      </c>
      <c r="E50" s="165" t="s">
        <v>123</v>
      </c>
      <c r="F50" s="165" t="s">
        <v>127</v>
      </c>
      <c r="G50" s="156" t="s">
        <v>214</v>
      </c>
      <c r="H50" s="165" t="s">
        <v>126</v>
      </c>
      <c r="I50" s="165" t="s">
        <v>137</v>
      </c>
      <c r="J50" s="155">
        <v>7.0</v>
      </c>
      <c r="K50" s="155">
        <v>11.0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25"/>
      <c r="D51" s="125"/>
      <c r="E51" s="125"/>
      <c r="F51" s="125"/>
      <c r="G51" s="125"/>
      <c r="H51" s="125"/>
      <c r="I51" s="125"/>
      <c r="J51" s="125"/>
      <c r="K51" s="125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4.5" customHeight="1">
      <c r="A52" s="141"/>
      <c r="B52" s="141"/>
      <c r="C52" s="161"/>
      <c r="D52" s="17"/>
      <c r="E52" s="17"/>
      <c r="F52" s="17"/>
      <c r="G52" s="17"/>
      <c r="H52" s="17"/>
      <c r="I52" s="17"/>
      <c r="J52" s="17"/>
      <c r="K52" s="22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12.75" customHeight="1">
      <c r="A53" s="141"/>
      <c r="B53" s="141"/>
      <c r="C53" s="169" t="s">
        <v>222</v>
      </c>
      <c r="D53" s="171" t="s">
        <v>225</v>
      </c>
      <c r="E53" s="165" t="s">
        <v>23</v>
      </c>
      <c r="F53" s="165" t="s">
        <v>37</v>
      </c>
      <c r="G53" s="156" t="s">
        <v>214</v>
      </c>
      <c r="H53" s="165" t="s">
        <v>27</v>
      </c>
      <c r="I53" s="165" t="s">
        <v>267</v>
      </c>
      <c r="J53" s="155">
        <v>10.0</v>
      </c>
      <c r="K53" s="155">
        <v>8.0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25"/>
      <c r="D54" s="125"/>
      <c r="E54" s="125"/>
      <c r="F54" s="125"/>
      <c r="G54" s="125"/>
      <c r="H54" s="125"/>
      <c r="I54" s="125"/>
      <c r="J54" s="125"/>
      <c r="K54" s="125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4.5" customHeight="1">
      <c r="A55" s="141"/>
      <c r="B55" s="141"/>
      <c r="C55" s="161"/>
      <c r="D55" s="17"/>
      <c r="E55" s="17"/>
      <c r="F55" s="17"/>
      <c r="G55" s="17"/>
      <c r="H55" s="17"/>
      <c r="I55" s="17"/>
      <c r="J55" s="17"/>
      <c r="K55" s="22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62" t="s">
        <v>264</v>
      </c>
      <c r="D56" s="17"/>
      <c r="E56" s="17"/>
      <c r="F56" s="17"/>
      <c r="G56" s="17"/>
      <c r="H56" s="17"/>
      <c r="I56" s="22"/>
      <c r="J56" s="164">
        <f t="shared" ref="J56:K56" si="4">SUM(J44:J54)</f>
        <v>34</v>
      </c>
      <c r="K56" s="164">
        <f t="shared" si="4"/>
        <v>39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4.5" customHeight="1">
      <c r="A57" s="141"/>
      <c r="B57" s="141"/>
      <c r="C57" s="161"/>
      <c r="D57" s="17"/>
      <c r="E57" s="17"/>
      <c r="F57" s="17"/>
      <c r="G57" s="17"/>
      <c r="H57" s="17"/>
      <c r="I57" s="17"/>
      <c r="J57" s="17"/>
      <c r="K57" s="22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12.75" customHeight="1">
      <c r="A58" s="141"/>
      <c r="B58" s="141"/>
      <c r="C58" s="172"/>
      <c r="D58" s="17"/>
      <c r="E58" s="17"/>
      <c r="F58" s="17"/>
      <c r="G58" s="17"/>
      <c r="H58" s="17"/>
      <c r="I58" s="17"/>
      <c r="J58" s="17"/>
      <c r="K58" s="22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69" t="s">
        <v>222</v>
      </c>
      <c r="D59" s="154" t="s">
        <v>226</v>
      </c>
      <c r="E59" s="165" t="s">
        <v>44</v>
      </c>
      <c r="F59" s="165" t="s">
        <v>58</v>
      </c>
      <c r="G59" s="156" t="s">
        <v>214</v>
      </c>
      <c r="H59" s="165" t="s">
        <v>48</v>
      </c>
      <c r="I59" s="165" t="s">
        <v>55</v>
      </c>
      <c r="J59" s="155">
        <v>0.0</v>
      </c>
      <c r="K59" s="155">
        <v>18.0</v>
      </c>
      <c r="L59" s="159" t="s">
        <v>268</v>
      </c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25"/>
      <c r="D60" s="125"/>
      <c r="E60" s="125"/>
      <c r="F60" s="125"/>
      <c r="G60" s="125"/>
      <c r="H60" s="125"/>
      <c r="I60" s="125"/>
      <c r="J60" s="125"/>
      <c r="K60" s="125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4.5" customHeight="1">
      <c r="A61" s="141"/>
      <c r="B61" s="141"/>
      <c r="C61" s="161"/>
      <c r="D61" s="17"/>
      <c r="E61" s="17"/>
      <c r="F61" s="17"/>
      <c r="G61" s="17"/>
      <c r="H61" s="17"/>
      <c r="I61" s="17"/>
      <c r="J61" s="17"/>
      <c r="K61" s="22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69" t="s">
        <v>217</v>
      </c>
      <c r="D62" s="154" t="s">
        <v>218</v>
      </c>
      <c r="E62" s="165" t="s">
        <v>86</v>
      </c>
      <c r="F62" s="165" t="s">
        <v>93</v>
      </c>
      <c r="G62" s="156" t="s">
        <v>214</v>
      </c>
      <c r="H62" s="165" t="s">
        <v>90</v>
      </c>
      <c r="I62" s="165" t="s">
        <v>269</v>
      </c>
      <c r="J62" s="155">
        <v>15.0</v>
      </c>
      <c r="K62" s="155">
        <v>3.0</v>
      </c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12.75" customHeight="1">
      <c r="A63" s="141"/>
      <c r="B63" s="141"/>
      <c r="C63" s="125"/>
      <c r="D63" s="125"/>
      <c r="E63" s="125"/>
      <c r="F63" s="125"/>
      <c r="G63" s="125"/>
      <c r="H63" s="125"/>
      <c r="I63" s="125"/>
      <c r="J63" s="125"/>
      <c r="K63" s="125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4.5" customHeight="1">
      <c r="A64" s="141"/>
      <c r="B64" s="141"/>
      <c r="C64" s="161"/>
      <c r="D64" s="17"/>
      <c r="E64" s="17"/>
      <c r="F64" s="17"/>
      <c r="G64" s="17"/>
      <c r="H64" s="17"/>
      <c r="I64" s="17"/>
      <c r="J64" s="17"/>
      <c r="K64" s="22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69" t="s">
        <v>222</v>
      </c>
      <c r="D65" s="154" t="s">
        <v>228</v>
      </c>
      <c r="E65" s="165" t="s">
        <v>72</v>
      </c>
      <c r="F65" s="165" t="s">
        <v>79</v>
      </c>
      <c r="G65" s="156" t="s">
        <v>214</v>
      </c>
      <c r="H65" s="165" t="s">
        <v>69</v>
      </c>
      <c r="I65" s="165" t="s">
        <v>76</v>
      </c>
      <c r="J65" s="155">
        <v>9.0</v>
      </c>
      <c r="K65" s="155">
        <v>9.0</v>
      </c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12.75" customHeight="1">
      <c r="A66" s="141"/>
      <c r="B66" s="141"/>
      <c r="C66" s="125"/>
      <c r="D66" s="125"/>
      <c r="E66" s="125"/>
      <c r="F66" s="125"/>
      <c r="G66" s="125"/>
      <c r="H66" s="125"/>
      <c r="I66" s="125"/>
      <c r="J66" s="125"/>
      <c r="K66" s="125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4.5" customHeight="1">
      <c r="A67" s="141"/>
      <c r="B67" s="141"/>
      <c r="C67" s="161"/>
      <c r="D67" s="17"/>
      <c r="E67" s="17"/>
      <c r="F67" s="17"/>
      <c r="G67" s="17"/>
      <c r="H67" s="17"/>
      <c r="I67" s="17"/>
      <c r="J67" s="17"/>
      <c r="K67" s="22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4.5" customHeight="1">
      <c r="A68" s="141"/>
      <c r="B68" s="141"/>
      <c r="C68" s="161"/>
      <c r="D68" s="17"/>
      <c r="E68" s="17"/>
      <c r="F68" s="17"/>
      <c r="G68" s="17"/>
      <c r="H68" s="17"/>
      <c r="I68" s="17"/>
      <c r="J68" s="17"/>
      <c r="K68" s="22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12.75" customHeight="1">
      <c r="A69" s="141"/>
      <c r="B69" s="141"/>
      <c r="C69" s="162" t="s">
        <v>265</v>
      </c>
      <c r="D69" s="17"/>
      <c r="E69" s="17"/>
      <c r="F69" s="17"/>
      <c r="G69" s="17"/>
      <c r="H69" s="17"/>
      <c r="I69" s="22"/>
      <c r="J69" s="164">
        <f t="shared" ref="J69:K69" si="5">SUM(J59:J67)</f>
        <v>24</v>
      </c>
      <c r="K69" s="164">
        <f t="shared" si="5"/>
        <v>30</v>
      </c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4.5" customHeight="1">
      <c r="A70" s="141"/>
      <c r="B70" s="141"/>
      <c r="C70" s="161"/>
      <c r="D70" s="17"/>
      <c r="E70" s="17"/>
      <c r="F70" s="17"/>
      <c r="G70" s="17"/>
      <c r="H70" s="17"/>
      <c r="I70" s="17"/>
      <c r="J70" s="17"/>
      <c r="K70" s="22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12.75" customHeight="1">
      <c r="A71" s="141"/>
      <c r="B71" s="141"/>
      <c r="C71" s="172" t="s">
        <v>266</v>
      </c>
      <c r="D71" s="17"/>
      <c r="E71" s="17"/>
      <c r="F71" s="17"/>
      <c r="G71" s="17"/>
      <c r="H71" s="17"/>
      <c r="I71" s="22"/>
      <c r="J71" s="188">
        <f t="shared" ref="J71:K71" si="6">J69+J56</f>
        <v>58</v>
      </c>
      <c r="K71" s="188">
        <f t="shared" si="6"/>
        <v>69</v>
      </c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6.75" customHeight="1">
      <c r="A72" s="141"/>
      <c r="B72" s="141"/>
      <c r="C72" s="161"/>
      <c r="D72" s="17"/>
      <c r="E72" s="17"/>
      <c r="F72" s="17"/>
      <c r="G72" s="17"/>
      <c r="H72" s="17"/>
      <c r="I72" s="17"/>
      <c r="J72" s="17"/>
      <c r="K72" s="22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49" t="s">
        <v>235</v>
      </c>
      <c r="D73" s="144"/>
      <c r="E73" s="144"/>
      <c r="F73" s="144"/>
      <c r="G73" s="144"/>
      <c r="H73" s="144"/>
      <c r="I73" s="144"/>
      <c r="J73" s="144"/>
      <c r="K73" s="145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12.75" customHeight="1">
      <c r="A74" s="141"/>
      <c r="B74" s="141"/>
      <c r="C74" s="146"/>
      <c r="D74" s="147"/>
      <c r="E74" s="147"/>
      <c r="F74" s="147"/>
      <c r="G74" s="147"/>
      <c r="H74" s="147"/>
      <c r="I74" s="147"/>
      <c r="J74" s="147"/>
      <c r="K74" s="148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25.5" customHeight="1">
      <c r="A75" s="141"/>
      <c r="B75" s="141"/>
      <c r="C75" s="184" t="s">
        <v>211</v>
      </c>
      <c r="D75" s="150" t="s">
        <v>212</v>
      </c>
      <c r="E75" s="151" t="s">
        <v>241</v>
      </c>
      <c r="F75" s="22"/>
      <c r="G75" s="150" t="s">
        <v>214</v>
      </c>
      <c r="H75" s="151" t="s">
        <v>237</v>
      </c>
      <c r="I75" s="22"/>
      <c r="J75" s="152" t="s">
        <v>216</v>
      </c>
      <c r="K75" s="22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53" t="s">
        <v>217</v>
      </c>
      <c r="D76" s="154" t="s">
        <v>227</v>
      </c>
      <c r="E76" s="165" t="s">
        <v>145</v>
      </c>
      <c r="F76" s="165" t="s">
        <v>151</v>
      </c>
      <c r="G76" s="156" t="s">
        <v>214</v>
      </c>
      <c r="H76" s="165" t="s">
        <v>143</v>
      </c>
      <c r="I76" s="165" t="s">
        <v>149</v>
      </c>
      <c r="J76" s="155">
        <v>6.0</v>
      </c>
      <c r="K76" s="155">
        <v>12.0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25"/>
      <c r="D77" s="125"/>
      <c r="E77" s="125"/>
      <c r="F77" s="125"/>
      <c r="G77" s="125"/>
      <c r="H77" s="125"/>
      <c r="I77" s="125"/>
      <c r="J77" s="125"/>
      <c r="K77" s="125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4.5" customHeight="1">
      <c r="A78" s="141"/>
      <c r="B78" s="141"/>
      <c r="C78" s="161"/>
      <c r="D78" s="17"/>
      <c r="E78" s="17"/>
      <c r="F78" s="17"/>
      <c r="G78" s="17"/>
      <c r="H78" s="17"/>
      <c r="I78" s="17"/>
      <c r="J78" s="17"/>
      <c r="K78" s="22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53" t="s">
        <v>220</v>
      </c>
      <c r="D79" s="154" t="s">
        <v>221</v>
      </c>
      <c r="E79" s="165" t="s">
        <v>161</v>
      </c>
      <c r="F79" s="165" t="s">
        <v>114</v>
      </c>
      <c r="G79" s="156" t="s">
        <v>214</v>
      </c>
      <c r="H79" s="165" t="s">
        <v>118</v>
      </c>
      <c r="I79" s="165" t="s">
        <v>122</v>
      </c>
      <c r="J79" s="155">
        <v>12.0</v>
      </c>
      <c r="K79" s="155">
        <v>7.0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25"/>
      <c r="D80" s="125"/>
      <c r="E80" s="125"/>
      <c r="F80" s="125"/>
      <c r="G80" s="125"/>
      <c r="H80" s="125"/>
      <c r="I80" s="125"/>
      <c r="J80" s="125"/>
      <c r="K80" s="125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4.5" customHeight="1">
      <c r="A81" s="141"/>
      <c r="B81" s="141"/>
      <c r="C81" s="161"/>
      <c r="D81" s="17"/>
      <c r="E81" s="17"/>
      <c r="F81" s="17"/>
      <c r="G81" s="17"/>
      <c r="H81" s="17"/>
      <c r="I81" s="17"/>
      <c r="J81" s="17"/>
      <c r="K81" s="22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96" t="s">
        <v>220</v>
      </c>
      <c r="D82" s="154" t="s">
        <v>223</v>
      </c>
      <c r="E82" s="165" t="s">
        <v>124</v>
      </c>
      <c r="F82" s="165" t="s">
        <v>134</v>
      </c>
      <c r="G82" s="156" t="s">
        <v>214</v>
      </c>
      <c r="H82" s="165" t="s">
        <v>14</v>
      </c>
      <c r="I82" s="165" t="s">
        <v>138</v>
      </c>
      <c r="J82" s="155">
        <v>5.0</v>
      </c>
      <c r="K82" s="155">
        <v>13.0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25"/>
      <c r="D83" s="125"/>
      <c r="E83" s="125"/>
      <c r="F83" s="125"/>
      <c r="G83" s="125"/>
      <c r="H83" s="125"/>
      <c r="I83" s="125"/>
      <c r="J83" s="125"/>
      <c r="K83" s="125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4.5" customHeight="1">
      <c r="A84" s="141"/>
      <c r="B84" s="141"/>
      <c r="C84" s="161"/>
      <c r="D84" s="17"/>
      <c r="E84" s="17"/>
      <c r="F84" s="17"/>
      <c r="G84" s="17"/>
      <c r="H84" s="17"/>
      <c r="I84" s="17"/>
      <c r="J84" s="17"/>
      <c r="K84" s="22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4.5" customHeight="1">
      <c r="A85" s="141"/>
      <c r="B85" s="141"/>
      <c r="C85" s="161"/>
      <c r="D85" s="17"/>
      <c r="E85" s="17"/>
      <c r="F85" s="17"/>
      <c r="G85" s="17"/>
      <c r="H85" s="17"/>
      <c r="I85" s="17"/>
      <c r="J85" s="17"/>
      <c r="K85" s="22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62" t="s">
        <v>264</v>
      </c>
      <c r="D86" s="17"/>
      <c r="E86" s="17"/>
      <c r="F86" s="17"/>
      <c r="G86" s="17"/>
      <c r="H86" s="17"/>
      <c r="I86" s="22"/>
      <c r="J86" s="164">
        <f t="shared" ref="J86:K86" si="7">SUM(J76:J84)</f>
        <v>23</v>
      </c>
      <c r="K86" s="164">
        <f t="shared" si="7"/>
        <v>32</v>
      </c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4.5" customHeight="1">
      <c r="A87" s="141"/>
      <c r="B87" s="141"/>
      <c r="C87" s="161"/>
      <c r="D87" s="17"/>
      <c r="E87" s="17"/>
      <c r="F87" s="17"/>
      <c r="G87" s="17"/>
      <c r="H87" s="17"/>
      <c r="I87" s="17"/>
      <c r="J87" s="17"/>
      <c r="K87" s="22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72"/>
      <c r="D88" s="17"/>
      <c r="E88" s="17"/>
      <c r="F88" s="17"/>
      <c r="G88" s="17"/>
      <c r="H88" s="17"/>
      <c r="I88" s="17"/>
      <c r="J88" s="17"/>
      <c r="K88" s="22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12.75" customHeight="1">
      <c r="A89" s="141"/>
      <c r="B89" s="141"/>
      <c r="C89" s="153" t="s">
        <v>217</v>
      </c>
      <c r="D89" s="154" t="s">
        <v>218</v>
      </c>
      <c r="E89" s="165" t="s">
        <v>101</v>
      </c>
      <c r="F89" s="165" t="s">
        <v>94</v>
      </c>
      <c r="G89" s="156" t="s">
        <v>214</v>
      </c>
      <c r="H89" s="165" t="s">
        <v>91</v>
      </c>
      <c r="I89" s="165" t="s">
        <v>98</v>
      </c>
      <c r="J89" s="155">
        <v>9.0</v>
      </c>
      <c r="K89" s="155">
        <v>9.0</v>
      </c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12.75" customHeight="1">
      <c r="A90" s="141"/>
      <c r="B90" s="141"/>
      <c r="C90" s="125"/>
      <c r="D90" s="125"/>
      <c r="E90" s="125"/>
      <c r="F90" s="125"/>
      <c r="G90" s="125"/>
      <c r="H90" s="125"/>
      <c r="I90" s="125"/>
      <c r="J90" s="125"/>
      <c r="K90" s="125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4.5" customHeight="1">
      <c r="A91" s="141"/>
      <c r="B91" s="141"/>
      <c r="C91" s="161"/>
      <c r="D91" s="17"/>
      <c r="E91" s="17"/>
      <c r="F91" s="17"/>
      <c r="G91" s="17"/>
      <c r="H91" s="17"/>
      <c r="I91" s="17"/>
      <c r="J91" s="17"/>
      <c r="K91" s="22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12.75" customHeight="1">
      <c r="A92" s="141"/>
      <c r="B92" s="141"/>
      <c r="C92" s="153" t="s">
        <v>220</v>
      </c>
      <c r="D92" s="154" t="s">
        <v>228</v>
      </c>
      <c r="E92" s="165" t="s">
        <v>73</v>
      </c>
      <c r="F92" s="165" t="s">
        <v>80</v>
      </c>
      <c r="G92" s="156" t="s">
        <v>214</v>
      </c>
      <c r="H92" s="165" t="s">
        <v>77</v>
      </c>
      <c r="I92" s="165" t="s">
        <v>84</v>
      </c>
      <c r="J92" s="155">
        <v>8.0</v>
      </c>
      <c r="K92" s="155">
        <v>10.0</v>
      </c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25"/>
      <c r="D93" s="125"/>
      <c r="E93" s="125"/>
      <c r="F93" s="125"/>
      <c r="G93" s="125"/>
      <c r="H93" s="125"/>
      <c r="I93" s="125"/>
      <c r="J93" s="125"/>
      <c r="K93" s="125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4.5" customHeight="1">
      <c r="A94" s="141"/>
      <c r="B94" s="141"/>
      <c r="C94" s="161"/>
      <c r="D94" s="17"/>
      <c r="E94" s="17"/>
      <c r="F94" s="17"/>
      <c r="G94" s="17"/>
      <c r="H94" s="17"/>
      <c r="I94" s="17"/>
      <c r="J94" s="17"/>
      <c r="K94" s="22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12.75" customHeight="1">
      <c r="A95" s="141"/>
      <c r="B95" s="141"/>
      <c r="C95" s="197" t="s">
        <v>270</v>
      </c>
      <c r="D95" s="154" t="s">
        <v>225</v>
      </c>
      <c r="E95" s="165" t="s">
        <v>31</v>
      </c>
      <c r="F95" s="165" t="s">
        <v>38</v>
      </c>
      <c r="G95" s="156" t="s">
        <v>214</v>
      </c>
      <c r="H95" s="165" t="s">
        <v>28</v>
      </c>
      <c r="I95" s="165" t="s">
        <v>42</v>
      </c>
      <c r="J95" s="155">
        <v>5.0</v>
      </c>
      <c r="K95" s="155">
        <v>13.0</v>
      </c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12.75" customHeight="1">
      <c r="A96" s="141"/>
      <c r="B96" s="141"/>
      <c r="C96" s="125"/>
      <c r="D96" s="125"/>
      <c r="E96" s="125"/>
      <c r="F96" s="125"/>
      <c r="G96" s="125"/>
      <c r="H96" s="125"/>
      <c r="I96" s="125"/>
      <c r="J96" s="125"/>
      <c r="K96" s="125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4.5" customHeight="1">
      <c r="A97" s="141"/>
      <c r="B97" s="141"/>
      <c r="C97" s="161"/>
      <c r="D97" s="17"/>
      <c r="E97" s="17"/>
      <c r="F97" s="17"/>
      <c r="G97" s="17"/>
      <c r="H97" s="17"/>
      <c r="I97" s="17"/>
      <c r="J97" s="17"/>
      <c r="K97" s="22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12.75" customHeight="1">
      <c r="A98" s="141"/>
      <c r="B98" s="141"/>
      <c r="C98" s="169" t="s">
        <v>222</v>
      </c>
      <c r="D98" s="171" t="s">
        <v>226</v>
      </c>
      <c r="E98" s="165" t="s">
        <v>45</v>
      </c>
      <c r="F98" s="165" t="s">
        <v>52</v>
      </c>
      <c r="G98" s="156" t="s">
        <v>214</v>
      </c>
      <c r="H98" s="165" t="s">
        <v>49</v>
      </c>
      <c r="I98" s="165" t="s">
        <v>56</v>
      </c>
      <c r="J98" s="155">
        <v>5.0</v>
      </c>
      <c r="K98" s="155">
        <v>13.0</v>
      </c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12.75" customHeight="1">
      <c r="A99" s="141"/>
      <c r="B99" s="141"/>
      <c r="C99" s="125"/>
      <c r="D99" s="125"/>
      <c r="E99" s="125"/>
      <c r="F99" s="125"/>
      <c r="G99" s="125"/>
      <c r="H99" s="125"/>
      <c r="I99" s="125"/>
      <c r="J99" s="125"/>
      <c r="K99" s="125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4.5" customHeight="1">
      <c r="A100" s="141"/>
      <c r="B100" s="141"/>
      <c r="C100" s="161"/>
      <c r="D100" s="17"/>
      <c r="E100" s="17"/>
      <c r="F100" s="17"/>
      <c r="G100" s="17"/>
      <c r="H100" s="17"/>
      <c r="I100" s="17"/>
      <c r="J100" s="17"/>
      <c r="K100" s="22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12.75" customHeight="1">
      <c r="A101" s="141"/>
      <c r="B101" s="141"/>
      <c r="C101" s="162" t="s">
        <v>265</v>
      </c>
      <c r="D101" s="17"/>
      <c r="E101" s="17"/>
      <c r="F101" s="17"/>
      <c r="G101" s="17"/>
      <c r="H101" s="17"/>
      <c r="I101" s="22"/>
      <c r="J101" s="164">
        <f t="shared" ref="J101:K101" si="8">SUM(J89:J99)</f>
        <v>27</v>
      </c>
      <c r="K101" s="164">
        <f t="shared" si="8"/>
        <v>45</v>
      </c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4.5" customHeight="1">
      <c r="A102" s="141"/>
      <c r="B102" s="141"/>
      <c r="C102" s="161"/>
      <c r="D102" s="17"/>
      <c r="E102" s="17"/>
      <c r="F102" s="17"/>
      <c r="G102" s="17"/>
      <c r="H102" s="17"/>
      <c r="I102" s="17"/>
      <c r="J102" s="17"/>
      <c r="K102" s="22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12.75" customHeight="1">
      <c r="A103" s="141"/>
      <c r="B103" s="141"/>
      <c r="C103" s="172" t="s">
        <v>266</v>
      </c>
      <c r="D103" s="17"/>
      <c r="E103" s="17"/>
      <c r="F103" s="17"/>
      <c r="G103" s="17"/>
      <c r="H103" s="17"/>
      <c r="I103" s="22"/>
      <c r="J103" s="188">
        <f t="shared" ref="J103:K103" si="9">J101+J86</f>
        <v>50</v>
      </c>
      <c r="K103" s="188">
        <f t="shared" si="9"/>
        <v>77</v>
      </c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6.75" customHeight="1">
      <c r="A104" s="141"/>
      <c r="B104" s="141"/>
      <c r="C104" s="161"/>
      <c r="D104" s="17"/>
      <c r="E104" s="17"/>
      <c r="F104" s="17"/>
      <c r="G104" s="17"/>
      <c r="H104" s="17"/>
      <c r="I104" s="17"/>
      <c r="J104" s="17"/>
      <c r="K104" s="22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 t="s">
        <v>239</v>
      </c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 t="s">
        <v>239</v>
      </c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2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 ht="12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 ht="12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 ht="12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 ht="12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 ht="12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</row>
    <row r="276" ht="12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</row>
    <row r="277" ht="12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</row>
    <row r="278" ht="12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</row>
    <row r="279" ht="12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</row>
    <row r="280" ht="12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</row>
    <row r="281" ht="12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</row>
    <row r="282" ht="12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</row>
    <row r="283" ht="12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</row>
    <row r="284" ht="12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</row>
    <row r="285" ht="12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</row>
    <row r="286" ht="12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</row>
    <row r="287" ht="12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</row>
    <row r="288" ht="12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</row>
    <row r="289" ht="12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</row>
    <row r="290" ht="12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</row>
    <row r="291" ht="12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</row>
    <row r="292" ht="12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</row>
    <row r="293" ht="12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</row>
    <row r="294" ht="12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</row>
    <row r="295" ht="12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</row>
    <row r="296" ht="12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</row>
    <row r="297" ht="12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</row>
    <row r="298" ht="12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</row>
    <row r="299" ht="12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</row>
    <row r="300" ht="12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</row>
    <row r="301" ht="12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</row>
    <row r="302" ht="12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</row>
    <row r="303" ht="12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</row>
    <row r="304" ht="12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</row>
    <row r="305" ht="12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</row>
    <row r="306" ht="12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</row>
    <row r="307" ht="12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</row>
    <row r="308" ht="12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</row>
    <row r="309" ht="12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</row>
    <row r="310" ht="12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</row>
    <row r="311" ht="12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</row>
    <row r="312" ht="12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</row>
    <row r="313" ht="12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</row>
    <row r="314" ht="12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</row>
    <row r="315" ht="12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</row>
    <row r="316" ht="12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</row>
    <row r="317" ht="12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</row>
    <row r="318" ht="12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</row>
    <row r="319" ht="12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</row>
    <row r="320" ht="12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</row>
    <row r="321" ht="12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</row>
    <row r="322" ht="12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</row>
    <row r="323" ht="12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</row>
    <row r="324" ht="12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</row>
    <row r="325" ht="12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</row>
    <row r="326" ht="12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</row>
    <row r="327" ht="12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</row>
    <row r="328" ht="12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</row>
    <row r="329" ht="12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</row>
    <row r="330" ht="12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</row>
    <row r="331" ht="12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</row>
    <row r="332" ht="12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</row>
    <row r="333" ht="12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</row>
    <row r="334" ht="12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</row>
    <row r="335" ht="12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</row>
    <row r="336" ht="12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</row>
    <row r="337" ht="12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</row>
    <row r="338" ht="12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</row>
    <row r="339" ht="12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50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C19:C20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C24:K24"/>
    <mergeCell ref="C25:I25"/>
    <mergeCell ref="C26:K26"/>
    <mergeCell ref="J27:J28"/>
    <mergeCell ref="K27:K28"/>
    <mergeCell ref="D27:D28"/>
    <mergeCell ref="E27:E28"/>
    <mergeCell ref="F27:F28"/>
    <mergeCell ref="G27:G28"/>
    <mergeCell ref="H27:H28"/>
    <mergeCell ref="I27:I28"/>
    <mergeCell ref="C29:K29"/>
    <mergeCell ref="I30:I31"/>
    <mergeCell ref="J30:J31"/>
    <mergeCell ref="K30:K31"/>
    <mergeCell ref="C32:K32"/>
    <mergeCell ref="C27:C28"/>
    <mergeCell ref="C30:C31"/>
    <mergeCell ref="D30:D31"/>
    <mergeCell ref="E30:E31"/>
    <mergeCell ref="F30:F31"/>
    <mergeCell ref="G30:G31"/>
    <mergeCell ref="H30:H31"/>
    <mergeCell ref="J33:J34"/>
    <mergeCell ref="K33:K34"/>
    <mergeCell ref="D33:D34"/>
    <mergeCell ref="E33:E34"/>
    <mergeCell ref="F33:F34"/>
    <mergeCell ref="G33:G34"/>
    <mergeCell ref="H33:H34"/>
    <mergeCell ref="I33:I34"/>
    <mergeCell ref="C35:K35"/>
    <mergeCell ref="C36:K36"/>
    <mergeCell ref="C37:I37"/>
    <mergeCell ref="C38:K38"/>
    <mergeCell ref="C39:I39"/>
    <mergeCell ref="C33:C34"/>
    <mergeCell ref="J50:J51"/>
    <mergeCell ref="K50:K51"/>
    <mergeCell ref="D50:D51"/>
    <mergeCell ref="E50:E51"/>
    <mergeCell ref="F50:F51"/>
    <mergeCell ref="G50:G51"/>
    <mergeCell ref="H50:H51"/>
    <mergeCell ref="I50:I51"/>
    <mergeCell ref="C52:K52"/>
    <mergeCell ref="C68:K68"/>
    <mergeCell ref="C69:I69"/>
    <mergeCell ref="C70:K70"/>
    <mergeCell ref="C71:I71"/>
    <mergeCell ref="C65:C66"/>
    <mergeCell ref="H82:H83"/>
    <mergeCell ref="I82:I83"/>
    <mergeCell ref="J82:J83"/>
    <mergeCell ref="K82:K83"/>
    <mergeCell ref="G79:G80"/>
    <mergeCell ref="H79:H80"/>
    <mergeCell ref="K79:K80"/>
    <mergeCell ref="C81:K81"/>
    <mergeCell ref="C82:C83"/>
    <mergeCell ref="D82:D83"/>
    <mergeCell ref="E82:E83"/>
    <mergeCell ref="F89:F90"/>
    <mergeCell ref="G89:G90"/>
    <mergeCell ref="H89:H90"/>
    <mergeCell ref="I89:I90"/>
    <mergeCell ref="J89:J90"/>
    <mergeCell ref="K89:K90"/>
    <mergeCell ref="C85:K85"/>
    <mergeCell ref="C86:I86"/>
    <mergeCell ref="C87:K87"/>
    <mergeCell ref="C88:K88"/>
    <mergeCell ref="C89:C90"/>
    <mergeCell ref="I92:I93"/>
    <mergeCell ref="J92:J93"/>
    <mergeCell ref="D89:D90"/>
    <mergeCell ref="E89:E90"/>
    <mergeCell ref="C91:K91"/>
    <mergeCell ref="C92:C93"/>
    <mergeCell ref="D92:D93"/>
    <mergeCell ref="E92:E93"/>
    <mergeCell ref="F92:F93"/>
    <mergeCell ref="K92:K93"/>
    <mergeCell ref="I95:I96"/>
    <mergeCell ref="J95:J96"/>
    <mergeCell ref="G92:G93"/>
    <mergeCell ref="H92:H93"/>
    <mergeCell ref="C94:K94"/>
    <mergeCell ref="C95:C96"/>
    <mergeCell ref="D95:D96"/>
    <mergeCell ref="E95:E96"/>
    <mergeCell ref="F95:F96"/>
    <mergeCell ref="K95:K96"/>
    <mergeCell ref="I98:I99"/>
    <mergeCell ref="J98:J99"/>
    <mergeCell ref="G95:G96"/>
    <mergeCell ref="H95:H96"/>
    <mergeCell ref="C97:K97"/>
    <mergeCell ref="C98:C99"/>
    <mergeCell ref="D98:D99"/>
    <mergeCell ref="E98:E99"/>
    <mergeCell ref="F98:F99"/>
    <mergeCell ref="K98:K99"/>
    <mergeCell ref="F44:F45"/>
    <mergeCell ref="G44:G45"/>
    <mergeCell ref="H44:H45"/>
    <mergeCell ref="I44:I45"/>
    <mergeCell ref="J44:J45"/>
    <mergeCell ref="K44:K45"/>
    <mergeCell ref="C40:K40"/>
    <mergeCell ref="C41:K42"/>
    <mergeCell ref="E43:F43"/>
    <mergeCell ref="H43:I43"/>
    <mergeCell ref="J43:K43"/>
    <mergeCell ref="C46:K46"/>
    <mergeCell ref="I47:I48"/>
    <mergeCell ref="J47:J48"/>
    <mergeCell ref="K47:K48"/>
    <mergeCell ref="C49:K49"/>
    <mergeCell ref="C44:C45"/>
    <mergeCell ref="C47:C48"/>
    <mergeCell ref="D47:D48"/>
    <mergeCell ref="E47:E48"/>
    <mergeCell ref="F47:F48"/>
    <mergeCell ref="G47:G48"/>
    <mergeCell ref="H47:H48"/>
    <mergeCell ref="G98:G99"/>
    <mergeCell ref="H98:H99"/>
    <mergeCell ref="C100:K100"/>
    <mergeCell ref="C101:I101"/>
    <mergeCell ref="C102:K102"/>
    <mergeCell ref="C103:I103"/>
    <mergeCell ref="C104:K104"/>
    <mergeCell ref="F82:F83"/>
    <mergeCell ref="G82:G83"/>
    <mergeCell ref="C84:K84"/>
    <mergeCell ref="C2:L2"/>
    <mergeCell ref="C3:L3"/>
    <mergeCell ref="B6:K6"/>
    <mergeCell ref="C7:K8"/>
    <mergeCell ref="C9:K10"/>
    <mergeCell ref="E11:F11"/>
    <mergeCell ref="H11:I11"/>
    <mergeCell ref="H13:H14"/>
    <mergeCell ref="I13:I14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D44:D45"/>
    <mergeCell ref="E44:E45"/>
    <mergeCell ref="C50:C51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C55:K55"/>
    <mergeCell ref="C56:I56"/>
    <mergeCell ref="C57:K57"/>
    <mergeCell ref="C58:K58"/>
    <mergeCell ref="J59:J60"/>
    <mergeCell ref="K59:K60"/>
    <mergeCell ref="D59:D60"/>
    <mergeCell ref="E59:E60"/>
    <mergeCell ref="F59:F60"/>
    <mergeCell ref="G59:G60"/>
    <mergeCell ref="H59:H60"/>
    <mergeCell ref="I59:I60"/>
    <mergeCell ref="C61:K61"/>
    <mergeCell ref="I62:I63"/>
    <mergeCell ref="J62:J63"/>
    <mergeCell ref="K62:K63"/>
    <mergeCell ref="C64:K64"/>
    <mergeCell ref="C59:C60"/>
    <mergeCell ref="C62:C63"/>
    <mergeCell ref="D62:D63"/>
    <mergeCell ref="E62:E63"/>
    <mergeCell ref="F62:F63"/>
    <mergeCell ref="G62:G63"/>
    <mergeCell ref="H62:H63"/>
    <mergeCell ref="J65:J66"/>
    <mergeCell ref="K65:K66"/>
    <mergeCell ref="D65:D66"/>
    <mergeCell ref="E65:E66"/>
    <mergeCell ref="F65:F66"/>
    <mergeCell ref="G65:G66"/>
    <mergeCell ref="H65:H66"/>
    <mergeCell ref="I65:I66"/>
    <mergeCell ref="C67:K67"/>
    <mergeCell ref="F76:F77"/>
    <mergeCell ref="G76:G77"/>
    <mergeCell ref="H76:H77"/>
    <mergeCell ref="I76:I77"/>
    <mergeCell ref="J76:J77"/>
    <mergeCell ref="K76:K77"/>
    <mergeCell ref="C72:K72"/>
    <mergeCell ref="C73:K74"/>
    <mergeCell ref="E75:F75"/>
    <mergeCell ref="H75:I75"/>
    <mergeCell ref="J75:K75"/>
    <mergeCell ref="C76:C77"/>
    <mergeCell ref="I79:I80"/>
    <mergeCell ref="J79:J80"/>
    <mergeCell ref="D76:D77"/>
    <mergeCell ref="E76:E77"/>
    <mergeCell ref="C78:K78"/>
    <mergeCell ref="C79:C80"/>
    <mergeCell ref="D79:D80"/>
    <mergeCell ref="E79:E80"/>
    <mergeCell ref="F79:F80"/>
  </mergeCells>
  <printOptions/>
  <pageMargins bottom="0.75" footer="0.0" header="0.0" left="0.7" right="0.7" top="0.75"/>
  <pageSetup paperSize="9"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20.75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41"/>
      <c r="B1" s="141"/>
      <c r="C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141"/>
      <c r="C2" s="28" t="s">
        <v>156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>
      <c r="A3" s="141"/>
      <c r="B3" s="141"/>
      <c r="C3" s="30" t="s">
        <v>1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9.5" customHeight="1">
      <c r="A5" s="141"/>
      <c r="B5" s="141"/>
      <c r="C5" s="185" t="s">
        <v>271</v>
      </c>
      <c r="D5" s="17"/>
      <c r="E5" s="17"/>
      <c r="F5" s="17"/>
      <c r="G5" s="17"/>
      <c r="H5" s="17"/>
      <c r="I5" s="17"/>
      <c r="J5" s="17"/>
      <c r="K5" s="22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4.5" customHeight="1">
      <c r="A6" s="141"/>
      <c r="B6" s="141"/>
      <c r="C6" s="143"/>
      <c r="D6" s="144"/>
      <c r="E6" s="144"/>
      <c r="F6" s="144"/>
      <c r="G6" s="144"/>
      <c r="H6" s="144"/>
      <c r="I6" s="144"/>
      <c r="J6" s="144"/>
      <c r="K6" s="145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6"/>
      <c r="D7" s="147"/>
      <c r="E7" s="147"/>
      <c r="F7" s="147"/>
      <c r="G7" s="147"/>
      <c r="H7" s="147"/>
      <c r="I7" s="147"/>
      <c r="J7" s="147"/>
      <c r="K7" s="148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12.75" customHeight="1">
      <c r="A8" s="141"/>
      <c r="B8" s="141"/>
      <c r="C8" s="149" t="s">
        <v>210</v>
      </c>
      <c r="D8" s="144"/>
      <c r="E8" s="144"/>
      <c r="F8" s="144"/>
      <c r="G8" s="144"/>
      <c r="H8" s="144"/>
      <c r="I8" s="144"/>
      <c r="J8" s="144"/>
      <c r="K8" s="145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6"/>
      <c r="D9" s="147"/>
      <c r="E9" s="147"/>
      <c r="F9" s="147"/>
      <c r="G9" s="147"/>
      <c r="H9" s="147"/>
      <c r="I9" s="147"/>
      <c r="J9" s="147"/>
      <c r="K9" s="148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9.5" customHeight="1">
      <c r="A10" s="141"/>
      <c r="B10" s="141"/>
      <c r="C10" s="150" t="s">
        <v>211</v>
      </c>
      <c r="D10" s="150" t="s">
        <v>212</v>
      </c>
      <c r="E10" s="151" t="s">
        <v>215</v>
      </c>
      <c r="F10" s="22"/>
      <c r="G10" s="150" t="s">
        <v>214</v>
      </c>
      <c r="H10" s="151" t="s">
        <v>237</v>
      </c>
      <c r="I10" s="22"/>
      <c r="J10" s="152" t="s">
        <v>216</v>
      </c>
      <c r="K10" s="22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3.5" customHeight="1">
      <c r="A11" s="141"/>
      <c r="B11" s="141"/>
      <c r="C11" s="153" t="s">
        <v>220</v>
      </c>
      <c r="D11" s="154" t="s">
        <v>225</v>
      </c>
      <c r="E11" s="155" t="s">
        <v>25</v>
      </c>
      <c r="F11" s="155" t="s">
        <v>39</v>
      </c>
      <c r="G11" s="156" t="s">
        <v>214</v>
      </c>
      <c r="H11" s="155" t="s">
        <v>28</v>
      </c>
      <c r="I11" s="155" t="s">
        <v>35</v>
      </c>
      <c r="J11" s="155">
        <v>11.0</v>
      </c>
      <c r="K11" s="155">
        <v>7.0</v>
      </c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125"/>
      <c r="D12" s="125"/>
      <c r="E12" s="125"/>
      <c r="F12" s="125"/>
      <c r="G12" s="125"/>
      <c r="H12" s="125"/>
      <c r="I12" s="125"/>
      <c r="J12" s="125"/>
      <c r="K12" s="125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4.5" customHeight="1">
      <c r="A13" s="141"/>
      <c r="B13" s="141"/>
      <c r="C13" s="161"/>
      <c r="D13" s="17"/>
      <c r="E13" s="17"/>
      <c r="F13" s="17"/>
      <c r="G13" s="17"/>
      <c r="H13" s="17"/>
      <c r="I13" s="17"/>
      <c r="J13" s="17"/>
      <c r="K13" s="22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75" customHeight="1">
      <c r="A14" s="141"/>
      <c r="B14" s="141"/>
      <c r="C14" s="153" t="s">
        <v>222</v>
      </c>
      <c r="D14" s="154" t="s">
        <v>228</v>
      </c>
      <c r="E14" s="155" t="s">
        <v>67</v>
      </c>
      <c r="F14" s="155" t="s">
        <v>81</v>
      </c>
      <c r="G14" s="156" t="s">
        <v>214</v>
      </c>
      <c r="H14" s="155" t="s">
        <v>70</v>
      </c>
      <c r="I14" s="155" t="s">
        <v>77</v>
      </c>
      <c r="J14" s="155">
        <v>7.0</v>
      </c>
      <c r="K14" s="155">
        <v>11.0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12.75" customHeight="1">
      <c r="A15" s="141"/>
      <c r="B15" s="141"/>
      <c r="C15" s="125"/>
      <c r="D15" s="125"/>
      <c r="E15" s="125"/>
      <c r="F15" s="125"/>
      <c r="G15" s="125"/>
      <c r="H15" s="125"/>
      <c r="I15" s="125"/>
      <c r="J15" s="125"/>
      <c r="K15" s="125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4.5" customHeight="1">
      <c r="A16" s="141"/>
      <c r="B16" s="141"/>
      <c r="C16" s="161"/>
      <c r="D16" s="17"/>
      <c r="E16" s="17"/>
      <c r="F16" s="17"/>
      <c r="G16" s="17"/>
      <c r="H16" s="17"/>
      <c r="I16" s="17"/>
      <c r="J16" s="17"/>
      <c r="K16" s="22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75" customHeight="1">
      <c r="A17" s="141"/>
      <c r="B17" s="141"/>
      <c r="C17" s="196" t="s">
        <v>272</v>
      </c>
      <c r="D17" s="154" t="s">
        <v>223</v>
      </c>
      <c r="E17" s="155" t="s">
        <v>11</v>
      </c>
      <c r="F17" s="155" t="s">
        <v>129</v>
      </c>
      <c r="G17" s="156" t="s">
        <v>214</v>
      </c>
      <c r="H17" s="155" t="s">
        <v>14</v>
      </c>
      <c r="I17" s="155" t="s">
        <v>132</v>
      </c>
      <c r="J17" s="155">
        <v>11.0</v>
      </c>
      <c r="K17" s="155">
        <v>7.0</v>
      </c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12.75" customHeight="1">
      <c r="A18" s="141"/>
      <c r="B18" s="141"/>
      <c r="C18" s="125"/>
      <c r="D18" s="125"/>
      <c r="E18" s="125"/>
      <c r="F18" s="125"/>
      <c r="G18" s="125"/>
      <c r="H18" s="125"/>
      <c r="I18" s="125"/>
      <c r="J18" s="125"/>
      <c r="K18" s="125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4.5" customHeight="1">
      <c r="A19" s="141"/>
      <c r="B19" s="141"/>
      <c r="C19" s="161"/>
      <c r="D19" s="17"/>
      <c r="E19" s="17"/>
      <c r="F19" s="17"/>
      <c r="G19" s="17"/>
      <c r="H19" s="17"/>
      <c r="I19" s="17"/>
      <c r="J19" s="17"/>
      <c r="K19" s="22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4.5" customHeight="1">
      <c r="A20" s="141"/>
      <c r="B20" s="141"/>
      <c r="C20" s="161"/>
      <c r="D20" s="17"/>
      <c r="E20" s="17"/>
      <c r="F20" s="17"/>
      <c r="G20" s="17"/>
      <c r="H20" s="17"/>
      <c r="I20" s="17"/>
      <c r="J20" s="17"/>
      <c r="K20" s="22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12.75" customHeight="1">
      <c r="A21" s="141"/>
      <c r="B21" s="141"/>
      <c r="C21" s="162" t="s">
        <v>273</v>
      </c>
      <c r="D21" s="17"/>
      <c r="E21" s="17"/>
      <c r="F21" s="17"/>
      <c r="G21" s="17"/>
      <c r="H21" s="17"/>
      <c r="I21" s="22"/>
      <c r="J21" s="164">
        <f t="shared" ref="J21:K21" si="1">SUM(J11:J19)</f>
        <v>29</v>
      </c>
      <c r="K21" s="164">
        <f t="shared" si="1"/>
        <v>25</v>
      </c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4.5" customHeight="1">
      <c r="A22" s="141"/>
      <c r="B22" s="141"/>
      <c r="C22" s="161"/>
      <c r="D22" s="17"/>
      <c r="E22" s="17"/>
      <c r="F22" s="17"/>
      <c r="G22" s="17"/>
      <c r="H22" s="17"/>
      <c r="I22" s="17"/>
      <c r="J22" s="17"/>
      <c r="K22" s="22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75" customHeight="1">
      <c r="A23" s="141"/>
      <c r="B23" s="141"/>
      <c r="C23" s="172"/>
      <c r="D23" s="17"/>
      <c r="E23" s="17"/>
      <c r="F23" s="17"/>
      <c r="G23" s="17"/>
      <c r="H23" s="17"/>
      <c r="I23" s="17"/>
      <c r="J23" s="17"/>
      <c r="K23" s="22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12.75" customHeight="1">
      <c r="A24" s="141"/>
      <c r="B24" s="141"/>
      <c r="C24" s="153" t="s">
        <v>217</v>
      </c>
      <c r="D24" s="193" t="s">
        <v>227</v>
      </c>
      <c r="E24" s="165" t="s">
        <v>146</v>
      </c>
      <c r="F24" s="165" t="s">
        <v>152</v>
      </c>
      <c r="G24" s="156" t="s">
        <v>214</v>
      </c>
      <c r="H24" s="165" t="s">
        <v>143</v>
      </c>
      <c r="I24" s="165" t="s">
        <v>155</v>
      </c>
      <c r="J24" s="155">
        <v>5.0</v>
      </c>
      <c r="K24" s="155">
        <v>14.0</v>
      </c>
      <c r="L24" s="141"/>
      <c r="M24" s="141"/>
      <c r="N24" s="141"/>
      <c r="O24" s="141" t="s">
        <v>239</v>
      </c>
      <c r="P24" s="141"/>
      <c r="Q24" s="141"/>
      <c r="R24" s="141"/>
      <c r="S24" s="141"/>
      <c r="T24" s="141"/>
      <c r="U24" s="141"/>
      <c r="V24" s="141"/>
      <c r="W24" s="141"/>
      <c r="X24" s="141"/>
    </row>
    <row r="25" ht="12.75" customHeight="1">
      <c r="A25" s="141"/>
      <c r="B25" s="141"/>
      <c r="C25" s="125"/>
      <c r="D25" s="125"/>
      <c r="E25" s="125"/>
      <c r="F25" s="125"/>
      <c r="G25" s="125"/>
      <c r="H25" s="125"/>
      <c r="I25" s="125"/>
      <c r="J25" s="125"/>
      <c r="K25" s="125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4.5" customHeight="1">
      <c r="A26" s="141"/>
      <c r="B26" s="141"/>
      <c r="C26" s="161"/>
      <c r="D26" s="17"/>
      <c r="E26" s="17"/>
      <c r="F26" s="17"/>
      <c r="G26" s="17"/>
      <c r="H26" s="17"/>
      <c r="I26" s="17"/>
      <c r="J26" s="17"/>
      <c r="K26" s="22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68"/>
      <c r="B27" s="141"/>
      <c r="C27" s="169" t="s">
        <v>217</v>
      </c>
      <c r="D27" s="154" t="s">
        <v>221</v>
      </c>
      <c r="E27" s="165" t="s">
        <v>109</v>
      </c>
      <c r="F27" s="165" t="s">
        <v>115</v>
      </c>
      <c r="G27" s="156" t="s">
        <v>214</v>
      </c>
      <c r="H27" s="165" t="s">
        <v>112</v>
      </c>
      <c r="I27" s="165" t="s">
        <v>122</v>
      </c>
      <c r="J27" s="155">
        <v>7.0</v>
      </c>
      <c r="K27" s="155">
        <v>11.0</v>
      </c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75" customHeight="1">
      <c r="A28" s="168"/>
      <c r="B28" s="141"/>
      <c r="C28" s="125"/>
      <c r="D28" s="125"/>
      <c r="E28" s="125"/>
      <c r="F28" s="125"/>
      <c r="G28" s="125"/>
      <c r="H28" s="125"/>
      <c r="I28" s="125"/>
      <c r="J28" s="125"/>
      <c r="K28" s="125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4.5" customHeight="1">
      <c r="A29" s="141"/>
      <c r="B29" s="141"/>
      <c r="C29" s="161"/>
      <c r="D29" s="17"/>
      <c r="E29" s="17"/>
      <c r="F29" s="17"/>
      <c r="G29" s="17"/>
      <c r="H29" s="17"/>
      <c r="I29" s="17"/>
      <c r="J29" s="17"/>
      <c r="K29" s="22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12.75" customHeight="1">
      <c r="A30" s="141"/>
      <c r="B30" s="141"/>
      <c r="C30" s="169" t="s">
        <v>220</v>
      </c>
      <c r="D30" s="154" t="s">
        <v>226</v>
      </c>
      <c r="E30" s="165" t="s">
        <v>46</v>
      </c>
      <c r="F30" s="165" t="s">
        <v>53</v>
      </c>
      <c r="G30" s="156" t="s">
        <v>214</v>
      </c>
      <c r="H30" s="165" t="s">
        <v>49</v>
      </c>
      <c r="I30" s="165" t="s">
        <v>63</v>
      </c>
      <c r="J30" s="155">
        <v>10.0</v>
      </c>
      <c r="K30" s="155">
        <v>8.0</v>
      </c>
      <c r="L30" s="141"/>
      <c r="M30" s="141"/>
      <c r="N30" s="141"/>
      <c r="O30" s="141" t="s">
        <v>239</v>
      </c>
      <c r="P30" s="141"/>
      <c r="Q30" s="141"/>
      <c r="R30" s="141"/>
      <c r="S30" s="141"/>
      <c r="T30" s="141"/>
      <c r="U30" s="141"/>
      <c r="V30" s="141"/>
      <c r="W30" s="141"/>
      <c r="X30" s="141"/>
    </row>
    <row r="31" ht="12.75" customHeight="1">
      <c r="A31" s="141"/>
      <c r="B31" s="141"/>
      <c r="C31" s="125"/>
      <c r="D31" s="125"/>
      <c r="E31" s="125"/>
      <c r="F31" s="125"/>
      <c r="G31" s="125"/>
      <c r="H31" s="125"/>
      <c r="I31" s="125"/>
      <c r="J31" s="125"/>
      <c r="K31" s="125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4.5" customHeight="1">
      <c r="A32" s="141"/>
      <c r="B32" s="141"/>
      <c r="C32" s="161"/>
      <c r="D32" s="17"/>
      <c r="E32" s="17"/>
      <c r="F32" s="17"/>
      <c r="G32" s="17"/>
      <c r="H32" s="17"/>
      <c r="I32" s="17"/>
      <c r="J32" s="17"/>
      <c r="K32" s="22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69" t="s">
        <v>220</v>
      </c>
      <c r="D33" s="171" t="s">
        <v>218</v>
      </c>
      <c r="E33" s="155" t="s">
        <v>95</v>
      </c>
      <c r="F33" s="155" t="s">
        <v>102</v>
      </c>
      <c r="G33" s="156" t="s">
        <v>214</v>
      </c>
      <c r="H33" s="155" t="s">
        <v>98</v>
      </c>
      <c r="I33" s="155" t="s">
        <v>105</v>
      </c>
      <c r="J33" s="155">
        <v>5.0</v>
      </c>
      <c r="K33" s="155">
        <v>13.0</v>
      </c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125"/>
      <c r="D34" s="125"/>
      <c r="E34" s="125"/>
      <c r="F34" s="125"/>
      <c r="G34" s="125"/>
      <c r="H34" s="125"/>
      <c r="I34" s="125"/>
      <c r="J34" s="125"/>
      <c r="K34" s="125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4.5" customHeight="1">
      <c r="A35" s="141"/>
      <c r="B35" s="141"/>
      <c r="C35" s="161"/>
      <c r="D35" s="17"/>
      <c r="E35" s="17"/>
      <c r="F35" s="17"/>
      <c r="G35" s="17"/>
      <c r="H35" s="17"/>
      <c r="I35" s="17"/>
      <c r="J35" s="17"/>
      <c r="K35" s="22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12.75" customHeight="1">
      <c r="A36" s="141"/>
      <c r="B36" s="141"/>
      <c r="C36" s="162" t="s">
        <v>274</v>
      </c>
      <c r="D36" s="17"/>
      <c r="E36" s="17"/>
      <c r="F36" s="17"/>
      <c r="G36" s="17"/>
      <c r="H36" s="17"/>
      <c r="I36" s="22"/>
      <c r="J36" s="164">
        <f t="shared" ref="J36:K36" si="2">SUM(J24:J34)</f>
        <v>27</v>
      </c>
      <c r="K36" s="164">
        <f t="shared" si="2"/>
        <v>46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4.5" customHeight="1">
      <c r="A37" s="141"/>
      <c r="B37" s="141"/>
      <c r="C37" s="161"/>
      <c r="D37" s="17"/>
      <c r="E37" s="17"/>
      <c r="F37" s="17"/>
      <c r="G37" s="17"/>
      <c r="H37" s="17"/>
      <c r="I37" s="17"/>
      <c r="J37" s="17"/>
      <c r="K37" s="22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12.75" customHeight="1">
      <c r="A38" s="141"/>
      <c r="B38" s="141"/>
      <c r="C38" s="172" t="s">
        <v>275</v>
      </c>
      <c r="D38" s="17"/>
      <c r="E38" s="17"/>
      <c r="F38" s="17"/>
      <c r="G38" s="17"/>
      <c r="H38" s="17"/>
      <c r="I38" s="22"/>
      <c r="J38" s="188">
        <f t="shared" ref="J38:K38" si="3">J36+J21</f>
        <v>56</v>
      </c>
      <c r="K38" s="188">
        <f t="shared" si="3"/>
        <v>71</v>
      </c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6.75" customHeight="1">
      <c r="A39" s="141"/>
      <c r="B39" s="141"/>
      <c r="C39" s="161"/>
      <c r="D39" s="17"/>
      <c r="E39" s="17"/>
      <c r="F39" s="17"/>
      <c r="G39" s="17"/>
      <c r="H39" s="17"/>
      <c r="I39" s="17"/>
      <c r="J39" s="17"/>
      <c r="K39" s="22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7.5" customHeight="1">
      <c r="A40" s="141"/>
      <c r="B40" s="141"/>
      <c r="C40" s="149" t="s">
        <v>231</v>
      </c>
      <c r="D40" s="144"/>
      <c r="E40" s="144"/>
      <c r="F40" s="144"/>
      <c r="G40" s="144"/>
      <c r="H40" s="144"/>
      <c r="I40" s="144"/>
      <c r="J40" s="144"/>
      <c r="K40" s="145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12.75" customHeight="1">
      <c r="A41" s="141"/>
      <c r="B41" s="141"/>
      <c r="C41" s="146"/>
      <c r="D41" s="147"/>
      <c r="E41" s="147"/>
      <c r="F41" s="147"/>
      <c r="G41" s="147"/>
      <c r="H41" s="147"/>
      <c r="I41" s="147"/>
      <c r="J41" s="147"/>
      <c r="K41" s="148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26.25" customHeight="1">
      <c r="A42" s="141"/>
      <c r="B42" s="141"/>
      <c r="C42" s="150" t="s">
        <v>211</v>
      </c>
      <c r="D42" s="150" t="s">
        <v>212</v>
      </c>
      <c r="E42" s="151" t="s">
        <v>236</v>
      </c>
      <c r="F42" s="22"/>
      <c r="G42" s="150" t="s">
        <v>214</v>
      </c>
      <c r="H42" s="151" t="s">
        <v>251</v>
      </c>
      <c r="I42" s="22"/>
      <c r="J42" s="152" t="s">
        <v>216</v>
      </c>
      <c r="K42" s="22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86"/>
      <c r="D43" s="17"/>
      <c r="E43" s="17"/>
      <c r="F43" s="17"/>
      <c r="G43" s="17"/>
      <c r="H43" s="17"/>
      <c r="I43" s="17"/>
      <c r="J43" s="17"/>
      <c r="K43" s="22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12.75" customHeight="1">
      <c r="A44" s="141"/>
      <c r="B44" s="141"/>
      <c r="C44" s="153" t="s">
        <v>217</v>
      </c>
      <c r="D44" s="154" t="s">
        <v>223</v>
      </c>
      <c r="E44" s="165" t="s">
        <v>125</v>
      </c>
      <c r="F44" s="165" t="s">
        <v>130</v>
      </c>
      <c r="G44" s="156" t="s">
        <v>214</v>
      </c>
      <c r="H44" s="165" t="s">
        <v>126</v>
      </c>
      <c r="I44" s="165" t="s">
        <v>131</v>
      </c>
      <c r="J44" s="155">
        <v>1.0</v>
      </c>
      <c r="K44" s="155">
        <v>17.0</v>
      </c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25"/>
      <c r="D45" s="125"/>
      <c r="E45" s="125"/>
      <c r="F45" s="125"/>
      <c r="G45" s="125"/>
      <c r="H45" s="125"/>
      <c r="I45" s="125"/>
      <c r="J45" s="125"/>
      <c r="K45" s="125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4.5" customHeight="1">
      <c r="A46" s="141"/>
      <c r="B46" s="141"/>
      <c r="C46" s="161"/>
      <c r="D46" s="17"/>
      <c r="E46" s="17"/>
      <c r="F46" s="17"/>
      <c r="G46" s="17"/>
      <c r="H46" s="17"/>
      <c r="I46" s="17"/>
      <c r="J46" s="17"/>
      <c r="K46" s="22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53" t="s">
        <v>220</v>
      </c>
      <c r="D47" s="154" t="s">
        <v>228</v>
      </c>
      <c r="E47" s="165" t="s">
        <v>68</v>
      </c>
      <c r="F47" s="165" t="s">
        <v>82</v>
      </c>
      <c r="G47" s="156" t="s">
        <v>214</v>
      </c>
      <c r="H47" s="165" t="s">
        <v>76</v>
      </c>
      <c r="I47" s="198" t="s">
        <v>83</v>
      </c>
      <c r="J47" s="155">
        <v>11.0</v>
      </c>
      <c r="K47" s="155">
        <v>7.0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25"/>
      <c r="D48" s="125"/>
      <c r="E48" s="125"/>
      <c r="F48" s="125"/>
      <c r="G48" s="125"/>
      <c r="H48" s="125"/>
      <c r="I48" s="125"/>
      <c r="J48" s="125"/>
      <c r="K48" s="125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4.5" customHeight="1">
      <c r="A49" s="141"/>
      <c r="B49" s="141"/>
      <c r="C49" s="161"/>
      <c r="D49" s="17"/>
      <c r="E49" s="17"/>
      <c r="F49" s="17"/>
      <c r="G49" s="17"/>
      <c r="H49" s="17"/>
      <c r="I49" s="17"/>
      <c r="J49" s="17"/>
      <c r="K49" s="22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53" t="s">
        <v>222</v>
      </c>
      <c r="D50" s="154" t="s">
        <v>218</v>
      </c>
      <c r="E50" s="165" t="s">
        <v>89</v>
      </c>
      <c r="F50" s="165" t="s">
        <v>103</v>
      </c>
      <c r="G50" s="156" t="s">
        <v>214</v>
      </c>
      <c r="H50" s="165" t="s">
        <v>90</v>
      </c>
      <c r="I50" s="165" t="s">
        <v>97</v>
      </c>
      <c r="J50" s="155">
        <v>10.0</v>
      </c>
      <c r="K50" s="155">
        <v>8.0</v>
      </c>
      <c r="L50" s="141"/>
      <c r="M50" s="141" t="s">
        <v>239</v>
      </c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25"/>
      <c r="D51" s="125"/>
      <c r="E51" s="125"/>
      <c r="F51" s="125"/>
      <c r="G51" s="125"/>
      <c r="H51" s="125"/>
      <c r="I51" s="125"/>
      <c r="J51" s="125"/>
      <c r="K51" s="125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4.5" customHeight="1">
      <c r="A52" s="141"/>
      <c r="B52" s="141"/>
      <c r="C52" s="161"/>
      <c r="D52" s="17"/>
      <c r="E52" s="17"/>
      <c r="F52" s="17"/>
      <c r="G52" s="17"/>
      <c r="H52" s="17"/>
      <c r="I52" s="17"/>
      <c r="J52" s="17"/>
      <c r="K52" s="22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12.75" customHeight="1">
      <c r="A53" s="141"/>
      <c r="B53" s="141"/>
      <c r="C53" s="169" t="s">
        <v>222</v>
      </c>
      <c r="D53" s="171" t="s">
        <v>226</v>
      </c>
      <c r="E53" s="165" t="s">
        <v>47</v>
      </c>
      <c r="F53" s="165" t="s">
        <v>61</v>
      </c>
      <c r="G53" s="156" t="s">
        <v>214</v>
      </c>
      <c r="H53" s="165" t="s">
        <v>48</v>
      </c>
      <c r="I53" s="165" t="s">
        <v>276</v>
      </c>
      <c r="J53" s="199">
        <v>9.0</v>
      </c>
      <c r="K53" s="199">
        <v>9.0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25"/>
      <c r="D54" s="125"/>
      <c r="E54" s="125"/>
      <c r="F54" s="125"/>
      <c r="G54" s="125"/>
      <c r="H54" s="125"/>
      <c r="I54" s="125"/>
      <c r="J54" s="125"/>
      <c r="K54" s="125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4.5" customHeight="1">
      <c r="A55" s="141"/>
      <c r="B55" s="141"/>
      <c r="C55" s="161"/>
      <c r="D55" s="17"/>
      <c r="E55" s="17"/>
      <c r="F55" s="17"/>
      <c r="G55" s="17"/>
      <c r="H55" s="17"/>
      <c r="I55" s="17"/>
      <c r="J55" s="17"/>
      <c r="K55" s="22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62" t="s">
        <v>273</v>
      </c>
      <c r="D56" s="17"/>
      <c r="E56" s="17"/>
      <c r="F56" s="17"/>
      <c r="G56" s="17"/>
      <c r="H56" s="17"/>
      <c r="I56" s="22"/>
      <c r="J56" s="164">
        <f t="shared" ref="J56:K56" si="4">SUM(J44:J54)</f>
        <v>31</v>
      </c>
      <c r="K56" s="164">
        <f t="shared" si="4"/>
        <v>41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4.5" customHeight="1">
      <c r="A57" s="141"/>
      <c r="B57" s="141"/>
      <c r="C57" s="161"/>
      <c r="D57" s="17"/>
      <c r="E57" s="17"/>
      <c r="F57" s="17"/>
      <c r="G57" s="17"/>
      <c r="H57" s="17"/>
      <c r="I57" s="17"/>
      <c r="J57" s="17"/>
      <c r="K57" s="22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12.75" customHeight="1">
      <c r="A58" s="141"/>
      <c r="B58" s="141"/>
      <c r="C58" s="153" t="s">
        <v>217</v>
      </c>
      <c r="D58" s="154" t="s">
        <v>227</v>
      </c>
      <c r="E58" s="165" t="s">
        <v>147</v>
      </c>
      <c r="F58" s="165" t="s">
        <v>153</v>
      </c>
      <c r="G58" s="156" t="s">
        <v>214</v>
      </c>
      <c r="H58" s="165" t="s">
        <v>142</v>
      </c>
      <c r="I58" s="165" t="s">
        <v>184</v>
      </c>
      <c r="J58" s="155">
        <v>6.0</v>
      </c>
      <c r="K58" s="155">
        <v>13.0</v>
      </c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25"/>
      <c r="D59" s="125"/>
      <c r="E59" s="125"/>
      <c r="F59" s="125"/>
      <c r="G59" s="125"/>
      <c r="H59" s="125"/>
      <c r="I59" s="125"/>
      <c r="J59" s="125"/>
      <c r="K59" s="125"/>
      <c r="L59" s="141"/>
      <c r="M59" s="141" t="s">
        <v>239</v>
      </c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4.5" customHeight="1">
      <c r="A60" s="141"/>
      <c r="B60" s="141"/>
      <c r="C60" s="161"/>
      <c r="D60" s="17"/>
      <c r="E60" s="17"/>
      <c r="F60" s="17"/>
      <c r="G60" s="17"/>
      <c r="H60" s="17"/>
      <c r="I60" s="17"/>
      <c r="J60" s="17"/>
      <c r="K60" s="22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12.75" customHeight="1">
      <c r="A61" s="141"/>
      <c r="B61" s="141"/>
      <c r="C61" s="153" t="s">
        <v>220</v>
      </c>
      <c r="D61" s="154" t="s">
        <v>221</v>
      </c>
      <c r="E61" s="165" t="s">
        <v>116</v>
      </c>
      <c r="F61" s="165" t="s">
        <v>12</v>
      </c>
      <c r="G61" s="156" t="s">
        <v>214</v>
      </c>
      <c r="H61" s="165" t="s">
        <v>111</v>
      </c>
      <c r="I61" s="165" t="s">
        <v>121</v>
      </c>
      <c r="J61" s="155">
        <v>7.0</v>
      </c>
      <c r="K61" s="155">
        <v>11.0</v>
      </c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25"/>
      <c r="D62" s="125"/>
      <c r="E62" s="125"/>
      <c r="F62" s="125"/>
      <c r="G62" s="125"/>
      <c r="H62" s="125"/>
      <c r="I62" s="125"/>
      <c r="J62" s="125"/>
      <c r="K62" s="125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4.5" customHeight="1">
      <c r="A63" s="141"/>
      <c r="B63" s="141"/>
      <c r="C63" s="161"/>
      <c r="D63" s="17"/>
      <c r="E63" s="17"/>
      <c r="F63" s="17"/>
      <c r="G63" s="17"/>
      <c r="H63" s="17"/>
      <c r="I63" s="17"/>
      <c r="J63" s="17"/>
      <c r="K63" s="22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12.75" customHeight="1">
      <c r="A64" s="141"/>
      <c r="B64" s="141"/>
      <c r="C64" s="153" t="s">
        <v>222</v>
      </c>
      <c r="D64" s="154" t="s">
        <v>225</v>
      </c>
      <c r="E64" s="165" t="s">
        <v>26</v>
      </c>
      <c r="F64" s="165" t="s">
        <v>40</v>
      </c>
      <c r="G64" s="156" t="s">
        <v>214</v>
      </c>
      <c r="H64" s="165" t="s">
        <v>27</v>
      </c>
      <c r="I64" s="165" t="s">
        <v>41</v>
      </c>
      <c r="J64" s="155">
        <v>12.0</v>
      </c>
      <c r="K64" s="155">
        <v>6.0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25"/>
      <c r="D65" s="125"/>
      <c r="E65" s="125"/>
      <c r="F65" s="125"/>
      <c r="G65" s="125"/>
      <c r="H65" s="125"/>
      <c r="I65" s="125"/>
      <c r="J65" s="125"/>
      <c r="K65" s="125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4.5" customHeight="1">
      <c r="A66" s="141"/>
      <c r="B66" s="141"/>
      <c r="C66" s="161"/>
      <c r="D66" s="17"/>
      <c r="E66" s="17"/>
      <c r="F66" s="17"/>
      <c r="G66" s="17"/>
      <c r="H66" s="17"/>
      <c r="I66" s="17"/>
      <c r="J66" s="17"/>
      <c r="K66" s="22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4.5" customHeight="1">
      <c r="A67" s="141"/>
      <c r="B67" s="141"/>
      <c r="C67" s="161"/>
      <c r="D67" s="17"/>
      <c r="E67" s="17"/>
      <c r="F67" s="17"/>
      <c r="G67" s="17"/>
      <c r="H67" s="17"/>
      <c r="I67" s="17"/>
      <c r="J67" s="17"/>
      <c r="K67" s="22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62" t="s">
        <v>274</v>
      </c>
      <c r="D68" s="17"/>
      <c r="E68" s="17"/>
      <c r="F68" s="17"/>
      <c r="G68" s="17"/>
      <c r="H68" s="17"/>
      <c r="I68" s="22"/>
      <c r="J68" s="164">
        <f t="shared" ref="J68:K68" si="5">SUM(J58:J66)</f>
        <v>25</v>
      </c>
      <c r="K68" s="164">
        <f t="shared" si="5"/>
        <v>30</v>
      </c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4.5" customHeight="1">
      <c r="A69" s="141"/>
      <c r="B69" s="141"/>
      <c r="C69" s="161"/>
      <c r="D69" s="17"/>
      <c r="E69" s="17"/>
      <c r="F69" s="17"/>
      <c r="G69" s="17"/>
      <c r="H69" s="17"/>
      <c r="I69" s="17"/>
      <c r="J69" s="17"/>
      <c r="K69" s="22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12.75" customHeight="1">
      <c r="A70" s="141"/>
      <c r="B70" s="141"/>
      <c r="C70" s="172" t="s">
        <v>275</v>
      </c>
      <c r="D70" s="17"/>
      <c r="E70" s="17"/>
      <c r="F70" s="17"/>
      <c r="G70" s="17"/>
      <c r="H70" s="17"/>
      <c r="I70" s="22"/>
      <c r="J70" s="188">
        <f t="shared" ref="J70:K70" si="6">J68+J56</f>
        <v>56</v>
      </c>
      <c r="K70" s="188">
        <f t="shared" si="6"/>
        <v>71</v>
      </c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6.75" customHeight="1">
      <c r="A71" s="141"/>
      <c r="B71" s="141"/>
      <c r="C71" s="161"/>
      <c r="D71" s="17"/>
      <c r="E71" s="17"/>
      <c r="F71" s="17"/>
      <c r="G71" s="17"/>
      <c r="H71" s="17"/>
      <c r="I71" s="17"/>
      <c r="J71" s="17"/>
      <c r="K71" s="22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12.75" customHeight="1">
      <c r="A72" s="141"/>
      <c r="B72" s="141"/>
      <c r="C72" s="149" t="s">
        <v>235</v>
      </c>
      <c r="D72" s="144"/>
      <c r="E72" s="144"/>
      <c r="F72" s="144"/>
      <c r="G72" s="144"/>
      <c r="H72" s="144"/>
      <c r="I72" s="144"/>
      <c r="J72" s="144"/>
      <c r="K72" s="145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46"/>
      <c r="D73" s="147"/>
      <c r="E73" s="147"/>
      <c r="F73" s="147"/>
      <c r="G73" s="147"/>
      <c r="H73" s="147"/>
      <c r="I73" s="147"/>
      <c r="J73" s="147"/>
      <c r="K73" s="148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25.5" customHeight="1">
      <c r="A74" s="141"/>
      <c r="B74" s="141"/>
      <c r="C74" s="184" t="s">
        <v>211</v>
      </c>
      <c r="D74" s="150" t="s">
        <v>212</v>
      </c>
      <c r="E74" s="151" t="s">
        <v>213</v>
      </c>
      <c r="F74" s="22"/>
      <c r="G74" s="150" t="s">
        <v>214</v>
      </c>
      <c r="H74" s="151" t="s">
        <v>241</v>
      </c>
      <c r="I74" s="22"/>
      <c r="J74" s="152" t="s">
        <v>216</v>
      </c>
      <c r="K74" s="22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12.75" customHeight="1">
      <c r="A75" s="141"/>
      <c r="B75" s="141"/>
      <c r="C75" s="186"/>
      <c r="D75" s="17"/>
      <c r="E75" s="17"/>
      <c r="F75" s="17"/>
      <c r="G75" s="17"/>
      <c r="H75" s="17"/>
      <c r="I75" s="17"/>
      <c r="J75" s="17"/>
      <c r="K75" s="22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53" t="s">
        <v>217</v>
      </c>
      <c r="D76" s="154" t="s">
        <v>218</v>
      </c>
      <c r="E76" s="165" t="s">
        <v>86</v>
      </c>
      <c r="F76" s="165" t="s">
        <v>100</v>
      </c>
      <c r="G76" s="156" t="s">
        <v>214</v>
      </c>
      <c r="H76" s="165" t="s">
        <v>87</v>
      </c>
      <c r="I76" s="165" t="s">
        <v>277</v>
      </c>
      <c r="J76" s="155">
        <v>11.0</v>
      </c>
      <c r="K76" s="155">
        <v>7.0</v>
      </c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25"/>
      <c r="D77" s="125"/>
      <c r="E77" s="125"/>
      <c r="F77" s="125"/>
      <c r="G77" s="125"/>
      <c r="H77" s="125"/>
      <c r="I77" s="125"/>
      <c r="J77" s="125"/>
      <c r="K77" s="125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4.5" customHeight="1">
      <c r="A78" s="141"/>
      <c r="B78" s="141"/>
      <c r="C78" s="161"/>
      <c r="D78" s="17"/>
      <c r="E78" s="17"/>
      <c r="F78" s="17"/>
      <c r="G78" s="17"/>
      <c r="H78" s="17"/>
      <c r="I78" s="17"/>
      <c r="J78" s="17"/>
      <c r="K78" s="22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53" t="s">
        <v>217</v>
      </c>
      <c r="D79" s="154" t="s">
        <v>227</v>
      </c>
      <c r="E79" s="165" t="s">
        <v>139</v>
      </c>
      <c r="F79" s="165" t="s">
        <v>150</v>
      </c>
      <c r="G79" s="156" t="s">
        <v>214</v>
      </c>
      <c r="H79" s="165" t="s">
        <v>10</v>
      </c>
      <c r="I79" s="165" t="s">
        <v>145</v>
      </c>
      <c r="J79" s="155">
        <v>9.0</v>
      </c>
      <c r="K79" s="155">
        <v>10.0</v>
      </c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25"/>
      <c r="D80" s="125"/>
      <c r="E80" s="125"/>
      <c r="F80" s="125"/>
      <c r="G80" s="125"/>
      <c r="H80" s="125"/>
      <c r="I80" s="125"/>
      <c r="J80" s="125"/>
      <c r="K80" s="125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4.5" customHeight="1">
      <c r="A81" s="141"/>
      <c r="B81" s="141"/>
      <c r="C81" s="161"/>
      <c r="D81" s="17"/>
      <c r="E81" s="17"/>
      <c r="F81" s="17"/>
      <c r="G81" s="17"/>
      <c r="H81" s="17"/>
      <c r="I81" s="17"/>
      <c r="J81" s="17"/>
      <c r="K81" s="22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53" t="s">
        <v>220</v>
      </c>
      <c r="D82" s="154" t="s">
        <v>223</v>
      </c>
      <c r="E82" s="165" t="s">
        <v>123</v>
      </c>
      <c r="F82" s="165" t="s">
        <v>133</v>
      </c>
      <c r="G82" s="156" t="s">
        <v>214</v>
      </c>
      <c r="H82" s="165" t="s">
        <v>128</v>
      </c>
      <c r="I82" s="165" t="s">
        <v>278</v>
      </c>
      <c r="J82" s="155">
        <v>13.0</v>
      </c>
      <c r="K82" s="155">
        <v>5.0</v>
      </c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25"/>
      <c r="D83" s="125"/>
      <c r="E83" s="125"/>
      <c r="F83" s="125"/>
      <c r="G83" s="125"/>
      <c r="H83" s="125"/>
      <c r="I83" s="125"/>
      <c r="J83" s="125"/>
      <c r="K83" s="125"/>
      <c r="L83" s="141"/>
      <c r="M83" s="141" t="s">
        <v>239</v>
      </c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4.5" customHeight="1">
      <c r="A84" s="141"/>
      <c r="B84" s="141"/>
      <c r="C84" s="161"/>
      <c r="D84" s="17"/>
      <c r="E84" s="17"/>
      <c r="F84" s="17"/>
      <c r="G84" s="17"/>
      <c r="H84" s="17"/>
      <c r="I84" s="17"/>
      <c r="J84" s="17"/>
      <c r="K84" s="22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12.75" customHeight="1">
      <c r="A85" s="141"/>
      <c r="B85" s="141"/>
      <c r="C85" s="200" t="s">
        <v>222</v>
      </c>
      <c r="D85" s="171" t="s">
        <v>228</v>
      </c>
      <c r="E85" s="155" t="s">
        <v>65</v>
      </c>
      <c r="F85" s="155" t="s">
        <v>72</v>
      </c>
      <c r="G85" s="156" t="s">
        <v>214</v>
      </c>
      <c r="H85" s="155" t="s">
        <v>66</v>
      </c>
      <c r="I85" s="155" t="s">
        <v>73</v>
      </c>
      <c r="J85" s="155">
        <v>12.0</v>
      </c>
      <c r="K85" s="155">
        <v>6.0</v>
      </c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25"/>
      <c r="D86" s="125"/>
      <c r="E86" s="125"/>
      <c r="F86" s="125"/>
      <c r="G86" s="125"/>
      <c r="H86" s="125"/>
      <c r="I86" s="125"/>
      <c r="J86" s="125"/>
      <c r="K86" s="125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4.5" customHeight="1">
      <c r="A87" s="141"/>
      <c r="B87" s="141"/>
      <c r="C87" s="161"/>
      <c r="D87" s="17"/>
      <c r="E87" s="17"/>
      <c r="F87" s="17"/>
      <c r="G87" s="17"/>
      <c r="H87" s="17"/>
      <c r="I87" s="17"/>
      <c r="J87" s="17"/>
      <c r="K87" s="22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62" t="s">
        <v>273</v>
      </c>
      <c r="D88" s="17"/>
      <c r="E88" s="17"/>
      <c r="F88" s="17"/>
      <c r="G88" s="17"/>
      <c r="H88" s="17"/>
      <c r="I88" s="22"/>
      <c r="J88" s="164">
        <f t="shared" ref="J88:K88" si="7">SUM(J76:J86)</f>
        <v>45</v>
      </c>
      <c r="K88" s="164">
        <f t="shared" si="7"/>
        <v>28</v>
      </c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4.5" customHeight="1">
      <c r="A89" s="141"/>
      <c r="B89" s="141"/>
      <c r="C89" s="161"/>
      <c r="D89" s="17"/>
      <c r="E89" s="17"/>
      <c r="F89" s="17"/>
      <c r="G89" s="17"/>
      <c r="H89" s="17"/>
      <c r="I89" s="17"/>
      <c r="J89" s="17"/>
      <c r="K89" s="22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12.75" customHeight="1">
      <c r="A90" s="141"/>
      <c r="B90" s="141"/>
      <c r="C90" s="153" t="s">
        <v>217</v>
      </c>
      <c r="D90" s="154" t="s">
        <v>221</v>
      </c>
      <c r="E90" s="165" t="s">
        <v>113</v>
      </c>
      <c r="F90" s="165" t="s">
        <v>9</v>
      </c>
      <c r="G90" s="156" t="s">
        <v>214</v>
      </c>
      <c r="H90" s="165" t="s">
        <v>161</v>
      </c>
      <c r="I90" s="165" t="s">
        <v>119</v>
      </c>
      <c r="J90" s="155">
        <v>9.0</v>
      </c>
      <c r="K90" s="155">
        <v>9.0</v>
      </c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25"/>
      <c r="D91" s="125"/>
      <c r="E91" s="125"/>
      <c r="F91" s="125"/>
      <c r="G91" s="125"/>
      <c r="H91" s="125"/>
      <c r="I91" s="125"/>
      <c r="J91" s="125"/>
      <c r="K91" s="125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4.5" customHeight="1">
      <c r="A92" s="141"/>
      <c r="B92" s="141"/>
      <c r="C92" s="161"/>
      <c r="D92" s="17"/>
      <c r="E92" s="17"/>
      <c r="F92" s="17"/>
      <c r="G92" s="17"/>
      <c r="H92" s="17"/>
      <c r="I92" s="17"/>
      <c r="J92" s="17"/>
      <c r="K92" s="22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53" t="s">
        <v>220</v>
      </c>
      <c r="D93" s="154" t="s">
        <v>225</v>
      </c>
      <c r="E93" s="165" t="s">
        <v>23</v>
      </c>
      <c r="F93" s="165" t="s">
        <v>30</v>
      </c>
      <c r="G93" s="156" t="s">
        <v>214</v>
      </c>
      <c r="H93" s="165" t="s">
        <v>24</v>
      </c>
      <c r="I93" s="165" t="s">
        <v>38</v>
      </c>
      <c r="J93" s="155">
        <v>10.0</v>
      </c>
      <c r="K93" s="155">
        <v>8.0</v>
      </c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25"/>
      <c r="D94" s="125"/>
      <c r="E94" s="125"/>
      <c r="F94" s="125"/>
      <c r="G94" s="125"/>
      <c r="H94" s="125"/>
      <c r="I94" s="125"/>
      <c r="J94" s="125"/>
      <c r="K94" s="125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4.5" customHeight="1">
      <c r="A95" s="141"/>
      <c r="B95" s="141"/>
      <c r="C95" s="161"/>
      <c r="D95" s="17"/>
      <c r="E95" s="17"/>
      <c r="F95" s="17"/>
      <c r="G95" s="17"/>
      <c r="H95" s="17"/>
      <c r="I95" s="17"/>
      <c r="J95" s="17"/>
      <c r="K95" s="22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12.75" customHeight="1">
      <c r="A96" s="141"/>
      <c r="B96" s="141"/>
      <c r="C96" s="153" t="s">
        <v>222</v>
      </c>
      <c r="D96" s="154" t="s">
        <v>226</v>
      </c>
      <c r="E96" s="165" t="s">
        <v>44</v>
      </c>
      <c r="F96" s="165" t="s">
        <v>51</v>
      </c>
      <c r="G96" s="156" t="s">
        <v>214</v>
      </c>
      <c r="H96" s="165" t="s">
        <v>45</v>
      </c>
      <c r="I96" s="165" t="s">
        <v>59</v>
      </c>
      <c r="J96" s="155">
        <v>9.0</v>
      </c>
      <c r="K96" s="155">
        <v>9.0</v>
      </c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25"/>
      <c r="D97" s="125"/>
      <c r="E97" s="125"/>
      <c r="F97" s="125"/>
      <c r="G97" s="125"/>
      <c r="H97" s="125"/>
      <c r="I97" s="125"/>
      <c r="J97" s="125"/>
      <c r="K97" s="125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4.5" customHeight="1">
      <c r="A98" s="141"/>
      <c r="B98" s="141"/>
      <c r="C98" s="161"/>
      <c r="D98" s="17"/>
      <c r="E98" s="17"/>
      <c r="F98" s="17"/>
      <c r="G98" s="17"/>
      <c r="H98" s="17"/>
      <c r="I98" s="17"/>
      <c r="J98" s="17"/>
      <c r="K98" s="22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4.5" customHeight="1">
      <c r="A99" s="141"/>
      <c r="B99" s="141"/>
      <c r="C99" s="161"/>
      <c r="D99" s="17"/>
      <c r="E99" s="17"/>
      <c r="F99" s="17"/>
      <c r="G99" s="17"/>
      <c r="H99" s="17"/>
      <c r="I99" s="17"/>
      <c r="J99" s="17"/>
      <c r="K99" s="22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12.75" customHeight="1">
      <c r="A100" s="141"/>
      <c r="B100" s="141"/>
      <c r="C100" s="162" t="s">
        <v>279</v>
      </c>
      <c r="D100" s="17"/>
      <c r="E100" s="17"/>
      <c r="F100" s="17"/>
      <c r="G100" s="17"/>
      <c r="H100" s="17"/>
      <c r="I100" s="22"/>
      <c r="J100" s="164">
        <f t="shared" ref="J100:K100" si="8">SUM(J90:J98)</f>
        <v>28</v>
      </c>
      <c r="K100" s="164">
        <f t="shared" si="8"/>
        <v>26</v>
      </c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4.5" customHeight="1">
      <c r="A101" s="141"/>
      <c r="B101" s="141"/>
      <c r="C101" s="161"/>
      <c r="D101" s="17"/>
      <c r="E101" s="17"/>
      <c r="F101" s="17"/>
      <c r="G101" s="17"/>
      <c r="H101" s="17"/>
      <c r="I101" s="17"/>
      <c r="J101" s="17"/>
      <c r="K101" s="22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12.75" customHeight="1">
      <c r="A102" s="141"/>
      <c r="B102" s="141"/>
      <c r="C102" s="172" t="s">
        <v>275</v>
      </c>
      <c r="D102" s="17"/>
      <c r="E102" s="17"/>
      <c r="F102" s="17"/>
      <c r="G102" s="17"/>
      <c r="H102" s="17"/>
      <c r="I102" s="22"/>
      <c r="J102" s="188">
        <f t="shared" ref="J102:K102" si="9">J100+J88</f>
        <v>73</v>
      </c>
      <c r="K102" s="188">
        <f t="shared" si="9"/>
        <v>54</v>
      </c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6.75" customHeight="1">
      <c r="A103" s="141"/>
      <c r="B103" s="141"/>
      <c r="C103" s="161"/>
      <c r="D103" s="17"/>
      <c r="E103" s="17"/>
      <c r="F103" s="17"/>
      <c r="G103" s="17"/>
      <c r="H103" s="17"/>
      <c r="I103" s="17"/>
      <c r="J103" s="17"/>
      <c r="K103" s="22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 t="s">
        <v>239</v>
      </c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 t="s">
        <v>239</v>
      </c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2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</row>
    <row r="271" ht="12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</row>
    <row r="272" ht="12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</row>
    <row r="273" ht="12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</row>
    <row r="274" ht="12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</row>
    <row r="275" ht="12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</row>
    <row r="276" ht="12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</row>
    <row r="277" ht="12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</row>
    <row r="278" ht="12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</row>
    <row r="279" ht="12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</row>
    <row r="280" ht="12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</row>
    <row r="281" ht="12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</row>
    <row r="282" ht="12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</row>
    <row r="283" ht="12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</row>
    <row r="284" ht="12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</row>
    <row r="285" ht="12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</row>
    <row r="286" ht="12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</row>
    <row r="287" ht="12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</row>
    <row r="288" ht="12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</row>
    <row r="289" ht="12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</row>
    <row r="290" ht="12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</row>
    <row r="291" ht="12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</row>
    <row r="292" ht="12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</row>
    <row r="293" ht="12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</row>
    <row r="294" ht="12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</row>
    <row r="295" ht="12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</row>
    <row r="296" ht="12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</row>
    <row r="297" ht="12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</row>
    <row r="298" ht="12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</row>
    <row r="299" ht="12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</row>
    <row r="300" ht="12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</row>
    <row r="301" ht="12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</row>
    <row r="302" ht="12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</row>
    <row r="303" ht="12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</row>
    <row r="304" ht="12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</row>
    <row r="305" ht="12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</row>
    <row r="306" ht="12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</row>
    <row r="307" ht="12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</row>
    <row r="308" ht="12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</row>
    <row r="309" ht="12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</row>
    <row r="310" ht="12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</row>
    <row r="311" ht="12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</row>
    <row r="312" ht="12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</row>
    <row r="313" ht="12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</row>
    <row r="314" ht="12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</row>
    <row r="315" ht="12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</row>
    <row r="316" ht="12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</row>
    <row r="317" ht="12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</row>
    <row r="318" ht="12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</row>
    <row r="319" ht="12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</row>
    <row r="320" ht="12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</row>
    <row r="321" ht="12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</row>
    <row r="322" ht="12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</row>
    <row r="323" ht="12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</row>
    <row r="324" ht="12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</row>
    <row r="325" ht="12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</row>
    <row r="326" ht="12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</row>
    <row r="327" ht="12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</row>
    <row r="328" ht="12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</row>
    <row r="329" ht="12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</row>
    <row r="330" ht="12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</row>
    <row r="331" ht="12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</row>
    <row r="332" ht="12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</row>
    <row r="333" ht="12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</row>
    <row r="334" ht="12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</row>
    <row r="335" ht="12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</row>
    <row r="336" ht="12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</row>
    <row r="337" ht="12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</row>
    <row r="338" ht="12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250">
    <mergeCell ref="J17:J18"/>
    <mergeCell ref="K17:K18"/>
    <mergeCell ref="D17:D18"/>
    <mergeCell ref="E17:E18"/>
    <mergeCell ref="F17:F18"/>
    <mergeCell ref="G17:G18"/>
    <mergeCell ref="H17:H18"/>
    <mergeCell ref="I17:I18"/>
    <mergeCell ref="C19:K19"/>
    <mergeCell ref="C20:K20"/>
    <mergeCell ref="C21:I21"/>
    <mergeCell ref="C22:K22"/>
    <mergeCell ref="C23:K23"/>
    <mergeCell ref="C17:C18"/>
    <mergeCell ref="J24:J25"/>
    <mergeCell ref="K24:K25"/>
    <mergeCell ref="D24:D25"/>
    <mergeCell ref="E24:E25"/>
    <mergeCell ref="F24:F25"/>
    <mergeCell ref="G24:G25"/>
    <mergeCell ref="H24:H25"/>
    <mergeCell ref="I24:I25"/>
    <mergeCell ref="C26:K26"/>
    <mergeCell ref="I27:I28"/>
    <mergeCell ref="J27:J28"/>
    <mergeCell ref="K27:K28"/>
    <mergeCell ref="C29:K29"/>
    <mergeCell ref="C24:C25"/>
    <mergeCell ref="C27:C28"/>
    <mergeCell ref="D27:D28"/>
    <mergeCell ref="E27:E28"/>
    <mergeCell ref="F27:F28"/>
    <mergeCell ref="G27:G28"/>
    <mergeCell ref="H27:H28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J50:J51"/>
    <mergeCell ref="K50:K51"/>
    <mergeCell ref="D50:D51"/>
    <mergeCell ref="E50:E51"/>
    <mergeCell ref="F50:F51"/>
    <mergeCell ref="G50:G51"/>
    <mergeCell ref="H50:H51"/>
    <mergeCell ref="I50:I51"/>
    <mergeCell ref="C52:K52"/>
    <mergeCell ref="C67:K67"/>
    <mergeCell ref="C68:I68"/>
    <mergeCell ref="C69:K69"/>
    <mergeCell ref="C70:I70"/>
    <mergeCell ref="C64:C65"/>
    <mergeCell ref="H82:H83"/>
    <mergeCell ref="I82:I83"/>
    <mergeCell ref="J82:J83"/>
    <mergeCell ref="K82:K83"/>
    <mergeCell ref="G79:G80"/>
    <mergeCell ref="H79:H80"/>
    <mergeCell ref="K79:K80"/>
    <mergeCell ref="C81:K81"/>
    <mergeCell ref="C82:C83"/>
    <mergeCell ref="D82:D83"/>
    <mergeCell ref="E82:E83"/>
    <mergeCell ref="I85:I86"/>
    <mergeCell ref="J85:J86"/>
    <mergeCell ref="F82:F83"/>
    <mergeCell ref="G82:G83"/>
    <mergeCell ref="C84:K84"/>
    <mergeCell ref="C85:C86"/>
    <mergeCell ref="D85:D86"/>
    <mergeCell ref="E85:E86"/>
    <mergeCell ref="F85:F86"/>
    <mergeCell ref="K85:K86"/>
    <mergeCell ref="F90:F91"/>
    <mergeCell ref="G90:G91"/>
    <mergeCell ref="H90:H91"/>
    <mergeCell ref="I90:I91"/>
    <mergeCell ref="J90:J91"/>
    <mergeCell ref="K90:K91"/>
    <mergeCell ref="G85:G86"/>
    <mergeCell ref="H85:H86"/>
    <mergeCell ref="C87:K87"/>
    <mergeCell ref="C88:I88"/>
    <mergeCell ref="C89:K89"/>
    <mergeCell ref="C90:C91"/>
    <mergeCell ref="I93:I94"/>
    <mergeCell ref="J93:J94"/>
    <mergeCell ref="D90:D91"/>
    <mergeCell ref="E90:E91"/>
    <mergeCell ref="C92:K92"/>
    <mergeCell ref="C93:C94"/>
    <mergeCell ref="D93:D94"/>
    <mergeCell ref="E93:E94"/>
    <mergeCell ref="F93:F94"/>
    <mergeCell ref="K93:K94"/>
    <mergeCell ref="I96:I97"/>
    <mergeCell ref="J96:J97"/>
    <mergeCell ref="G93:G94"/>
    <mergeCell ref="H93:H94"/>
    <mergeCell ref="C95:K95"/>
    <mergeCell ref="C96:C97"/>
    <mergeCell ref="D96:D97"/>
    <mergeCell ref="E96:E97"/>
    <mergeCell ref="F96:F97"/>
    <mergeCell ref="K96:K97"/>
    <mergeCell ref="F44:F45"/>
    <mergeCell ref="G44:G45"/>
    <mergeCell ref="H44:H45"/>
    <mergeCell ref="I44:I45"/>
    <mergeCell ref="J44:J45"/>
    <mergeCell ref="K44:K45"/>
    <mergeCell ref="C39:K39"/>
    <mergeCell ref="C40:K41"/>
    <mergeCell ref="E42:F42"/>
    <mergeCell ref="H42:I42"/>
    <mergeCell ref="J42:K42"/>
    <mergeCell ref="C43:K43"/>
    <mergeCell ref="C46:K46"/>
    <mergeCell ref="I47:I48"/>
    <mergeCell ref="J47:J48"/>
    <mergeCell ref="K47:K48"/>
    <mergeCell ref="C49:K49"/>
    <mergeCell ref="C44:C45"/>
    <mergeCell ref="C47:C48"/>
    <mergeCell ref="D47:D48"/>
    <mergeCell ref="E47:E48"/>
    <mergeCell ref="F47:F48"/>
    <mergeCell ref="G47:G48"/>
    <mergeCell ref="H47:H48"/>
    <mergeCell ref="C99:K99"/>
    <mergeCell ref="C100:I100"/>
    <mergeCell ref="C101:K101"/>
    <mergeCell ref="C102:I102"/>
    <mergeCell ref="C103:K103"/>
    <mergeCell ref="G96:G97"/>
    <mergeCell ref="H96:H97"/>
    <mergeCell ref="C98:K98"/>
    <mergeCell ref="C2:L2"/>
    <mergeCell ref="C3:L3"/>
    <mergeCell ref="C5:K5"/>
    <mergeCell ref="C6:K7"/>
    <mergeCell ref="C8:K9"/>
    <mergeCell ref="E10:F10"/>
    <mergeCell ref="H10:I10"/>
    <mergeCell ref="H11:H12"/>
    <mergeCell ref="I11:I12"/>
    <mergeCell ref="J11:J12"/>
    <mergeCell ref="K11:K12"/>
    <mergeCell ref="J10:K10"/>
    <mergeCell ref="D11:D12"/>
    <mergeCell ref="E11:E12"/>
    <mergeCell ref="F11:F12"/>
    <mergeCell ref="G11:G12"/>
    <mergeCell ref="C13:K13"/>
    <mergeCell ref="I14:I15"/>
    <mergeCell ref="J14:J15"/>
    <mergeCell ref="K14:K15"/>
    <mergeCell ref="C16:K16"/>
    <mergeCell ref="C11:C12"/>
    <mergeCell ref="C14:C15"/>
    <mergeCell ref="D14:D15"/>
    <mergeCell ref="E14:E15"/>
    <mergeCell ref="F14:F15"/>
    <mergeCell ref="G14:G15"/>
    <mergeCell ref="H14:H15"/>
    <mergeCell ref="D44:D45"/>
    <mergeCell ref="E44:E45"/>
    <mergeCell ref="C50:C51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C55:K55"/>
    <mergeCell ref="C56:I56"/>
    <mergeCell ref="C57:K57"/>
    <mergeCell ref="J58:J59"/>
    <mergeCell ref="K58:K59"/>
    <mergeCell ref="D58:D59"/>
    <mergeCell ref="E58:E59"/>
    <mergeCell ref="F58:F59"/>
    <mergeCell ref="G58:G59"/>
    <mergeCell ref="H58:H59"/>
    <mergeCell ref="I58:I59"/>
    <mergeCell ref="C60:K60"/>
    <mergeCell ref="I61:I62"/>
    <mergeCell ref="J61:J62"/>
    <mergeCell ref="K61:K62"/>
    <mergeCell ref="C63:K63"/>
    <mergeCell ref="C58:C59"/>
    <mergeCell ref="C61:C62"/>
    <mergeCell ref="D61:D62"/>
    <mergeCell ref="E61:E62"/>
    <mergeCell ref="F61:F62"/>
    <mergeCell ref="G61:G62"/>
    <mergeCell ref="H61:H62"/>
    <mergeCell ref="J64:J65"/>
    <mergeCell ref="K64:K65"/>
    <mergeCell ref="D64:D65"/>
    <mergeCell ref="E64:E65"/>
    <mergeCell ref="F64:F65"/>
    <mergeCell ref="G64:G65"/>
    <mergeCell ref="H64:H65"/>
    <mergeCell ref="I64:I65"/>
    <mergeCell ref="C66:K66"/>
    <mergeCell ref="F76:F77"/>
    <mergeCell ref="G76:G77"/>
    <mergeCell ref="H76:H77"/>
    <mergeCell ref="I76:I77"/>
    <mergeCell ref="J76:J77"/>
    <mergeCell ref="K76:K77"/>
    <mergeCell ref="C71:K71"/>
    <mergeCell ref="C72:K73"/>
    <mergeCell ref="E74:F74"/>
    <mergeCell ref="H74:I74"/>
    <mergeCell ref="J74:K74"/>
    <mergeCell ref="C75:K75"/>
    <mergeCell ref="C76:C77"/>
    <mergeCell ref="I79:I80"/>
    <mergeCell ref="J79:J80"/>
    <mergeCell ref="D76:D77"/>
    <mergeCell ref="E76:E77"/>
    <mergeCell ref="C78:K78"/>
    <mergeCell ref="C79:C80"/>
    <mergeCell ref="D79:D80"/>
    <mergeCell ref="E79:E80"/>
    <mergeCell ref="F79:F80"/>
  </mergeCells>
  <printOptions/>
  <pageMargins bottom="0.75" footer="0.0" header="0.0" left="0.7" right="0.7" top="0.75"/>
  <pageSetup paperSize="9" scale="68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20.75"/>
    <col customWidth="1" min="7" max="7" width="4.88"/>
    <col customWidth="1" min="8" max="8" width="20.75"/>
    <col customWidth="1" min="9" max="9" width="18.13"/>
    <col customWidth="1" min="10" max="11" width="5.75"/>
    <col customWidth="1" min="12" max="16" width="9.13"/>
    <col customWidth="1" min="17" max="24" width="8.0"/>
  </cols>
  <sheetData>
    <row r="1">
      <c r="A1" s="141"/>
      <c r="B1" s="141"/>
      <c r="C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141"/>
      <c r="C2" s="28" t="s">
        <v>156</v>
      </c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 ht="12.75" customHeight="1">
      <c r="A3" s="141"/>
      <c r="B3" s="141"/>
      <c r="C3" s="30" t="s">
        <v>1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ht="12.75" customHeight="1">
      <c r="A4" s="141"/>
      <c r="B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2.75" customHeight="1">
      <c r="A5" s="141"/>
      <c r="B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19.5" customHeight="1">
      <c r="A6" s="141"/>
      <c r="B6" s="141"/>
      <c r="C6" s="142" t="s">
        <v>280</v>
      </c>
      <c r="D6" s="17"/>
      <c r="E6" s="17"/>
      <c r="F6" s="17"/>
      <c r="G6" s="17"/>
      <c r="H6" s="17"/>
      <c r="I6" s="17"/>
      <c r="J6" s="17"/>
      <c r="K6" s="22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3"/>
      <c r="D7" s="144"/>
      <c r="E7" s="144"/>
      <c r="F7" s="144"/>
      <c r="G7" s="144"/>
      <c r="H7" s="144"/>
      <c r="I7" s="144"/>
      <c r="J7" s="144"/>
      <c r="K7" s="145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4.5" customHeight="1">
      <c r="A8" s="141"/>
      <c r="B8" s="141"/>
      <c r="C8" s="146"/>
      <c r="D8" s="147"/>
      <c r="E8" s="147"/>
      <c r="F8" s="147"/>
      <c r="G8" s="147"/>
      <c r="H8" s="147"/>
      <c r="I8" s="147"/>
      <c r="J8" s="147"/>
      <c r="K8" s="148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0" customHeight="1">
      <c r="A9" s="141"/>
      <c r="B9" s="141"/>
      <c r="C9" s="149" t="s">
        <v>210</v>
      </c>
      <c r="D9" s="144"/>
      <c r="E9" s="144"/>
      <c r="F9" s="144"/>
      <c r="G9" s="144"/>
      <c r="H9" s="144"/>
      <c r="I9" s="144"/>
      <c r="J9" s="144"/>
      <c r="K9" s="145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2.0" customHeight="1">
      <c r="A10" s="141"/>
      <c r="B10" s="141"/>
      <c r="C10" s="146"/>
      <c r="D10" s="147"/>
      <c r="E10" s="147"/>
      <c r="F10" s="147"/>
      <c r="G10" s="147"/>
      <c r="H10" s="147"/>
      <c r="I10" s="147"/>
      <c r="J10" s="147"/>
      <c r="K10" s="148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2.0" customHeight="1">
      <c r="A11" s="141"/>
      <c r="B11" s="141"/>
      <c r="C11" s="150" t="s">
        <v>211</v>
      </c>
      <c r="D11" s="150" t="s">
        <v>212</v>
      </c>
      <c r="E11" s="151" t="s">
        <v>281</v>
      </c>
      <c r="F11" s="22"/>
      <c r="G11" s="150" t="s">
        <v>214</v>
      </c>
      <c r="H11" s="151" t="s">
        <v>282</v>
      </c>
      <c r="I11" s="22"/>
      <c r="J11" s="152" t="s">
        <v>216</v>
      </c>
      <c r="K11" s="22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153" t="s">
        <v>217</v>
      </c>
      <c r="D12" s="154" t="s">
        <v>218</v>
      </c>
      <c r="E12" s="155" t="s">
        <v>95</v>
      </c>
      <c r="F12" s="155" t="s">
        <v>88</v>
      </c>
      <c r="G12" s="156" t="s">
        <v>214</v>
      </c>
      <c r="H12" s="155" t="s">
        <v>90</v>
      </c>
      <c r="I12" s="155" t="s">
        <v>254</v>
      </c>
      <c r="J12" s="155">
        <v>10.0</v>
      </c>
      <c r="K12" s="155">
        <v>8.0</v>
      </c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12.75" customHeight="1">
      <c r="A13" s="141"/>
      <c r="B13" s="141"/>
      <c r="C13" s="125"/>
      <c r="D13" s="125"/>
      <c r="E13" s="125"/>
      <c r="F13" s="125"/>
      <c r="G13" s="125"/>
      <c r="H13" s="125"/>
      <c r="I13" s="125"/>
      <c r="J13" s="125"/>
      <c r="K13" s="125"/>
      <c r="L13" s="190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75" customHeight="1">
      <c r="A14" s="141"/>
      <c r="B14" s="141"/>
      <c r="C14" s="161"/>
      <c r="D14" s="17"/>
      <c r="E14" s="17"/>
      <c r="F14" s="17"/>
      <c r="G14" s="17"/>
      <c r="H14" s="17"/>
      <c r="I14" s="17"/>
      <c r="J14" s="17"/>
      <c r="K14" s="22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12.75" customHeight="1">
      <c r="A15" s="141"/>
      <c r="B15" s="141"/>
      <c r="C15" s="153" t="s">
        <v>220</v>
      </c>
      <c r="D15" s="154" t="s">
        <v>225</v>
      </c>
      <c r="E15" s="155" t="s">
        <v>25</v>
      </c>
      <c r="F15" s="155" t="s">
        <v>32</v>
      </c>
      <c r="G15" s="156" t="s">
        <v>214</v>
      </c>
      <c r="H15" s="155" t="s">
        <v>27</v>
      </c>
      <c r="I15" s="155" t="s">
        <v>34</v>
      </c>
      <c r="J15" s="155">
        <v>14.0</v>
      </c>
      <c r="K15" s="155">
        <v>4.0</v>
      </c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12.75" customHeight="1">
      <c r="A16" s="141"/>
      <c r="B16" s="141"/>
      <c r="C16" s="125"/>
      <c r="D16" s="125"/>
      <c r="E16" s="125"/>
      <c r="F16" s="125"/>
      <c r="G16" s="125"/>
      <c r="H16" s="125"/>
      <c r="I16" s="125"/>
      <c r="J16" s="125"/>
      <c r="K16" s="125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75" customHeight="1">
      <c r="A17" s="141"/>
      <c r="B17" s="141"/>
      <c r="C17" s="161"/>
      <c r="D17" s="17"/>
      <c r="E17" s="17"/>
      <c r="F17" s="17"/>
      <c r="G17" s="17"/>
      <c r="H17" s="17"/>
      <c r="I17" s="17"/>
      <c r="J17" s="17"/>
      <c r="K17" s="22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12.75" customHeight="1">
      <c r="A18" s="141"/>
      <c r="B18" s="141"/>
      <c r="C18" s="153" t="s">
        <v>222</v>
      </c>
      <c r="D18" s="154" t="s">
        <v>221</v>
      </c>
      <c r="E18" s="155" t="s">
        <v>109</v>
      </c>
      <c r="F18" s="155" t="s">
        <v>115</v>
      </c>
      <c r="G18" s="156" t="s">
        <v>214</v>
      </c>
      <c r="H18" s="155" t="s">
        <v>111</v>
      </c>
      <c r="I18" s="155" t="s">
        <v>117</v>
      </c>
      <c r="J18" s="155">
        <v>11.0</v>
      </c>
      <c r="K18" s="155">
        <v>7.0</v>
      </c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12.75" customHeight="1">
      <c r="A19" s="141"/>
      <c r="B19" s="141"/>
      <c r="C19" s="125"/>
      <c r="D19" s="125"/>
      <c r="E19" s="125"/>
      <c r="F19" s="125"/>
      <c r="G19" s="125"/>
      <c r="H19" s="125"/>
      <c r="I19" s="125"/>
      <c r="J19" s="125"/>
      <c r="K19" s="125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12.75" customHeight="1">
      <c r="A20" s="141"/>
      <c r="B20" s="141"/>
      <c r="C20" s="161"/>
      <c r="D20" s="17"/>
      <c r="E20" s="17"/>
      <c r="F20" s="17"/>
      <c r="G20" s="17"/>
      <c r="H20" s="17"/>
      <c r="I20" s="17"/>
      <c r="J20" s="17"/>
      <c r="K20" s="22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12.75" customHeight="1">
      <c r="A21" s="141"/>
      <c r="B21" s="141"/>
      <c r="C21" s="161"/>
      <c r="D21" s="17"/>
      <c r="E21" s="17"/>
      <c r="F21" s="17"/>
      <c r="G21" s="17"/>
      <c r="H21" s="17"/>
      <c r="I21" s="17"/>
      <c r="J21" s="17"/>
      <c r="K21" s="22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12.75" customHeight="1">
      <c r="A22" s="141"/>
      <c r="B22" s="141"/>
      <c r="C22" s="162" t="s">
        <v>242</v>
      </c>
      <c r="D22" s="17"/>
      <c r="E22" s="17"/>
      <c r="F22" s="17"/>
      <c r="G22" s="17"/>
      <c r="H22" s="17"/>
      <c r="I22" s="22"/>
      <c r="J22" s="164">
        <f t="shared" ref="J22:K22" si="1">SUM(J12:J20)</f>
        <v>35</v>
      </c>
      <c r="K22" s="164">
        <f t="shared" si="1"/>
        <v>19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75" customHeight="1">
      <c r="A23" s="141"/>
      <c r="B23" s="141"/>
      <c r="C23" s="161"/>
      <c r="D23" s="17"/>
      <c r="E23" s="17"/>
      <c r="F23" s="17"/>
      <c r="G23" s="17"/>
      <c r="H23" s="17"/>
      <c r="I23" s="17"/>
      <c r="J23" s="17"/>
      <c r="K23" s="22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12.75" customHeight="1">
      <c r="A24" s="141"/>
      <c r="B24" s="141"/>
      <c r="C24" s="153" t="s">
        <v>217</v>
      </c>
      <c r="D24" s="193" t="s">
        <v>226</v>
      </c>
      <c r="E24" s="165" t="s">
        <v>46</v>
      </c>
      <c r="F24" s="165" t="s">
        <v>53</v>
      </c>
      <c r="G24" s="156" t="s">
        <v>214</v>
      </c>
      <c r="H24" s="165" t="s">
        <v>55</v>
      </c>
      <c r="I24" s="165" t="s">
        <v>48</v>
      </c>
      <c r="J24" s="155">
        <v>12.0</v>
      </c>
      <c r="K24" s="155">
        <v>7.0</v>
      </c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12.75" customHeight="1">
      <c r="A25" s="141"/>
      <c r="B25" s="141"/>
      <c r="C25" s="125"/>
      <c r="D25" s="125"/>
      <c r="E25" s="125"/>
      <c r="F25" s="125"/>
      <c r="G25" s="125"/>
      <c r="H25" s="125"/>
      <c r="I25" s="125"/>
      <c r="J25" s="125"/>
      <c r="K25" s="125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12.75" customHeight="1">
      <c r="A26" s="141"/>
      <c r="B26" s="141"/>
      <c r="C26" s="161"/>
      <c r="D26" s="17"/>
      <c r="E26" s="17"/>
      <c r="F26" s="17"/>
      <c r="G26" s="17"/>
      <c r="H26" s="17"/>
      <c r="I26" s="17"/>
      <c r="J26" s="17"/>
      <c r="K26" s="22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</row>
    <row r="27" ht="12.75" customHeight="1">
      <c r="A27" s="141"/>
      <c r="B27" s="141"/>
      <c r="C27" s="153" t="s">
        <v>217</v>
      </c>
      <c r="D27" s="154" t="s">
        <v>227</v>
      </c>
      <c r="E27" s="165" t="s">
        <v>140</v>
      </c>
      <c r="F27" s="165" t="s">
        <v>146</v>
      </c>
      <c r="G27" s="156" t="s">
        <v>214</v>
      </c>
      <c r="H27" s="165" t="s">
        <v>142</v>
      </c>
      <c r="I27" s="165" t="s">
        <v>148</v>
      </c>
      <c r="J27" s="155">
        <v>7.0</v>
      </c>
      <c r="K27" s="155">
        <v>11.0</v>
      </c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75" customHeight="1">
      <c r="A28" s="141"/>
      <c r="B28" s="141"/>
      <c r="C28" s="125"/>
      <c r="D28" s="125"/>
      <c r="E28" s="125"/>
      <c r="F28" s="125"/>
      <c r="G28" s="125"/>
      <c r="H28" s="125"/>
      <c r="I28" s="125"/>
      <c r="J28" s="125"/>
      <c r="K28" s="125"/>
      <c r="L28" s="189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12.75" customHeight="1">
      <c r="A29" s="141"/>
      <c r="B29" s="141"/>
      <c r="C29" s="161"/>
      <c r="D29" s="17"/>
      <c r="E29" s="17"/>
      <c r="F29" s="17"/>
      <c r="G29" s="17"/>
      <c r="H29" s="17"/>
      <c r="I29" s="17"/>
      <c r="J29" s="17"/>
      <c r="K29" s="22"/>
      <c r="L29" s="201"/>
      <c r="M29" s="141"/>
      <c r="N29" s="141"/>
      <c r="O29" s="141"/>
      <c r="P29" s="141" t="s">
        <v>239</v>
      </c>
      <c r="Q29" s="141"/>
      <c r="R29" s="141"/>
      <c r="S29" s="141"/>
      <c r="T29" s="141"/>
      <c r="U29" s="141"/>
      <c r="V29" s="141"/>
      <c r="W29" s="141"/>
      <c r="X29" s="141"/>
    </row>
    <row r="30" ht="12.75" customHeight="1">
      <c r="A30" s="141"/>
      <c r="B30" s="141"/>
      <c r="C30" s="169" t="s">
        <v>220</v>
      </c>
      <c r="D30" s="154" t="s">
        <v>228</v>
      </c>
      <c r="E30" s="165" t="s">
        <v>67</v>
      </c>
      <c r="F30" s="165" t="s">
        <v>74</v>
      </c>
      <c r="G30" s="156" t="s">
        <v>214</v>
      </c>
      <c r="H30" s="165" t="s">
        <v>283</v>
      </c>
      <c r="I30" s="165" t="s">
        <v>76</v>
      </c>
      <c r="J30" s="155">
        <v>13.0</v>
      </c>
      <c r="K30" s="155">
        <v>5.0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12.75" customHeight="1">
      <c r="A31" s="141"/>
      <c r="B31" s="141"/>
      <c r="C31" s="125"/>
      <c r="D31" s="125"/>
      <c r="E31" s="125"/>
      <c r="F31" s="125"/>
      <c r="G31" s="125"/>
      <c r="H31" s="125"/>
      <c r="I31" s="125"/>
      <c r="J31" s="125"/>
      <c r="K31" s="125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12.75" customHeight="1">
      <c r="A32" s="141"/>
      <c r="B32" s="141"/>
      <c r="C32" s="161"/>
      <c r="D32" s="17"/>
      <c r="E32" s="17"/>
      <c r="F32" s="17"/>
      <c r="G32" s="17"/>
      <c r="H32" s="17"/>
      <c r="I32" s="17"/>
      <c r="J32" s="17"/>
      <c r="K32" s="22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69" t="s">
        <v>222</v>
      </c>
      <c r="D33" s="171" t="s">
        <v>223</v>
      </c>
      <c r="E33" s="155" t="s">
        <v>11</v>
      </c>
      <c r="F33" s="155" t="s">
        <v>129</v>
      </c>
      <c r="G33" s="156" t="s">
        <v>214</v>
      </c>
      <c r="H33" s="155" t="s">
        <v>126</v>
      </c>
      <c r="I33" s="155" t="s">
        <v>131</v>
      </c>
      <c r="J33" s="155">
        <v>11.0</v>
      </c>
      <c r="K33" s="155">
        <v>7.0</v>
      </c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125"/>
      <c r="D34" s="125"/>
      <c r="E34" s="125"/>
      <c r="F34" s="125"/>
      <c r="G34" s="125"/>
      <c r="H34" s="125"/>
      <c r="I34" s="125"/>
      <c r="J34" s="125"/>
      <c r="K34" s="125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12.75" customHeight="1">
      <c r="A35" s="141"/>
      <c r="B35" s="141"/>
      <c r="C35" s="161"/>
      <c r="D35" s="17"/>
      <c r="E35" s="17"/>
      <c r="F35" s="17"/>
      <c r="G35" s="17"/>
      <c r="H35" s="17"/>
      <c r="I35" s="17"/>
      <c r="J35" s="17"/>
      <c r="K35" s="22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12.75" customHeight="1">
      <c r="A36" s="141"/>
      <c r="B36" s="141"/>
      <c r="C36" s="162" t="s">
        <v>284</v>
      </c>
      <c r="D36" s="17"/>
      <c r="E36" s="17"/>
      <c r="F36" s="17"/>
      <c r="G36" s="17"/>
      <c r="H36" s="17"/>
      <c r="I36" s="22"/>
      <c r="J36" s="164">
        <f t="shared" ref="J36:K36" si="2">SUM(J24:J34)</f>
        <v>43</v>
      </c>
      <c r="K36" s="164">
        <f t="shared" si="2"/>
        <v>30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12.75" customHeight="1">
      <c r="A37" s="141"/>
      <c r="B37" s="141"/>
      <c r="C37" s="161"/>
      <c r="D37" s="17"/>
      <c r="E37" s="17"/>
      <c r="F37" s="17"/>
      <c r="G37" s="17"/>
      <c r="H37" s="17"/>
      <c r="I37" s="17"/>
      <c r="J37" s="17"/>
      <c r="K37" s="22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12.75" customHeight="1">
      <c r="A38" s="141"/>
      <c r="B38" s="141"/>
      <c r="C38" s="172" t="s">
        <v>245</v>
      </c>
      <c r="D38" s="17"/>
      <c r="E38" s="17"/>
      <c r="F38" s="17"/>
      <c r="G38" s="17"/>
      <c r="H38" s="17"/>
      <c r="I38" s="22"/>
      <c r="J38" s="188">
        <f t="shared" ref="J38:K38" si="3">J22+J36</f>
        <v>78</v>
      </c>
      <c r="K38" s="188">
        <f t="shared" si="3"/>
        <v>49</v>
      </c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12.75" customHeight="1">
      <c r="A39" s="141"/>
      <c r="B39" s="141"/>
      <c r="C39" s="161"/>
      <c r="D39" s="17"/>
      <c r="E39" s="17"/>
      <c r="F39" s="17"/>
      <c r="G39" s="17"/>
      <c r="H39" s="17"/>
      <c r="I39" s="17"/>
      <c r="J39" s="17"/>
      <c r="K39" s="22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12.75" customHeight="1">
      <c r="A40" s="141"/>
      <c r="B40" s="141"/>
      <c r="C40" s="149" t="s">
        <v>231</v>
      </c>
      <c r="D40" s="144"/>
      <c r="E40" s="144"/>
      <c r="F40" s="144"/>
      <c r="G40" s="144"/>
      <c r="H40" s="144"/>
      <c r="I40" s="144"/>
      <c r="J40" s="144"/>
      <c r="K40" s="145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12.75" customHeight="1">
      <c r="A41" s="141"/>
      <c r="B41" s="141"/>
      <c r="C41" s="146"/>
      <c r="D41" s="147"/>
      <c r="E41" s="147"/>
      <c r="F41" s="147"/>
      <c r="G41" s="147"/>
      <c r="H41" s="147"/>
      <c r="I41" s="147"/>
      <c r="J41" s="147"/>
      <c r="K41" s="148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12.75" customHeight="1">
      <c r="A42" s="141"/>
      <c r="B42" s="141"/>
      <c r="C42" s="150" t="s">
        <v>211</v>
      </c>
      <c r="D42" s="150" t="s">
        <v>212</v>
      </c>
      <c r="E42" s="151" t="s">
        <v>285</v>
      </c>
      <c r="F42" s="22"/>
      <c r="G42" s="150" t="s">
        <v>214</v>
      </c>
      <c r="H42" s="151" t="s">
        <v>286</v>
      </c>
      <c r="I42" s="22"/>
      <c r="J42" s="152" t="s">
        <v>216</v>
      </c>
      <c r="K42" s="22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53" t="s">
        <v>217</v>
      </c>
      <c r="D43" s="154" t="s">
        <v>225</v>
      </c>
      <c r="E43" s="155" t="s">
        <v>28</v>
      </c>
      <c r="F43" s="155" t="s">
        <v>42</v>
      </c>
      <c r="G43" s="156" t="s">
        <v>214</v>
      </c>
      <c r="H43" s="155" t="s">
        <v>23</v>
      </c>
      <c r="I43" s="155" t="s">
        <v>30</v>
      </c>
      <c r="J43" s="155">
        <v>5.0</v>
      </c>
      <c r="K43" s="155">
        <v>13.0</v>
      </c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12.75" customHeight="1">
      <c r="A44" s="141"/>
      <c r="B44" s="141"/>
      <c r="C44" s="125"/>
      <c r="D44" s="125"/>
      <c r="E44" s="125"/>
      <c r="F44" s="125"/>
      <c r="G44" s="125"/>
      <c r="H44" s="125"/>
      <c r="I44" s="125"/>
      <c r="J44" s="125"/>
      <c r="K44" s="125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61"/>
      <c r="D45" s="17"/>
      <c r="E45" s="17"/>
      <c r="F45" s="17"/>
      <c r="G45" s="17"/>
      <c r="H45" s="17"/>
      <c r="I45" s="17"/>
      <c r="J45" s="17"/>
      <c r="K45" s="22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12.75" customHeight="1">
      <c r="A46" s="141"/>
      <c r="B46" s="141"/>
      <c r="C46" s="153" t="s">
        <v>220</v>
      </c>
      <c r="D46" s="154" t="s">
        <v>226</v>
      </c>
      <c r="E46" s="155" t="s">
        <v>49</v>
      </c>
      <c r="F46" s="155" t="s">
        <v>56</v>
      </c>
      <c r="G46" s="156" t="s">
        <v>214</v>
      </c>
      <c r="H46" s="155" t="s">
        <v>44</v>
      </c>
      <c r="I46" s="155" t="s">
        <v>51</v>
      </c>
      <c r="J46" s="155">
        <v>10.0</v>
      </c>
      <c r="K46" s="155">
        <v>9.0</v>
      </c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25"/>
      <c r="D47" s="125"/>
      <c r="E47" s="125"/>
      <c r="F47" s="125"/>
      <c r="G47" s="125"/>
      <c r="H47" s="125"/>
      <c r="I47" s="125"/>
      <c r="J47" s="125"/>
      <c r="K47" s="125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61"/>
      <c r="D48" s="17"/>
      <c r="E48" s="17"/>
      <c r="F48" s="17"/>
      <c r="G48" s="17"/>
      <c r="H48" s="17"/>
      <c r="I48" s="17"/>
      <c r="J48" s="17"/>
      <c r="K48" s="22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12.75" customHeight="1">
      <c r="A49" s="141"/>
      <c r="B49" s="141"/>
      <c r="C49" s="153" t="s">
        <v>222</v>
      </c>
      <c r="D49" s="154" t="s">
        <v>221</v>
      </c>
      <c r="E49" s="155" t="s">
        <v>112</v>
      </c>
      <c r="F49" s="155" t="s">
        <v>118</v>
      </c>
      <c r="G49" s="156" t="s">
        <v>214</v>
      </c>
      <c r="H49" s="155" t="s">
        <v>287</v>
      </c>
      <c r="I49" s="155" t="s">
        <v>113</v>
      </c>
      <c r="J49" s="155">
        <v>13.0</v>
      </c>
      <c r="K49" s="155">
        <v>5.0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25"/>
      <c r="D50" s="125"/>
      <c r="E50" s="125"/>
      <c r="F50" s="125"/>
      <c r="G50" s="125"/>
      <c r="H50" s="125"/>
      <c r="I50" s="125"/>
      <c r="J50" s="125"/>
      <c r="K50" s="125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61"/>
      <c r="D51" s="17"/>
      <c r="E51" s="17"/>
      <c r="F51" s="17"/>
      <c r="G51" s="17"/>
      <c r="H51" s="17"/>
      <c r="I51" s="17"/>
      <c r="J51" s="17"/>
      <c r="K51" s="22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12.75" customHeight="1">
      <c r="A52" s="141"/>
      <c r="B52" s="141"/>
      <c r="C52" s="161"/>
      <c r="D52" s="17"/>
      <c r="E52" s="17"/>
      <c r="F52" s="17"/>
      <c r="G52" s="17"/>
      <c r="H52" s="17"/>
      <c r="I52" s="17"/>
      <c r="J52" s="17"/>
      <c r="K52" s="22"/>
      <c r="L52" s="190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12.75" customHeight="1">
      <c r="A53" s="141"/>
      <c r="B53" s="141"/>
      <c r="C53" s="162" t="s">
        <v>242</v>
      </c>
      <c r="D53" s="17"/>
      <c r="E53" s="17"/>
      <c r="F53" s="17"/>
      <c r="G53" s="17"/>
      <c r="H53" s="17"/>
      <c r="I53" s="22"/>
      <c r="J53" s="164">
        <f t="shared" ref="J53:K53" si="4">SUM(J43:J51)</f>
        <v>28</v>
      </c>
      <c r="K53" s="164">
        <f t="shared" si="4"/>
        <v>27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61"/>
      <c r="D54" s="17"/>
      <c r="E54" s="17"/>
      <c r="F54" s="17"/>
      <c r="G54" s="17"/>
      <c r="H54" s="17"/>
      <c r="I54" s="17"/>
      <c r="J54" s="17"/>
      <c r="K54" s="22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12.75" customHeight="1">
      <c r="A55" s="141"/>
      <c r="B55" s="141"/>
      <c r="C55" s="153" t="s">
        <v>217</v>
      </c>
      <c r="D55" s="154" t="s">
        <v>218</v>
      </c>
      <c r="E55" s="165" t="s">
        <v>98</v>
      </c>
      <c r="F55" s="165" t="s">
        <v>105</v>
      </c>
      <c r="G55" s="156" t="s">
        <v>214</v>
      </c>
      <c r="H55" s="165" t="s">
        <v>93</v>
      </c>
      <c r="I55" s="165" t="s">
        <v>86</v>
      </c>
      <c r="J55" s="155">
        <v>6.0</v>
      </c>
      <c r="K55" s="155">
        <v>12.0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25"/>
      <c r="D56" s="125"/>
      <c r="E56" s="125"/>
      <c r="F56" s="125"/>
      <c r="G56" s="125"/>
      <c r="H56" s="125"/>
      <c r="I56" s="125"/>
      <c r="J56" s="125"/>
      <c r="K56" s="125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12.75" customHeight="1">
      <c r="A57" s="141"/>
      <c r="B57" s="141"/>
      <c r="C57" s="161"/>
      <c r="D57" s="17"/>
      <c r="E57" s="17"/>
      <c r="F57" s="17"/>
      <c r="G57" s="17"/>
      <c r="H57" s="17"/>
      <c r="I57" s="17"/>
      <c r="J57" s="17"/>
      <c r="K57" s="22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12.75" customHeight="1">
      <c r="A58" s="141"/>
      <c r="B58" s="141"/>
      <c r="C58" s="153" t="s">
        <v>220</v>
      </c>
      <c r="D58" s="154" t="s">
        <v>228</v>
      </c>
      <c r="E58" s="165" t="s">
        <v>70</v>
      </c>
      <c r="F58" s="165" t="s">
        <v>77</v>
      </c>
      <c r="G58" s="156" t="s">
        <v>214</v>
      </c>
      <c r="H58" s="165" t="s">
        <v>65</v>
      </c>
      <c r="I58" s="165" t="s">
        <v>72</v>
      </c>
      <c r="J58" s="155">
        <v>9.0</v>
      </c>
      <c r="K58" s="155">
        <v>9.0</v>
      </c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25"/>
      <c r="D59" s="125"/>
      <c r="E59" s="125"/>
      <c r="F59" s="125"/>
      <c r="G59" s="125"/>
      <c r="H59" s="125"/>
      <c r="I59" s="125"/>
      <c r="J59" s="125"/>
      <c r="K59" s="125"/>
      <c r="L59" s="189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61"/>
      <c r="D60" s="17"/>
      <c r="E60" s="17"/>
      <c r="F60" s="17"/>
      <c r="G60" s="17"/>
      <c r="H60" s="17"/>
      <c r="I60" s="17"/>
      <c r="J60" s="17"/>
      <c r="K60" s="22"/>
      <c r="L60" s="20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12.75" customHeight="1">
      <c r="A61" s="141"/>
      <c r="B61" s="141"/>
      <c r="C61" s="153" t="s">
        <v>220</v>
      </c>
      <c r="D61" s="154" t="s">
        <v>227</v>
      </c>
      <c r="E61" s="165" t="s">
        <v>143</v>
      </c>
      <c r="F61" s="165" t="s">
        <v>149</v>
      </c>
      <c r="G61" s="156" t="s">
        <v>214</v>
      </c>
      <c r="H61" s="165" t="s">
        <v>139</v>
      </c>
      <c r="I61" s="165" t="s">
        <v>144</v>
      </c>
      <c r="J61" s="155">
        <v>13.0</v>
      </c>
      <c r="K61" s="155">
        <v>5.0</v>
      </c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25"/>
      <c r="D62" s="125"/>
      <c r="E62" s="125"/>
      <c r="F62" s="125"/>
      <c r="G62" s="125"/>
      <c r="H62" s="125"/>
      <c r="I62" s="125"/>
      <c r="J62" s="125"/>
      <c r="K62" s="125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12.75" customHeight="1">
      <c r="A63" s="141"/>
      <c r="B63" s="141"/>
      <c r="C63" s="161"/>
      <c r="D63" s="17"/>
      <c r="E63" s="17"/>
      <c r="F63" s="17"/>
      <c r="G63" s="17"/>
      <c r="H63" s="17"/>
      <c r="I63" s="17"/>
      <c r="J63" s="17"/>
      <c r="K63" s="22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12.75" customHeight="1">
      <c r="A64" s="141"/>
      <c r="B64" s="141"/>
      <c r="C64" s="169" t="s">
        <v>222</v>
      </c>
      <c r="D64" s="171" t="s">
        <v>223</v>
      </c>
      <c r="E64" s="165" t="s">
        <v>14</v>
      </c>
      <c r="F64" s="165" t="s">
        <v>138</v>
      </c>
      <c r="G64" s="156" t="s">
        <v>214</v>
      </c>
      <c r="H64" s="165" t="s">
        <v>123</v>
      </c>
      <c r="I64" s="165" t="s">
        <v>127</v>
      </c>
      <c r="J64" s="155">
        <v>11.0</v>
      </c>
      <c r="K64" s="155">
        <v>7.0</v>
      </c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25"/>
      <c r="D65" s="125"/>
      <c r="E65" s="125"/>
      <c r="F65" s="125"/>
      <c r="G65" s="125"/>
      <c r="H65" s="125"/>
      <c r="I65" s="125"/>
      <c r="J65" s="125"/>
      <c r="K65" s="125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12.75" customHeight="1">
      <c r="A66" s="141"/>
      <c r="B66" s="141"/>
      <c r="C66" s="161"/>
      <c r="D66" s="17"/>
      <c r="E66" s="17"/>
      <c r="F66" s="17"/>
      <c r="G66" s="17"/>
      <c r="H66" s="17"/>
      <c r="I66" s="17"/>
      <c r="J66" s="17"/>
      <c r="K66" s="22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12.75" customHeight="1">
      <c r="A67" s="141"/>
      <c r="B67" s="141"/>
      <c r="C67" s="162" t="s">
        <v>284</v>
      </c>
      <c r="D67" s="17"/>
      <c r="E67" s="17"/>
      <c r="F67" s="17"/>
      <c r="G67" s="17"/>
      <c r="H67" s="17"/>
      <c r="I67" s="22"/>
      <c r="J67" s="164">
        <f t="shared" ref="J67:K67" si="5">SUM(J55:J65)</f>
        <v>39</v>
      </c>
      <c r="K67" s="164">
        <f t="shared" si="5"/>
        <v>33</v>
      </c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61"/>
      <c r="D68" s="17"/>
      <c r="E68" s="17"/>
      <c r="F68" s="17"/>
      <c r="G68" s="17"/>
      <c r="H68" s="17"/>
      <c r="I68" s="17"/>
      <c r="J68" s="17"/>
      <c r="K68" s="22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12.75" customHeight="1">
      <c r="A69" s="141"/>
      <c r="B69" s="141"/>
      <c r="C69" s="172" t="s">
        <v>245</v>
      </c>
      <c r="D69" s="17"/>
      <c r="E69" s="17"/>
      <c r="F69" s="17"/>
      <c r="G69" s="17"/>
      <c r="H69" s="17"/>
      <c r="I69" s="22"/>
      <c r="J69" s="188">
        <f t="shared" ref="J69:K69" si="6">J53+J67</f>
        <v>67</v>
      </c>
      <c r="K69" s="188">
        <f t="shared" si="6"/>
        <v>60</v>
      </c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12.75" customHeight="1">
      <c r="A70" s="141"/>
      <c r="B70" s="141"/>
      <c r="C70" s="161"/>
      <c r="D70" s="17"/>
      <c r="E70" s="17"/>
      <c r="F70" s="17"/>
      <c r="G70" s="17"/>
      <c r="H70" s="17"/>
      <c r="I70" s="17"/>
      <c r="J70" s="17"/>
      <c r="K70" s="22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12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12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12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12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12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12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12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12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12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12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12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12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12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12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12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12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12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12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12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12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2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</row>
    <row r="241" ht="12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</row>
    <row r="242" ht="12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</row>
    <row r="243" ht="12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</row>
    <row r="244" ht="12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</row>
    <row r="245" ht="12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</row>
    <row r="246" ht="12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</row>
    <row r="247" ht="12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</row>
    <row r="248" ht="12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</row>
    <row r="249" ht="12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</row>
    <row r="250" ht="12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</row>
    <row r="251" ht="12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</row>
    <row r="252" ht="12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</row>
    <row r="253" ht="12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</row>
    <row r="254" ht="12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</row>
    <row r="255" ht="12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</row>
    <row r="256" ht="12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</row>
    <row r="257" ht="12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</row>
    <row r="258" ht="12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</row>
    <row r="259" ht="12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</row>
    <row r="260" ht="12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</row>
    <row r="261" ht="12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</row>
    <row r="262" ht="12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</row>
    <row r="263" ht="12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</row>
    <row r="264" ht="12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</row>
    <row r="265" ht="12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</row>
    <row r="266" ht="12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</row>
    <row r="267" ht="12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</row>
    <row r="268" ht="12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</row>
    <row r="269" ht="12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67">
    <mergeCell ref="C30:C31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C35:K35"/>
    <mergeCell ref="C36:I36"/>
    <mergeCell ref="C37:K37"/>
    <mergeCell ref="C38:I38"/>
    <mergeCell ref="F24:F25"/>
    <mergeCell ref="G24:G25"/>
    <mergeCell ref="H24:H25"/>
    <mergeCell ref="I24:I25"/>
    <mergeCell ref="J24:J25"/>
    <mergeCell ref="K24:K25"/>
    <mergeCell ref="C21:K21"/>
    <mergeCell ref="C22:I22"/>
    <mergeCell ref="C23:K23"/>
    <mergeCell ref="C24:C25"/>
    <mergeCell ref="C26:K26"/>
    <mergeCell ref="H27:H28"/>
    <mergeCell ref="I27:I28"/>
    <mergeCell ref="J27:J28"/>
    <mergeCell ref="K27:K28"/>
    <mergeCell ref="C29:K29"/>
    <mergeCell ref="D24:D25"/>
    <mergeCell ref="E24:E25"/>
    <mergeCell ref="C27:C28"/>
    <mergeCell ref="D27:D28"/>
    <mergeCell ref="E27:E28"/>
    <mergeCell ref="F27:F28"/>
    <mergeCell ref="G27:G28"/>
    <mergeCell ref="C52:K52"/>
    <mergeCell ref="C53:I53"/>
    <mergeCell ref="C54:K54"/>
    <mergeCell ref="C55:C56"/>
    <mergeCell ref="D55:D56"/>
    <mergeCell ref="E55:E56"/>
    <mergeCell ref="F55:F56"/>
    <mergeCell ref="K55:K56"/>
    <mergeCell ref="C57:K57"/>
    <mergeCell ref="D58:D59"/>
    <mergeCell ref="E58:E59"/>
    <mergeCell ref="F58:F59"/>
    <mergeCell ref="G58:G59"/>
    <mergeCell ref="C60:K60"/>
    <mergeCell ref="J64:J65"/>
    <mergeCell ref="K64:K65"/>
    <mergeCell ref="C64:C65"/>
    <mergeCell ref="D64:D65"/>
    <mergeCell ref="E64:E65"/>
    <mergeCell ref="F64:F65"/>
    <mergeCell ref="G64:G65"/>
    <mergeCell ref="H64:H65"/>
    <mergeCell ref="I64:I65"/>
    <mergeCell ref="G49:G50"/>
    <mergeCell ref="H49:H50"/>
    <mergeCell ref="C51:K51"/>
    <mergeCell ref="G55:G56"/>
    <mergeCell ref="H55:H56"/>
    <mergeCell ref="I55:I56"/>
    <mergeCell ref="J55:J56"/>
    <mergeCell ref="H58:H59"/>
    <mergeCell ref="I58:I59"/>
    <mergeCell ref="J58:J59"/>
    <mergeCell ref="K58:K59"/>
    <mergeCell ref="C66:K66"/>
    <mergeCell ref="C67:I67"/>
    <mergeCell ref="C68:K68"/>
    <mergeCell ref="C69:I69"/>
    <mergeCell ref="C70:K70"/>
    <mergeCell ref="J18:J19"/>
    <mergeCell ref="K18:K19"/>
    <mergeCell ref="D18:D19"/>
    <mergeCell ref="E18:E19"/>
    <mergeCell ref="F18:F19"/>
    <mergeCell ref="G18:G19"/>
    <mergeCell ref="H18:H19"/>
    <mergeCell ref="I18:I19"/>
    <mergeCell ref="C20:K20"/>
    <mergeCell ref="C2:L2"/>
    <mergeCell ref="C3:L4"/>
    <mergeCell ref="C6:K6"/>
    <mergeCell ref="C7:K8"/>
    <mergeCell ref="C9:K10"/>
    <mergeCell ref="E11:F11"/>
    <mergeCell ref="H11:I11"/>
    <mergeCell ref="H12:H13"/>
    <mergeCell ref="I12:I13"/>
    <mergeCell ref="J12:J13"/>
    <mergeCell ref="K12:K13"/>
    <mergeCell ref="L13:L14"/>
    <mergeCell ref="J11:K11"/>
    <mergeCell ref="D12:D13"/>
    <mergeCell ref="E12:E13"/>
    <mergeCell ref="F12:F13"/>
    <mergeCell ref="G12:G13"/>
    <mergeCell ref="C14:K14"/>
    <mergeCell ref="I15:I16"/>
    <mergeCell ref="J15:J16"/>
    <mergeCell ref="K15:K16"/>
    <mergeCell ref="C17:K17"/>
    <mergeCell ref="C12:C13"/>
    <mergeCell ref="C15:C16"/>
    <mergeCell ref="D15:D16"/>
    <mergeCell ref="E15:E16"/>
    <mergeCell ref="F15:F16"/>
    <mergeCell ref="G15:G16"/>
    <mergeCell ref="H15:H16"/>
    <mergeCell ref="C18:C19"/>
    <mergeCell ref="J30:J31"/>
    <mergeCell ref="K30:K31"/>
    <mergeCell ref="D30:D31"/>
    <mergeCell ref="E30:E31"/>
    <mergeCell ref="F30:F31"/>
    <mergeCell ref="G30:G31"/>
    <mergeCell ref="H30:H31"/>
    <mergeCell ref="I30:I31"/>
    <mergeCell ref="C32:K32"/>
    <mergeCell ref="F43:F44"/>
    <mergeCell ref="G43:G44"/>
    <mergeCell ref="H43:H44"/>
    <mergeCell ref="I43:I44"/>
    <mergeCell ref="J43:J44"/>
    <mergeCell ref="K43:K44"/>
    <mergeCell ref="C39:K39"/>
    <mergeCell ref="C40:K41"/>
    <mergeCell ref="E42:F42"/>
    <mergeCell ref="H42:I42"/>
    <mergeCell ref="J42:K42"/>
    <mergeCell ref="C43:C44"/>
    <mergeCell ref="I46:I47"/>
    <mergeCell ref="J46:J47"/>
    <mergeCell ref="D43:D44"/>
    <mergeCell ref="E43:E44"/>
    <mergeCell ref="C45:K45"/>
    <mergeCell ref="C46:C47"/>
    <mergeCell ref="D46:D47"/>
    <mergeCell ref="E46:E47"/>
    <mergeCell ref="F46:F47"/>
    <mergeCell ref="K46:K47"/>
    <mergeCell ref="I49:I50"/>
    <mergeCell ref="J49:J50"/>
    <mergeCell ref="G46:G47"/>
    <mergeCell ref="H46:H47"/>
    <mergeCell ref="C48:K48"/>
    <mergeCell ref="C49:C50"/>
    <mergeCell ref="D49:D50"/>
    <mergeCell ref="E49:E50"/>
    <mergeCell ref="F49:F50"/>
    <mergeCell ref="K49:K50"/>
    <mergeCell ref="I61:I62"/>
    <mergeCell ref="J61:J62"/>
    <mergeCell ref="K61:K62"/>
    <mergeCell ref="C63:K63"/>
    <mergeCell ref="C58:C59"/>
    <mergeCell ref="C61:C62"/>
    <mergeCell ref="D61:D62"/>
    <mergeCell ref="E61:E62"/>
    <mergeCell ref="F61:F62"/>
    <mergeCell ref="G61:G62"/>
    <mergeCell ref="H61:H62"/>
  </mergeCells>
  <printOptions/>
  <pageMargins bottom="0.75" footer="0.0" header="0.0" left="0.7" right="0.7" top="0.75"/>
  <pageSetup paperSize="9" scale="68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1" width="5.75"/>
    <col customWidth="1" min="12" max="15" width="9.13"/>
    <col customWidth="1" min="16" max="24" width="8.0"/>
  </cols>
  <sheetData>
    <row r="1" ht="12.75" customHeight="1">
      <c r="A1" s="141"/>
      <c r="B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1"/>
      <c r="B2" s="28" t="s">
        <v>156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 ht="12.75" customHeight="1">
      <c r="A3" s="141"/>
      <c r="B3" s="30" t="s">
        <v>1</v>
      </c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ht="12.75" customHeight="1">
      <c r="A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</row>
    <row r="5" ht="13.5" customHeight="1">
      <c r="A5" s="141"/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</row>
    <row r="6" ht="19.5" customHeight="1">
      <c r="A6" s="141"/>
      <c r="B6" s="141"/>
      <c r="C6" s="185" t="s">
        <v>288</v>
      </c>
      <c r="D6" s="17"/>
      <c r="E6" s="17"/>
      <c r="F6" s="17"/>
      <c r="G6" s="17"/>
      <c r="H6" s="17"/>
      <c r="I6" s="17"/>
      <c r="J6" s="17"/>
      <c r="K6" s="22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</row>
    <row r="7" ht="4.5" customHeight="1">
      <c r="A7" s="141"/>
      <c r="B7" s="141"/>
      <c r="C7" s="143"/>
      <c r="D7" s="144"/>
      <c r="E7" s="144"/>
      <c r="F7" s="144"/>
      <c r="G7" s="144"/>
      <c r="H7" s="144"/>
      <c r="I7" s="144"/>
      <c r="J7" s="144"/>
      <c r="K7" s="145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</row>
    <row r="8" ht="4.5" customHeight="1">
      <c r="A8" s="141"/>
      <c r="B8" s="141"/>
      <c r="C8" s="146"/>
      <c r="D8" s="147"/>
      <c r="E8" s="147"/>
      <c r="F8" s="147"/>
      <c r="G8" s="147"/>
      <c r="H8" s="147"/>
      <c r="I8" s="147"/>
      <c r="J8" s="147"/>
      <c r="K8" s="148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</row>
    <row r="9" ht="12.75" customHeight="1">
      <c r="A9" s="141"/>
      <c r="B9" s="141"/>
      <c r="C9" s="149"/>
      <c r="D9" s="144"/>
      <c r="E9" s="144"/>
      <c r="F9" s="144"/>
      <c r="G9" s="144"/>
      <c r="H9" s="144"/>
      <c r="I9" s="144"/>
      <c r="J9" s="144"/>
      <c r="K9" s="145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</row>
    <row r="10" ht="12.75" customHeight="1">
      <c r="A10" s="141"/>
      <c r="B10" s="141"/>
      <c r="C10" s="146"/>
      <c r="D10" s="147"/>
      <c r="E10" s="147"/>
      <c r="F10" s="147"/>
      <c r="G10" s="147"/>
      <c r="H10" s="147"/>
      <c r="I10" s="147"/>
      <c r="J10" s="147"/>
      <c r="K10" s="148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</row>
    <row r="11" ht="19.5" customHeight="1">
      <c r="A11" s="141"/>
      <c r="B11" s="141"/>
      <c r="C11" s="150" t="s">
        <v>211</v>
      </c>
      <c r="D11" s="150" t="s">
        <v>212</v>
      </c>
      <c r="E11" s="151" t="s">
        <v>289</v>
      </c>
      <c r="F11" s="22"/>
      <c r="G11" s="150" t="s">
        <v>214</v>
      </c>
      <c r="H11" s="151" t="s">
        <v>290</v>
      </c>
      <c r="I11" s="22"/>
      <c r="J11" s="152" t="s">
        <v>216</v>
      </c>
      <c r="K11" s="22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</row>
    <row r="12" ht="12.75" customHeight="1">
      <c r="A12" s="141"/>
      <c r="B12" s="141"/>
      <c r="C12" s="202"/>
      <c r="K12" s="203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</row>
    <row r="13" ht="12.0" customHeight="1">
      <c r="A13" s="141"/>
      <c r="B13" s="141"/>
      <c r="C13" s="153" t="s">
        <v>217</v>
      </c>
      <c r="D13" s="154" t="s">
        <v>225</v>
      </c>
      <c r="E13" s="155" t="s">
        <v>39</v>
      </c>
      <c r="F13" s="155" t="s">
        <v>32</v>
      </c>
      <c r="G13" s="156" t="s">
        <v>214</v>
      </c>
      <c r="H13" s="155" t="s">
        <v>28</v>
      </c>
      <c r="I13" s="155" t="s">
        <v>35</v>
      </c>
      <c r="J13" s="155">
        <v>11.0</v>
      </c>
      <c r="K13" s="155">
        <v>7.0</v>
      </c>
      <c r="L13" s="189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</row>
    <row r="14" ht="12.0" customHeight="1">
      <c r="A14" s="141"/>
      <c r="B14" s="141"/>
      <c r="C14" s="125"/>
      <c r="D14" s="125"/>
      <c r="E14" s="125"/>
      <c r="F14" s="125"/>
      <c r="G14" s="125"/>
      <c r="H14" s="125"/>
      <c r="I14" s="125"/>
      <c r="J14" s="125"/>
      <c r="K14" s="125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</row>
    <row r="15" ht="12.0" customHeight="1">
      <c r="A15" s="141"/>
      <c r="B15" s="141"/>
      <c r="C15" s="161"/>
      <c r="D15" s="17"/>
      <c r="E15" s="17"/>
      <c r="F15" s="17"/>
      <c r="G15" s="17"/>
      <c r="H15" s="17"/>
      <c r="I15" s="17"/>
      <c r="J15" s="17"/>
      <c r="K15" s="22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</row>
    <row r="16" ht="12.0" customHeight="1">
      <c r="A16" s="141"/>
      <c r="B16" s="141"/>
      <c r="C16" s="153" t="s">
        <v>217</v>
      </c>
      <c r="D16" s="154" t="s">
        <v>227</v>
      </c>
      <c r="E16" s="155" t="s">
        <v>140</v>
      </c>
      <c r="F16" s="155" t="s">
        <v>146</v>
      </c>
      <c r="G16" s="156" t="s">
        <v>214</v>
      </c>
      <c r="H16" s="155" t="s">
        <v>149</v>
      </c>
      <c r="I16" s="155" t="s">
        <v>143</v>
      </c>
      <c r="J16" s="155">
        <v>9.0</v>
      </c>
      <c r="K16" s="155">
        <v>9.0</v>
      </c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</row>
    <row r="17" ht="12.0" customHeight="1">
      <c r="A17" s="141"/>
      <c r="B17" s="141"/>
      <c r="C17" s="125"/>
      <c r="D17" s="125"/>
      <c r="E17" s="125"/>
      <c r="F17" s="125"/>
      <c r="G17" s="125"/>
      <c r="H17" s="125"/>
      <c r="I17" s="125"/>
      <c r="J17" s="125"/>
      <c r="K17" s="125"/>
      <c r="L17" s="204"/>
      <c r="M17" s="141"/>
      <c r="N17" s="141" t="s">
        <v>239</v>
      </c>
      <c r="O17" s="141"/>
      <c r="P17" s="141"/>
      <c r="Q17" s="141"/>
      <c r="R17" s="141"/>
      <c r="S17" s="141"/>
      <c r="T17" s="141"/>
      <c r="U17" s="141"/>
      <c r="V17" s="141"/>
      <c r="W17" s="141"/>
      <c r="X17" s="141"/>
    </row>
    <row r="18" ht="12.0" customHeight="1">
      <c r="A18" s="141"/>
      <c r="B18" s="141"/>
      <c r="C18" s="161"/>
      <c r="D18" s="17"/>
      <c r="E18" s="17"/>
      <c r="F18" s="17"/>
      <c r="G18" s="17"/>
      <c r="H18" s="17"/>
      <c r="I18" s="17"/>
      <c r="J18" s="17"/>
      <c r="K18" s="22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</row>
    <row r="19" ht="12.0" customHeight="1">
      <c r="A19" s="141"/>
      <c r="B19" s="141"/>
      <c r="C19" s="153" t="s">
        <v>217</v>
      </c>
      <c r="D19" s="154" t="s">
        <v>218</v>
      </c>
      <c r="E19" s="155" t="s">
        <v>95</v>
      </c>
      <c r="F19" s="155" t="s">
        <v>88</v>
      </c>
      <c r="G19" s="156" t="s">
        <v>214</v>
      </c>
      <c r="H19" s="155" t="s">
        <v>98</v>
      </c>
      <c r="I19" s="155" t="s">
        <v>105</v>
      </c>
      <c r="J19" s="155">
        <v>7.0</v>
      </c>
      <c r="K19" s="155">
        <v>11.0</v>
      </c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</row>
    <row r="20" ht="12.0" customHeight="1">
      <c r="A20" s="141"/>
      <c r="B20" s="141"/>
      <c r="C20" s="125"/>
      <c r="D20" s="125"/>
      <c r="E20" s="125"/>
      <c r="F20" s="125"/>
      <c r="G20" s="125"/>
      <c r="H20" s="125"/>
      <c r="I20" s="125"/>
      <c r="J20" s="125"/>
      <c r="K20" s="125"/>
      <c r="L20" s="204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</row>
    <row r="21" ht="12.0" customHeight="1">
      <c r="A21" s="141"/>
      <c r="B21" s="141"/>
      <c r="C21" s="161"/>
      <c r="D21" s="17"/>
      <c r="E21" s="17"/>
      <c r="F21" s="17"/>
      <c r="G21" s="17"/>
      <c r="H21" s="17"/>
      <c r="I21" s="17"/>
      <c r="J21" s="17"/>
      <c r="K21" s="22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</row>
    <row r="22" ht="12.0" customHeight="1">
      <c r="A22" s="141"/>
      <c r="B22" s="141"/>
      <c r="C22" s="153" t="s">
        <v>220</v>
      </c>
      <c r="D22" s="154" t="s">
        <v>223</v>
      </c>
      <c r="E22" s="155" t="s">
        <v>11</v>
      </c>
      <c r="F22" s="155" t="s">
        <v>291</v>
      </c>
      <c r="G22" s="156" t="s">
        <v>214</v>
      </c>
      <c r="H22" s="155" t="s">
        <v>14</v>
      </c>
      <c r="I22" s="155" t="s">
        <v>132</v>
      </c>
      <c r="J22" s="155">
        <v>11.0</v>
      </c>
      <c r="K22" s="155">
        <v>7.0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</row>
    <row r="23" ht="12.0" customHeight="1">
      <c r="A23" s="141"/>
      <c r="B23" s="141"/>
      <c r="C23" s="125"/>
      <c r="D23" s="125"/>
      <c r="E23" s="125"/>
      <c r="F23" s="125"/>
      <c r="G23" s="125"/>
      <c r="H23" s="125"/>
      <c r="I23" s="125"/>
      <c r="J23" s="125"/>
      <c r="K23" s="125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</row>
    <row r="24" ht="12.0" customHeight="1">
      <c r="A24" s="141"/>
      <c r="B24" s="141"/>
      <c r="C24" s="161"/>
      <c r="D24" s="17"/>
      <c r="E24" s="17"/>
      <c r="F24" s="17"/>
      <c r="G24" s="17"/>
      <c r="H24" s="17"/>
      <c r="I24" s="17"/>
      <c r="J24" s="17"/>
      <c r="K24" s="22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</row>
    <row r="25" ht="12.0" customHeight="1">
      <c r="A25" s="141"/>
      <c r="B25" s="141"/>
      <c r="C25" s="153" t="s">
        <v>220</v>
      </c>
      <c r="D25" s="154" t="s">
        <v>221</v>
      </c>
      <c r="E25" s="155" t="s">
        <v>109</v>
      </c>
      <c r="F25" s="155" t="s">
        <v>115</v>
      </c>
      <c r="G25" s="156" t="s">
        <v>214</v>
      </c>
      <c r="H25" s="155" t="s">
        <v>112</v>
      </c>
      <c r="I25" s="155" t="s">
        <v>122</v>
      </c>
      <c r="J25" s="155">
        <v>5.0</v>
      </c>
      <c r="K25" s="155">
        <v>13.0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</row>
    <row r="26" ht="12.0" customHeight="1">
      <c r="A26" s="141"/>
      <c r="B26" s="141"/>
      <c r="C26" s="125"/>
      <c r="D26" s="125"/>
      <c r="E26" s="125"/>
      <c r="F26" s="125"/>
      <c r="G26" s="125"/>
      <c r="H26" s="125"/>
      <c r="I26" s="125"/>
      <c r="J26" s="125"/>
      <c r="K26" s="125"/>
      <c r="L26" s="189"/>
      <c r="M26" s="141"/>
      <c r="N26" s="141"/>
      <c r="O26" s="141" t="s">
        <v>239</v>
      </c>
      <c r="P26" s="141"/>
      <c r="Q26" s="141"/>
      <c r="R26" s="141"/>
      <c r="S26" s="141"/>
      <c r="T26" s="141"/>
      <c r="U26" s="141"/>
      <c r="V26" s="141"/>
      <c r="W26" s="141"/>
      <c r="X26" s="141"/>
    </row>
    <row r="27" ht="12.0" customHeight="1">
      <c r="A27" s="141"/>
      <c r="B27" s="141"/>
      <c r="C27" s="161"/>
      <c r="D27" s="17"/>
      <c r="E27" s="17"/>
      <c r="F27" s="17"/>
      <c r="G27" s="17"/>
      <c r="H27" s="17"/>
      <c r="I27" s="17"/>
      <c r="J27" s="17"/>
      <c r="K27" s="22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</row>
    <row r="28" ht="12.0" customHeight="1">
      <c r="A28" s="141"/>
      <c r="B28" s="141"/>
      <c r="C28" s="153" t="s">
        <v>220</v>
      </c>
      <c r="D28" s="154" t="s">
        <v>228</v>
      </c>
      <c r="E28" s="155" t="s">
        <v>292</v>
      </c>
      <c r="F28" s="155" t="s">
        <v>74</v>
      </c>
      <c r="G28" s="156" t="s">
        <v>214</v>
      </c>
      <c r="H28" s="155" t="s">
        <v>70</v>
      </c>
      <c r="I28" s="155" t="s">
        <v>77</v>
      </c>
      <c r="J28" s="155">
        <v>11.0</v>
      </c>
      <c r="K28" s="155">
        <v>8.0</v>
      </c>
      <c r="L28" s="141"/>
      <c r="M28" s="141"/>
      <c r="N28" s="141" t="s">
        <v>239</v>
      </c>
      <c r="O28" s="141"/>
      <c r="P28" s="141"/>
      <c r="Q28" s="141"/>
      <c r="R28" s="141"/>
      <c r="S28" s="141"/>
      <c r="T28" s="141"/>
      <c r="U28" s="141"/>
      <c r="V28" s="141"/>
      <c r="W28" s="141"/>
      <c r="X28" s="141"/>
    </row>
    <row r="29" ht="12.0" customHeight="1">
      <c r="A29" s="141"/>
      <c r="B29" s="141"/>
      <c r="C29" s="125"/>
      <c r="D29" s="125"/>
      <c r="E29" s="125"/>
      <c r="F29" s="125"/>
      <c r="G29" s="125"/>
      <c r="H29" s="125"/>
      <c r="I29" s="125"/>
      <c r="J29" s="125"/>
      <c r="K29" s="125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ht="12.0" customHeight="1">
      <c r="A30" s="141"/>
      <c r="B30" s="141"/>
      <c r="C30" s="161"/>
      <c r="D30" s="17"/>
      <c r="E30" s="17"/>
      <c r="F30" s="17"/>
      <c r="G30" s="17"/>
      <c r="H30" s="17"/>
      <c r="I30" s="17"/>
      <c r="J30" s="17"/>
      <c r="K30" s="22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  <row r="31" ht="12.0" customHeight="1">
      <c r="A31" s="141"/>
      <c r="B31" s="141"/>
      <c r="C31" s="153" t="s">
        <v>220</v>
      </c>
      <c r="D31" s="154" t="s">
        <v>226</v>
      </c>
      <c r="E31" s="165" t="s">
        <v>60</v>
      </c>
      <c r="F31" s="165" t="s">
        <v>53</v>
      </c>
      <c r="G31" s="156" t="s">
        <v>214</v>
      </c>
      <c r="H31" s="165" t="s">
        <v>56</v>
      </c>
      <c r="I31" s="165" t="s">
        <v>49</v>
      </c>
      <c r="J31" s="155">
        <v>9.0</v>
      </c>
      <c r="K31" s="155">
        <v>9.0</v>
      </c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</row>
    <row r="32" ht="12.0" customHeight="1">
      <c r="A32" s="141"/>
      <c r="B32" s="141"/>
      <c r="C32" s="125"/>
      <c r="D32" s="125"/>
      <c r="E32" s="125"/>
      <c r="F32" s="125"/>
      <c r="G32" s="125"/>
      <c r="H32" s="125"/>
      <c r="I32" s="125"/>
      <c r="J32" s="125"/>
      <c r="K32" s="125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</row>
    <row r="33" ht="12.75" customHeight="1">
      <c r="A33" s="141"/>
      <c r="B33" s="141"/>
      <c r="C33" s="161"/>
      <c r="D33" s="17"/>
      <c r="E33" s="17"/>
      <c r="F33" s="17"/>
      <c r="G33" s="17"/>
      <c r="H33" s="17"/>
      <c r="I33" s="17"/>
      <c r="J33" s="17"/>
      <c r="K33" s="22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</row>
    <row r="34" ht="12.75" customHeight="1">
      <c r="A34" s="141"/>
      <c r="B34" s="141"/>
      <c r="C34" s="205" t="s">
        <v>262</v>
      </c>
      <c r="D34" s="205"/>
      <c r="E34" s="206"/>
      <c r="F34" s="206"/>
      <c r="G34" s="205" t="s">
        <v>214</v>
      </c>
      <c r="H34" s="206"/>
      <c r="I34" s="207"/>
      <c r="J34" s="208"/>
      <c r="K34" s="208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</row>
    <row r="35" ht="12.75" customHeight="1">
      <c r="A35" s="141"/>
      <c r="B35" s="141"/>
      <c r="C35" s="125"/>
      <c r="D35" s="125"/>
      <c r="E35" s="125"/>
      <c r="F35" s="125"/>
      <c r="G35" s="125"/>
      <c r="H35" s="125"/>
      <c r="I35" s="209"/>
      <c r="J35" s="125"/>
      <c r="K35" s="125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</row>
    <row r="36" ht="12.75" customHeight="1">
      <c r="A36" s="141"/>
      <c r="B36" s="141"/>
      <c r="C36" s="210"/>
      <c r="D36" s="210"/>
      <c r="E36" s="210"/>
      <c r="F36" s="210"/>
      <c r="G36" s="210"/>
      <c r="H36" s="210"/>
      <c r="I36" s="210"/>
      <c r="J36" s="211"/>
      <c r="K36" s="212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</row>
    <row r="37" ht="12.75" customHeight="1">
      <c r="A37" s="141"/>
      <c r="B37" s="141"/>
      <c r="C37" s="153"/>
      <c r="D37" s="213"/>
      <c r="E37" s="208"/>
      <c r="F37" s="208"/>
      <c r="G37" s="156" t="s">
        <v>214</v>
      </c>
      <c r="H37" s="208"/>
      <c r="I37" s="208"/>
      <c r="J37" s="208"/>
      <c r="K37" s="208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</row>
    <row r="38" ht="12.75" customHeight="1">
      <c r="A38" s="141"/>
      <c r="B38" s="141"/>
      <c r="C38" s="125"/>
      <c r="D38" s="125"/>
      <c r="E38" s="125"/>
      <c r="F38" s="125"/>
      <c r="G38" s="125"/>
      <c r="H38" s="125"/>
      <c r="I38" s="125"/>
      <c r="J38" s="125"/>
      <c r="K38" s="125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</row>
    <row r="39" ht="12.75" customHeight="1">
      <c r="A39" s="141"/>
      <c r="B39" s="141"/>
      <c r="C39" s="161"/>
      <c r="D39" s="17"/>
      <c r="E39" s="17"/>
      <c r="F39" s="17"/>
      <c r="G39" s="17"/>
      <c r="H39" s="17"/>
      <c r="I39" s="17"/>
      <c r="J39" s="17"/>
      <c r="K39" s="22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</row>
    <row r="40" ht="15.0" customHeight="1">
      <c r="A40" s="141"/>
      <c r="B40" s="141"/>
      <c r="C40" s="214" t="s">
        <v>293</v>
      </c>
      <c r="D40" s="17"/>
      <c r="E40" s="17"/>
      <c r="F40" s="17"/>
      <c r="G40" s="17"/>
      <c r="H40" s="17"/>
      <c r="I40" s="22"/>
      <c r="J40" s="188">
        <f>J13+J16+J19+J22+J25+J28+J31+J34+J37</f>
        <v>63</v>
      </c>
      <c r="K40" s="188">
        <f>K13+K16+K19+K22+K25+K28+K31+K34</f>
        <v>64</v>
      </c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</row>
    <row r="41" ht="12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</row>
    <row r="42" ht="12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</row>
    <row r="43" ht="12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</row>
    <row r="44" ht="12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</row>
    <row r="45" ht="12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</row>
    <row r="46" ht="12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</row>
    <row r="47" ht="12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</row>
    <row r="48" ht="12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</row>
    <row r="49" ht="12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</row>
    <row r="50" ht="12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</row>
    <row r="51" ht="12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</row>
    <row r="52" ht="12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</row>
    <row r="53" ht="12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</row>
    <row r="54" ht="12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</row>
    <row r="55" ht="12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</row>
    <row r="56" ht="12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</row>
    <row r="57" ht="12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</row>
    <row r="58" ht="12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</row>
    <row r="59" ht="12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</row>
    <row r="60" ht="12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</row>
    <row r="61" ht="12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</row>
    <row r="62" ht="12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</row>
    <row r="63" ht="12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</row>
    <row r="64" ht="12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</row>
    <row r="65" ht="12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</row>
    <row r="66" ht="12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</row>
    <row r="67" ht="12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</row>
    <row r="68" ht="12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</row>
    <row r="69" ht="12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</row>
    <row r="70" ht="12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</row>
    <row r="71" ht="12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</row>
    <row r="72" ht="12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</row>
    <row r="73" ht="12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</row>
    <row r="74" ht="12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</row>
    <row r="75" ht="12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</row>
    <row r="76" ht="12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</row>
    <row r="77" ht="12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</row>
    <row r="78" ht="12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</row>
    <row r="79" ht="12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</row>
    <row r="80" ht="12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</row>
    <row r="81" ht="12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</row>
    <row r="82" ht="12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</row>
    <row r="83" ht="12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</row>
    <row r="84" ht="12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</row>
    <row r="85" ht="12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</row>
    <row r="86" ht="12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</row>
    <row r="87" ht="12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</row>
    <row r="88" ht="12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</row>
    <row r="89" ht="12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</row>
    <row r="90" ht="12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</row>
    <row r="91" ht="12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</row>
    <row r="92" ht="12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</row>
    <row r="93" ht="12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</row>
    <row r="94" ht="12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</row>
    <row r="95" ht="12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</row>
    <row r="96" ht="12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</row>
    <row r="97" ht="12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</row>
    <row r="98" ht="12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</row>
    <row r="99" ht="12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</row>
    <row r="100" ht="12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</row>
    <row r="101" ht="12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</row>
    <row r="102" ht="12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</row>
    <row r="103" ht="12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</row>
    <row r="104" ht="12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</row>
    <row r="105" ht="12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</row>
    <row r="106" ht="12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</row>
    <row r="107" ht="12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</row>
    <row r="108" ht="12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</row>
    <row r="109" ht="12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</row>
    <row r="110" ht="12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</row>
    <row r="111" ht="12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</row>
    <row r="112" ht="12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</row>
    <row r="113" ht="12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</row>
    <row r="114" ht="12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</row>
    <row r="115" ht="12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</row>
    <row r="116" ht="12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</row>
    <row r="117" ht="12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</row>
    <row r="118" ht="12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</row>
    <row r="119" ht="12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</row>
    <row r="120" ht="12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</row>
    <row r="121" ht="12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</row>
    <row r="122" ht="12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</row>
    <row r="123" ht="12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</row>
    <row r="124" ht="12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</row>
    <row r="125" ht="12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</row>
    <row r="126" ht="12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</row>
    <row r="127" ht="12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</row>
    <row r="128" ht="12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</row>
    <row r="129" ht="12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</row>
    <row r="130" ht="12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</row>
    <row r="131" ht="12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</row>
    <row r="132" ht="12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</row>
    <row r="133" ht="12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</row>
    <row r="134" ht="12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</row>
    <row r="135" ht="12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</row>
    <row r="136" ht="12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</row>
    <row r="137" ht="12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</row>
    <row r="138" ht="12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</row>
    <row r="139" ht="12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</row>
    <row r="140" ht="12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</row>
    <row r="141" ht="12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</row>
    <row r="142" ht="12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</row>
    <row r="143" ht="12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</row>
    <row r="144" ht="12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</row>
    <row r="145" ht="12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</row>
    <row r="146" ht="12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</row>
    <row r="147" ht="12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</row>
    <row r="148" ht="12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</row>
    <row r="149" ht="12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</row>
    <row r="150" ht="12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</row>
    <row r="151" ht="12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</row>
    <row r="152" ht="12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</row>
    <row r="153" ht="12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</row>
    <row r="154" ht="12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</row>
    <row r="155" ht="12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ht="12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</row>
    <row r="157" ht="12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</row>
    <row r="158" ht="12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</row>
    <row r="159" ht="12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</row>
    <row r="160" ht="12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</row>
    <row r="161" ht="12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</row>
    <row r="162" ht="12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</row>
    <row r="163" ht="12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</row>
    <row r="164" ht="12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</row>
    <row r="165" ht="12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</row>
    <row r="166" ht="12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</row>
    <row r="167" ht="12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</row>
    <row r="168" ht="12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</row>
    <row r="169" ht="12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</row>
    <row r="170" ht="12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</row>
    <row r="171" ht="12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</row>
    <row r="172" ht="12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</row>
    <row r="173" ht="12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</row>
    <row r="174" ht="12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</row>
    <row r="175" ht="12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</row>
    <row r="176" ht="12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</row>
    <row r="177" ht="12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</row>
    <row r="178" ht="12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</row>
    <row r="179" ht="12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</row>
    <row r="180" ht="12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</row>
    <row r="181" ht="12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</row>
    <row r="182" ht="12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</row>
    <row r="183" ht="12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</row>
    <row r="184" ht="12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</row>
    <row r="185" ht="12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</row>
    <row r="186" ht="12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</row>
    <row r="187" ht="12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</row>
    <row r="188" ht="12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</row>
    <row r="189" ht="12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</row>
    <row r="190" ht="12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</row>
    <row r="191" ht="12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</row>
    <row r="192" ht="12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</row>
    <row r="193" ht="12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</row>
    <row r="194" ht="12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</row>
    <row r="195" ht="12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</row>
    <row r="196" ht="12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</row>
    <row r="197" ht="12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</row>
    <row r="198" ht="12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</row>
    <row r="199" ht="12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</row>
    <row r="200" ht="12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</row>
    <row r="201" ht="12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</row>
    <row r="202" ht="12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</row>
    <row r="203" ht="12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</row>
    <row r="204" ht="12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</row>
    <row r="205" ht="12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</row>
    <row r="206" ht="12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</row>
    <row r="207" ht="12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</row>
    <row r="208" ht="12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</row>
    <row r="209" ht="12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</row>
    <row r="210" ht="12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</row>
    <row r="211" ht="12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</row>
    <row r="212" ht="12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</row>
    <row r="213" ht="12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</row>
    <row r="214" ht="12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</row>
    <row r="215" ht="12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</row>
    <row r="216" ht="12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</row>
    <row r="217" ht="12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</row>
    <row r="218" ht="12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</row>
    <row r="219" ht="12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</row>
    <row r="220" ht="12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</row>
    <row r="221" ht="12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</row>
    <row r="222" ht="12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</row>
    <row r="223" ht="12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</row>
    <row r="224" ht="12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</row>
    <row r="225" ht="12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</row>
    <row r="226" ht="12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</row>
    <row r="227" ht="12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</row>
    <row r="228" ht="12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</row>
    <row r="229" ht="12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</row>
    <row r="230" ht="12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</row>
    <row r="231" ht="12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</row>
    <row r="232" ht="12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</row>
    <row r="233" ht="12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</row>
    <row r="234" ht="12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</row>
    <row r="235" ht="12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</row>
    <row r="236" ht="12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</row>
    <row r="237" ht="12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</row>
    <row r="238" ht="12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</row>
    <row r="239" ht="12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9">
    <mergeCell ref="J19:J20"/>
    <mergeCell ref="K19:K20"/>
    <mergeCell ref="D19:D20"/>
    <mergeCell ref="E19:E20"/>
    <mergeCell ref="F19:F20"/>
    <mergeCell ref="G19:G20"/>
    <mergeCell ref="H19:H20"/>
    <mergeCell ref="I19:I20"/>
    <mergeCell ref="C21:K21"/>
    <mergeCell ref="I22:I23"/>
    <mergeCell ref="J22:J23"/>
    <mergeCell ref="K22:K23"/>
    <mergeCell ref="C24:K24"/>
    <mergeCell ref="C19:C20"/>
    <mergeCell ref="C22:C23"/>
    <mergeCell ref="D22:D23"/>
    <mergeCell ref="E22:E23"/>
    <mergeCell ref="F22:F23"/>
    <mergeCell ref="G22:G23"/>
    <mergeCell ref="H22:H23"/>
    <mergeCell ref="J25:J26"/>
    <mergeCell ref="K25:K26"/>
    <mergeCell ref="D25:D26"/>
    <mergeCell ref="E25:E26"/>
    <mergeCell ref="F25:F26"/>
    <mergeCell ref="G25:G26"/>
    <mergeCell ref="H25:H26"/>
    <mergeCell ref="I25:I26"/>
    <mergeCell ref="C27:K27"/>
    <mergeCell ref="I28:I29"/>
    <mergeCell ref="J28:J29"/>
    <mergeCell ref="K28:K29"/>
    <mergeCell ref="C30:K30"/>
    <mergeCell ref="C25:C26"/>
    <mergeCell ref="C28:C29"/>
    <mergeCell ref="D28:D29"/>
    <mergeCell ref="E28:E29"/>
    <mergeCell ref="F28:F29"/>
    <mergeCell ref="G28:G29"/>
    <mergeCell ref="H28:H29"/>
    <mergeCell ref="J31:J32"/>
    <mergeCell ref="K31:K32"/>
    <mergeCell ref="D31:D32"/>
    <mergeCell ref="E31:E32"/>
    <mergeCell ref="F31:F32"/>
    <mergeCell ref="G31:G32"/>
    <mergeCell ref="H31:H32"/>
    <mergeCell ref="I31:I32"/>
    <mergeCell ref="C33:K33"/>
    <mergeCell ref="C31:C32"/>
    <mergeCell ref="G37:G38"/>
    <mergeCell ref="H37:H38"/>
    <mergeCell ref="J37:J38"/>
    <mergeCell ref="K37:K38"/>
    <mergeCell ref="E37:E38"/>
    <mergeCell ref="C37:C38"/>
    <mergeCell ref="C39:K39"/>
    <mergeCell ref="C40:I40"/>
    <mergeCell ref="I37:I38"/>
    <mergeCell ref="F37:F38"/>
    <mergeCell ref="D37:D38"/>
    <mergeCell ref="B2:K2"/>
    <mergeCell ref="B3:K4"/>
    <mergeCell ref="C6:K6"/>
    <mergeCell ref="C7:K8"/>
    <mergeCell ref="C9:K10"/>
    <mergeCell ref="E11:F11"/>
    <mergeCell ref="H11:I11"/>
    <mergeCell ref="J13:J14"/>
    <mergeCell ref="K13:K14"/>
    <mergeCell ref="J11:K11"/>
    <mergeCell ref="C12:K12"/>
    <mergeCell ref="D13:D14"/>
    <mergeCell ref="E13:E14"/>
    <mergeCell ref="F13:F14"/>
    <mergeCell ref="G13:G14"/>
    <mergeCell ref="C15:K15"/>
    <mergeCell ref="I16:I17"/>
    <mergeCell ref="J16:J17"/>
    <mergeCell ref="K16:K17"/>
    <mergeCell ref="C18:K18"/>
    <mergeCell ref="C13:C14"/>
    <mergeCell ref="C16:C17"/>
    <mergeCell ref="D16:D17"/>
    <mergeCell ref="E16:E17"/>
    <mergeCell ref="F16:F17"/>
    <mergeCell ref="G16:G17"/>
    <mergeCell ref="H16:H17"/>
    <mergeCell ref="J34:J35"/>
    <mergeCell ref="K34:K35"/>
    <mergeCell ref="C34:C35"/>
    <mergeCell ref="H13:H14"/>
    <mergeCell ref="I13:I14"/>
    <mergeCell ref="G34:G35"/>
    <mergeCell ref="D34:D35"/>
    <mergeCell ref="E34:E35"/>
    <mergeCell ref="F34:F35"/>
    <mergeCell ref="I34:I35"/>
    <mergeCell ref="H34:H35"/>
  </mergeCells>
  <printOptions/>
  <pageMargins bottom="0.75" footer="0.0" header="0.0" left="0.7" right="0.7" top="0.75"/>
  <pageSetup paperSize="9"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2024-10-19T13:06:17Z</dcterms:created>
  <dc:creator>User</dc:creator>
</cp:coreProperties>
</file>