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yers - Men" sheetId="1" r:id="rId4"/>
    <sheet state="visible" name="Men Div 1" sheetId="2" r:id="rId5"/>
    <sheet state="visible" name="Men Div 2" sheetId="3" r:id="rId6"/>
    <sheet state="visible" name="Men Div 3" sheetId="4" r:id="rId7"/>
    <sheet state="visible" name="Men Div 4" sheetId="5" r:id="rId8"/>
    <sheet state="visible" name="Players - Ladies" sheetId="6" r:id="rId9"/>
    <sheet state="visible" name="Ladies Div 1" sheetId="7" r:id="rId10"/>
    <sheet state="visible" name="Ladies Div 2" sheetId="8" r:id="rId11"/>
    <sheet state="visible" name="Ladies Div 3" sheetId="9" r:id="rId12"/>
    <sheet state="visible" name="Ladies Div 4" sheetId="10" r:id="rId13"/>
  </sheets>
  <definedNames/>
  <calcPr/>
  <extLst>
    <ext uri="GoogleSheetsCustomDataVersion2">
      <go:sheetsCustomData xmlns:go="http://customooxmlschemas.google.com/" r:id="rId14" roundtripDataChecksum="KshBq3cMLPTkIRBRTqC/X0D9KkDmCtnegYaUfOgDg6E="/>
    </ext>
  </extLst>
</workbook>
</file>

<file path=xl/sharedStrings.xml><?xml version="1.0" encoding="utf-8"?>
<sst xmlns="http://schemas.openxmlformats.org/spreadsheetml/2006/main" count="804" uniqueCount="121">
  <si>
    <t>VLTC Singles Tournament 2025</t>
  </si>
  <si>
    <t>Men Division 1 - Group A</t>
  </si>
  <si>
    <t>Men Division 1 - Group B</t>
  </si>
  <si>
    <t>Trevor Rutter</t>
  </si>
  <si>
    <t>Jean Carl Azzopardi</t>
  </si>
  <si>
    <t>Melchior Farrugia</t>
  </si>
  <si>
    <t>Karl Debattista</t>
  </si>
  <si>
    <t>Ryan Mizzi</t>
  </si>
  <si>
    <t>Claude Mifsud Wismayer</t>
  </si>
  <si>
    <t>Andre' Farrugia</t>
  </si>
  <si>
    <t>Daniel Farrugia</t>
  </si>
  <si>
    <t>Marco Mercieca</t>
  </si>
  <si>
    <t>Fotios Evangelou</t>
  </si>
  <si>
    <t>Kurt Cassar</t>
  </si>
  <si>
    <t>Eric Roca</t>
  </si>
  <si>
    <t>Men Division 2 - Group A</t>
  </si>
  <si>
    <t>Men Division 2 - Group B</t>
  </si>
  <si>
    <t>Tobias Kristensen</t>
  </si>
  <si>
    <t>John Mifsud</t>
  </si>
  <si>
    <t>Kristen Cachia</t>
  </si>
  <si>
    <t>Roderick Spiteri</t>
  </si>
  <si>
    <t>Justin Graeme Christie</t>
  </si>
  <si>
    <t>Jonathan Martinelli</t>
  </si>
  <si>
    <t>Emman Xuereb</t>
  </si>
  <si>
    <t>Liam Dixon</t>
  </si>
  <si>
    <t>Ivan Cassar</t>
  </si>
  <si>
    <t>Georges Meekers</t>
  </si>
  <si>
    <t>Kyle Magro</t>
  </si>
  <si>
    <t>Julian Bilocca</t>
  </si>
  <si>
    <t>Men Division 3 Group A</t>
  </si>
  <si>
    <t>Men Division 3 - Group B</t>
  </si>
  <si>
    <t>Etienne Formosa Carabez</t>
  </si>
  <si>
    <t>Sam Zammit</t>
  </si>
  <si>
    <t>David Camilleri</t>
  </si>
  <si>
    <t>Steve Gambin</t>
  </si>
  <si>
    <t>Cory Greenland</t>
  </si>
  <si>
    <t>Sean Cachia</t>
  </si>
  <si>
    <t>Jason Lee Evans</t>
  </si>
  <si>
    <t>Sebastian Attard</t>
  </si>
  <si>
    <t>Adrian Duca</t>
  </si>
  <si>
    <t>Matthew Micallef</t>
  </si>
  <si>
    <t>Juan Sammut</t>
  </si>
  <si>
    <t>Simone Re</t>
  </si>
  <si>
    <t>Men Division 4 Group A</t>
  </si>
  <si>
    <t>Men Division 4 Group B</t>
  </si>
  <si>
    <t>Sammy Ben Tamer</t>
  </si>
  <si>
    <t>Matthew Caruana</t>
  </si>
  <si>
    <t>Kevin Sciberras</t>
  </si>
  <si>
    <t>Jurgen Cachia</t>
  </si>
  <si>
    <t>Liam Vella</t>
  </si>
  <si>
    <t>Redent Scicluna</t>
  </si>
  <si>
    <t>Chris Vella</t>
  </si>
  <si>
    <t>Glenn Micallef</t>
  </si>
  <si>
    <t>Braydon Galea</t>
  </si>
  <si>
    <t>JP Sciberras</t>
  </si>
  <si>
    <t>Michael Bugeja</t>
  </si>
  <si>
    <t>Matthew Napier</t>
  </si>
  <si>
    <t>Division 1 - Group A</t>
  </si>
  <si>
    <t>Players</t>
  </si>
  <si>
    <t>Set Scores</t>
  </si>
  <si>
    <t>Tie</t>
  </si>
  <si>
    <t>Player</t>
  </si>
  <si>
    <t>Matches Played</t>
  </si>
  <si>
    <t>Points Overall</t>
  </si>
  <si>
    <t>Games Won</t>
  </si>
  <si>
    <t>Sets Won</t>
  </si>
  <si>
    <t>Score</t>
  </si>
  <si>
    <t>Set 1 Work</t>
  </si>
  <si>
    <t>Set 2 Work</t>
  </si>
  <si>
    <t>Tie Work</t>
  </si>
  <si>
    <t>Game Played</t>
  </si>
  <si>
    <t>Sets Points Work</t>
  </si>
  <si>
    <t>Sets &amp; Tie Points Work</t>
  </si>
  <si>
    <t>Games Wins Work</t>
  </si>
  <si>
    <t>Sets Wins Work</t>
  </si>
  <si>
    <t>Winner Working</t>
  </si>
  <si>
    <t>Total Games Work</t>
  </si>
  <si>
    <t>Winner</t>
  </si>
  <si>
    <t>vs.</t>
  </si>
  <si>
    <t>Group A Winner</t>
  </si>
  <si>
    <t>Division 1 - Group B</t>
  </si>
  <si>
    <t>Group B Winner</t>
  </si>
  <si>
    <t>Final</t>
  </si>
  <si>
    <t>Divison Winner</t>
  </si>
  <si>
    <t>Divison Runner Up</t>
  </si>
  <si>
    <t>Division 2 - Group A</t>
  </si>
  <si>
    <t xml:space="preserve"> </t>
  </si>
  <si>
    <t>Division 2 - Group B</t>
  </si>
  <si>
    <t>Men Division 3 - Group A</t>
  </si>
  <si>
    <t>Runner Up Working</t>
  </si>
  <si>
    <t>Runner Up</t>
  </si>
  <si>
    <t>Division Winner</t>
  </si>
  <si>
    <t>Men Division 4 - Group A</t>
  </si>
  <si>
    <t>Men Division 4 - Group B</t>
  </si>
  <si>
    <t>Ladies Division 1</t>
  </si>
  <si>
    <t>Alison Muscat</t>
  </si>
  <si>
    <t>Kaya Sammut</t>
  </si>
  <si>
    <t>Amanda Falzon</t>
  </si>
  <si>
    <t>Julie Spiteri</t>
  </si>
  <si>
    <t>Francesca Sciortino</t>
  </si>
  <si>
    <t>Diane Fenech</t>
  </si>
  <si>
    <t>Ladies Division 2</t>
  </si>
  <si>
    <t>Sophia Re</t>
  </si>
  <si>
    <t>Giada Sciberras</t>
  </si>
  <si>
    <t>Dominique Francica</t>
  </si>
  <si>
    <t>Jade Sammut</t>
  </si>
  <si>
    <t>Dawn Azzopardi</t>
  </si>
  <si>
    <t>Jin Attard</t>
  </si>
  <si>
    <t>Ladies Division 3</t>
  </si>
  <si>
    <t>Nancy Wong</t>
  </si>
  <si>
    <t>Tiffany Fenech</t>
  </si>
  <si>
    <t>Maria Angela Gambin</t>
  </si>
  <si>
    <t>Leanne Sammut</t>
  </si>
  <si>
    <t>Maria Ellul</t>
  </si>
  <si>
    <t>Ladies Division 4</t>
  </si>
  <si>
    <t>Jodie Stivala</t>
  </si>
  <si>
    <t>Tiziana Spiteri</t>
  </si>
  <si>
    <t>Alida Borg</t>
  </si>
  <si>
    <t>Janice Galea</t>
  </si>
  <si>
    <t>Sabrina Xuereb</t>
  </si>
  <si>
    <t>Division Runner 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</si>
</sst>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5">
    <font>
      <sz val="10.0"/>
      <color rgb="FF000000"/>
      <name val="Arial"/>
      <scheme val="minor"/>
    </font>
    <font>
      <b/>
      <u/>
      <sz val="14.0"/>
      <color theme="1"/>
      <name val="Calibri"/>
    </font>
    <font>
      <b/>
      <u/>
      <sz val="16.0"/>
      <color theme="1"/>
      <name val="Calibri"/>
    </font>
    <font>
      <sz val="10.0"/>
      <color rgb="FF000000"/>
      <name val="Calibri"/>
    </font>
    <font>
      <b/>
      <u/>
      <sz val="12.0"/>
      <color theme="1"/>
      <name val="Calibri"/>
    </font>
    <font>
      <sz val="12.0"/>
      <color theme="1"/>
      <name val="Calibri"/>
    </font>
    <font>
      <sz val="10.0"/>
      <color theme="1"/>
      <name val="Arial"/>
    </font>
    <font>
      <b/>
      <u/>
      <sz val="14.0"/>
      <color theme="1"/>
      <name val="Calibri"/>
    </font>
    <font>
      <b/>
      <u/>
      <sz val="14.0"/>
      <color theme="1"/>
      <name val="Calibri"/>
    </font>
    <font>
      <b/>
      <u/>
      <sz val="14.0"/>
      <color theme="1"/>
      <name val="Calibri"/>
    </font>
    <font>
      <b/>
      <u/>
      <sz val="14.0"/>
      <color theme="1"/>
      <name val="Calibri"/>
    </font>
    <font>
      <sz val="12.0"/>
      <color rgb="FF000000"/>
      <name val="Calibri"/>
    </font>
    <font>
      <b/>
      <sz val="14.0"/>
      <color theme="1"/>
      <name val="Calibri"/>
    </font>
    <font>
      <b/>
      <u/>
      <sz val="14.0"/>
      <color theme="1"/>
      <name val="Calibri"/>
    </font>
    <font>
      <b/>
      <u/>
      <sz val="20.0"/>
      <color theme="1"/>
      <name val="Calibri"/>
    </font>
    <font>
      <b/>
      <u/>
      <sz val="16.0"/>
      <color theme="1"/>
      <name val="Arial"/>
    </font>
    <font/>
    <font>
      <sz val="11.0"/>
      <color theme="1"/>
      <name val="Arial"/>
    </font>
    <font>
      <b/>
      <u/>
      <sz val="12.0"/>
      <color theme="1"/>
      <name val="Arial"/>
    </font>
    <font>
      <b/>
      <u/>
      <sz val="12.0"/>
      <color theme="1"/>
      <name val="Arial"/>
    </font>
    <font>
      <sz val="12.0"/>
      <color theme="1"/>
      <name val="Arial"/>
    </font>
    <font>
      <b/>
      <u/>
      <sz val="12.0"/>
      <color theme="1"/>
      <name val="Arial"/>
    </font>
    <font>
      <b/>
      <sz val="12.0"/>
      <color theme="1"/>
      <name val="Arial"/>
    </font>
    <font>
      <b/>
      <sz val="11.0"/>
      <color theme="1"/>
      <name val="Arial"/>
    </font>
    <font>
      <b/>
      <u/>
      <sz val="11.0"/>
      <color rgb="FF00FFFF"/>
      <name val="Arial"/>
    </font>
    <font>
      <b/>
      <u/>
      <sz val="11.0"/>
      <color rgb="FF00FFFF"/>
      <name val="Arial"/>
    </font>
    <font>
      <b/>
      <u/>
      <sz val="11.0"/>
      <color rgb="FF00FFFF"/>
      <name val="Arial"/>
    </font>
    <font>
      <b/>
      <u/>
      <sz val="11.0"/>
      <color theme="1"/>
      <name val="Arial"/>
    </font>
    <font>
      <sz val="11.0"/>
      <color rgb="FF000000"/>
      <name val="Calibri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rgb="FF00FFFF"/>
      <name val="Arial"/>
    </font>
    <font>
      <b/>
      <u/>
      <sz val="11.0"/>
      <color theme="1"/>
      <name val="Arial"/>
    </font>
    <font>
      <b/>
      <u/>
      <sz val="16.0"/>
      <color theme="1"/>
      <name val="Arial"/>
    </font>
    <font>
      <b/>
      <u/>
      <sz val="12.0"/>
      <color theme="1"/>
      <name val="Arial"/>
    </font>
    <font>
      <b/>
      <u/>
      <sz val="12.0"/>
      <color theme="1"/>
      <name val="Arial"/>
    </font>
    <font>
      <b/>
      <u/>
      <sz val="12.0"/>
      <color theme="1"/>
      <name val="Arial"/>
    </font>
    <font>
      <b/>
      <u/>
      <sz val="11.0"/>
      <color rgb="FF000000"/>
      <name val="Arial"/>
    </font>
    <font>
      <b/>
      <u/>
      <sz val="11.0"/>
      <color rgb="FF000000"/>
      <name val="Arial"/>
    </font>
    <font>
      <sz val="10.0"/>
      <color rgb="FF000000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6.0"/>
      <color theme="1"/>
      <name val="Arial"/>
    </font>
    <font>
      <b/>
      <u/>
      <sz val="12.0"/>
      <color theme="1"/>
      <name val="Arial"/>
    </font>
    <font>
      <b/>
      <u/>
      <sz val="12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8.0"/>
      <color theme="1"/>
      <name val="Arial"/>
    </font>
    <font>
      <b/>
      <u/>
      <sz val="12.0"/>
      <color theme="1"/>
      <name val="Arial"/>
    </font>
    <font>
      <b/>
      <u/>
      <sz val="12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6.0"/>
      <color theme="1"/>
      <name val="Arial"/>
    </font>
    <font>
      <b/>
      <u/>
      <sz val="12.0"/>
      <color theme="1"/>
      <name val="Arial"/>
    </font>
    <font>
      <b/>
      <u/>
      <sz val="12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6.0"/>
      <color theme="1"/>
      <name val="Arial"/>
    </font>
    <font>
      <b/>
      <u/>
      <sz val="12.0"/>
      <color theme="1"/>
      <name val="Arial"/>
    </font>
    <font>
      <b/>
      <u/>
      <sz val="12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6.0"/>
      <color theme="1"/>
      <name val="Arial"/>
    </font>
    <font>
      <b/>
      <u/>
      <sz val="12.0"/>
      <color theme="1"/>
      <name val="Arial"/>
    </font>
    <font>
      <b/>
      <u/>
      <sz val="12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23.0"/>
      <color theme="1"/>
      <name val="Calibri"/>
    </font>
    <font>
      <b/>
      <u/>
      <sz val="18.0"/>
      <color rgb="FF000000"/>
      <name val="Calibri"/>
    </font>
    <font>
      <sz val="10.0"/>
      <color theme="1"/>
      <name val="Calibri"/>
    </font>
    <font>
      <sz val="16.0"/>
      <color theme="1"/>
      <name val="Calibri"/>
    </font>
    <font>
      <b/>
      <u/>
      <sz val="14.0"/>
      <color theme="1"/>
      <name val="Calibri"/>
    </font>
    <font>
      <sz val="14.0"/>
      <color theme="1"/>
      <name val="Calibri"/>
    </font>
    <font>
      <sz val="14.0"/>
      <color rgb="FF000000"/>
      <name val="Calibri"/>
    </font>
    <font>
      <b/>
      <u/>
      <sz val="14.0"/>
      <color theme="1"/>
      <name val="Calibri"/>
    </font>
    <font>
      <b/>
      <u/>
      <sz val="14.0"/>
      <color theme="1"/>
      <name val="Calibri"/>
    </font>
    <font>
      <b/>
      <u/>
      <sz val="14.0"/>
      <color theme="1"/>
      <name val="Calibri"/>
    </font>
    <font>
      <b/>
      <u/>
      <sz val="16.0"/>
      <color theme="1"/>
      <name val="Arial"/>
    </font>
    <font>
      <sz val="16.0"/>
      <color theme="1"/>
      <name val="Arial"/>
    </font>
    <font>
      <b/>
      <u/>
      <sz val="12.0"/>
      <color theme="1"/>
      <name val="Arial"/>
    </font>
    <font>
      <b/>
      <u/>
      <sz val="12.0"/>
      <color theme="1"/>
      <name val="Arial"/>
    </font>
    <font>
      <b/>
      <u/>
      <sz val="11.0"/>
      <color theme="1"/>
      <name val="Arial"/>
    </font>
    <font>
      <b/>
      <u/>
      <sz val="16.0"/>
      <color theme="1"/>
      <name val="Arial"/>
    </font>
    <font>
      <b/>
      <u/>
      <sz val="12.0"/>
      <color theme="1"/>
      <name val="Arial"/>
    </font>
    <font>
      <b/>
      <u/>
      <sz val="12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6.0"/>
      <color theme="1"/>
      <name val="Arial"/>
    </font>
    <font>
      <b/>
      <u/>
      <sz val="12.0"/>
      <color theme="1"/>
      <name val="Arial"/>
    </font>
    <font>
      <b/>
      <u/>
      <sz val="12.0"/>
      <color theme="1"/>
      <name val="Arial"/>
    </font>
    <font>
      <b/>
      <u/>
      <sz val="12.0"/>
      <color theme="1"/>
      <name val="Arial"/>
    </font>
    <font>
      <b/>
      <u/>
      <sz val="12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6.0"/>
      <color theme="1"/>
      <name val="Arial"/>
    </font>
    <font>
      <b/>
      <u/>
      <sz val="12.0"/>
      <color theme="1"/>
      <name val="Arial"/>
    </font>
    <font>
      <b/>
      <u/>
      <sz val="12.0"/>
      <color theme="1"/>
      <name val="Arial"/>
    </font>
    <font>
      <b/>
      <u/>
      <sz val="12.0"/>
      <color theme="1"/>
      <name val="Arial"/>
    </font>
    <font>
      <b/>
      <u/>
      <sz val="11.0"/>
      <color rgb="FF00FFFF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6D9EEB"/>
        <bgColor rgb="FF6D9EEB"/>
      </patternFill>
    </fill>
    <fill>
      <patternFill patternType="solid">
        <fgColor rgb="FF993366"/>
        <bgColor rgb="FF993366"/>
      </patternFill>
    </fill>
    <fill>
      <patternFill patternType="solid">
        <fgColor rgb="FFFF9966"/>
        <bgColor rgb="FFFF9966"/>
      </patternFill>
    </fill>
    <fill>
      <patternFill patternType="solid">
        <fgColor rgb="FF0CBCB8"/>
        <bgColor rgb="FF0CBCB8"/>
      </patternFill>
    </fill>
    <fill>
      <patternFill patternType="solid">
        <fgColor rgb="FFFFFF00"/>
        <bgColor rgb="FFFFFF00"/>
      </patternFill>
    </fill>
    <fill>
      <patternFill patternType="solid">
        <fgColor rgb="FF8E7CC3"/>
        <bgColor rgb="FF8E7CC3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rgb="FF2F5496"/>
        <bgColor rgb="FF2F5496"/>
      </patternFill>
    </fill>
    <fill>
      <patternFill patternType="solid">
        <fgColor rgb="FFFB33C2"/>
        <bgColor rgb="FFFB33C2"/>
      </patternFill>
    </fill>
    <fill>
      <patternFill patternType="solid">
        <fgColor rgb="FFFF0000"/>
        <bgColor rgb="FFFF0000"/>
      </patternFill>
    </fill>
    <fill>
      <patternFill patternType="solid">
        <fgColor rgb="FF7F7F7F"/>
        <bgColor rgb="FF7F7F7F"/>
      </patternFill>
    </fill>
    <fill>
      <patternFill patternType="solid">
        <fgColor rgb="FFA8D08D"/>
        <bgColor rgb="FFA8D08D"/>
      </patternFill>
    </fill>
    <fill>
      <patternFill patternType="solid">
        <fgColor rgb="FF00CC99"/>
        <bgColor rgb="FF00CC99"/>
      </patternFill>
    </fill>
    <fill>
      <patternFill patternType="solid">
        <fgColor rgb="FFFF66FF"/>
        <bgColor rgb="FFFF66FF"/>
      </patternFill>
    </fill>
    <fill>
      <patternFill patternType="solid">
        <fgColor rgb="FF9CC2E5"/>
        <bgColor rgb="FF9CC2E5"/>
      </patternFill>
    </fill>
    <fill>
      <patternFill patternType="solid">
        <fgColor rgb="FF548135"/>
        <bgColor rgb="FF548135"/>
      </patternFill>
    </fill>
    <fill>
      <patternFill patternType="solid">
        <fgColor rgb="FF00FFFF"/>
        <bgColor rgb="FF00FFFF"/>
      </patternFill>
    </fill>
    <fill>
      <patternFill patternType="solid">
        <fgColor rgb="FF92D050"/>
        <bgColor rgb="FF92D050"/>
      </patternFill>
    </fill>
    <fill>
      <patternFill patternType="solid">
        <fgColor rgb="FFFF9900"/>
        <bgColor rgb="FFFF9900"/>
      </patternFill>
    </fill>
  </fills>
  <borders count="2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bottom/>
    </border>
  </borders>
  <cellStyleXfs count="1">
    <xf borderId="0" fillId="0" fontId="0" numFmtId="0" applyAlignment="1" applyFont="1"/>
  </cellStyleXfs>
  <cellXfs count="1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1" fillId="2" fontId="7" numFmtId="0" xfId="0" applyAlignment="1" applyBorder="1" applyFill="1" applyFont="1">
      <alignment horizontal="center" vertical="center"/>
    </xf>
    <xf borderId="1" fillId="3" fontId="8" numFmtId="0" xfId="0" applyAlignment="1" applyBorder="1" applyFill="1" applyFont="1">
      <alignment horizontal="center" vertical="center"/>
    </xf>
    <xf borderId="2" fillId="0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shrinkToFit="0" vertical="center" wrapText="1"/>
    </xf>
    <xf borderId="1" fillId="4" fontId="9" numFmtId="0" xfId="0" applyAlignment="1" applyBorder="1" applyFill="1" applyFont="1">
      <alignment horizontal="center" vertical="center"/>
    </xf>
    <xf borderId="1" fillId="5" fontId="10" numFmtId="0" xfId="0" applyAlignment="1" applyBorder="1" applyFill="1" applyFont="1">
      <alignment horizontal="center" vertical="center"/>
    </xf>
    <xf borderId="2" fillId="0" fontId="11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/>
    </xf>
    <xf borderId="3" fillId="0" fontId="5" numFmtId="0" xfId="0" applyAlignment="1" applyBorder="1" applyFont="1">
      <alignment horizontal="center" vertical="center"/>
    </xf>
    <xf borderId="2" fillId="0" fontId="11" numFmtId="0" xfId="0" applyAlignment="1" applyBorder="1" applyFont="1">
      <alignment horizontal="center" readingOrder="0" shrinkToFit="0" vertical="center" wrapText="1"/>
    </xf>
    <xf borderId="2" fillId="6" fontId="12" numFmtId="0" xfId="0" applyAlignment="1" applyBorder="1" applyFill="1" applyFont="1">
      <alignment horizontal="center" vertical="center"/>
    </xf>
    <xf borderId="1" fillId="7" fontId="13" numFmtId="0" xfId="0" applyAlignment="1" applyBorder="1" applyFill="1" applyFont="1">
      <alignment horizontal="center" vertical="center"/>
    </xf>
    <xf borderId="2" fillId="0" fontId="5" numFmtId="0" xfId="0" applyAlignment="1" applyBorder="1" applyFont="1">
      <alignment horizontal="center" readingOrder="0" shrinkToFit="0" vertical="center" wrapText="1"/>
    </xf>
    <xf borderId="2" fillId="8" fontId="12" numFmtId="0" xfId="0" applyAlignment="1" applyBorder="1" applyFill="1" applyFont="1">
      <alignment horizontal="center" shrinkToFit="0" vertical="center" wrapText="1"/>
    </xf>
    <xf borderId="2" fillId="9" fontId="12" numFmtId="0" xfId="0" applyAlignment="1" applyBorder="1" applyFill="1" applyFont="1">
      <alignment horizontal="center" shrinkToFit="0" wrapText="1"/>
    </xf>
    <xf borderId="0" fillId="0" fontId="14" numFmtId="0" xfId="0" applyAlignment="1" applyFont="1">
      <alignment horizontal="center" vertical="center"/>
    </xf>
    <xf borderId="1" fillId="10" fontId="6" numFmtId="0" xfId="0" applyAlignment="1" applyBorder="1" applyFill="1" applyFont="1">
      <alignment horizontal="center"/>
    </xf>
    <xf borderId="4" fillId="2" fontId="15" numFmtId="0" xfId="0" applyAlignment="1" applyBorder="1" applyFont="1">
      <alignment horizontal="center" shrinkToFit="0" vertical="center" wrapText="1"/>
    </xf>
    <xf borderId="5" fillId="0" fontId="16" numFmtId="0" xfId="0" applyBorder="1" applyFont="1"/>
    <xf borderId="6" fillId="0" fontId="16" numFmtId="0" xfId="0" applyBorder="1" applyFont="1"/>
    <xf borderId="0" fillId="0" fontId="17" numFmtId="0" xfId="0" applyAlignment="1" applyFont="1">
      <alignment horizontal="center" shrinkToFit="0" vertical="center" wrapText="1"/>
    </xf>
    <xf borderId="2" fillId="2" fontId="18" numFmtId="0" xfId="0" applyAlignment="1" applyBorder="1" applyFont="1">
      <alignment horizontal="center" shrinkToFit="0" vertical="center" wrapText="1"/>
    </xf>
    <xf borderId="3" fillId="2" fontId="19" numFmtId="0" xfId="0" applyAlignment="1" applyBorder="1" applyFont="1">
      <alignment horizontal="center" shrinkToFit="0" vertical="center" wrapText="1"/>
    </xf>
    <xf borderId="7" fillId="0" fontId="16" numFmtId="0" xfId="0" applyBorder="1" applyFont="1"/>
    <xf borderId="8" fillId="0" fontId="16" numFmtId="0" xfId="0" applyBorder="1" applyFont="1"/>
    <xf borderId="1" fillId="2" fontId="20" numFmtId="0" xfId="0" applyAlignment="1" applyBorder="1" applyFont="1">
      <alignment horizontal="center" shrinkToFit="0" vertical="center" wrapText="1"/>
    </xf>
    <xf borderId="9" fillId="2" fontId="21" numFmtId="0" xfId="0" applyAlignment="1" applyBorder="1" applyFont="1">
      <alignment horizontal="center" shrinkToFit="0" vertical="center" wrapText="1"/>
    </xf>
    <xf borderId="0" fillId="0" fontId="20" numFmtId="0" xfId="0" applyAlignment="1" applyFont="1">
      <alignment horizontal="center" shrinkToFit="0" vertical="center" wrapText="1"/>
    </xf>
    <xf borderId="0" fillId="0" fontId="22" numFmtId="0" xfId="0" applyAlignment="1" applyFont="1">
      <alignment horizontal="center" shrinkToFit="0" vertical="center" wrapText="1"/>
    </xf>
    <xf borderId="0" fillId="0" fontId="23" numFmtId="0" xfId="0" applyAlignment="1" applyFont="1">
      <alignment horizontal="center" shrinkToFit="0" vertical="center" wrapText="1"/>
    </xf>
    <xf borderId="10" fillId="11" fontId="24" numFmtId="0" xfId="0" applyAlignment="1" applyBorder="1" applyFill="1" applyFont="1">
      <alignment horizontal="center" shrinkToFit="0" vertical="center" wrapText="1"/>
    </xf>
    <xf borderId="1" fillId="2" fontId="23" numFmtId="0" xfId="0" applyAlignment="1" applyBorder="1" applyFont="1">
      <alignment horizontal="center" shrinkToFit="0" vertical="center" wrapText="1"/>
    </xf>
    <xf borderId="11" fillId="11" fontId="25" numFmtId="0" xfId="0" applyAlignment="1" applyBorder="1" applyFont="1">
      <alignment horizontal="center" shrinkToFit="0" vertical="center" wrapText="1"/>
    </xf>
    <xf borderId="2" fillId="11" fontId="26" numFmtId="0" xfId="0" applyAlignment="1" applyBorder="1" applyFont="1">
      <alignment horizontal="center" shrinkToFit="0" vertical="center" wrapText="1"/>
    </xf>
    <xf borderId="12" fillId="0" fontId="17" numFmtId="0" xfId="0" applyAlignment="1" applyBorder="1" applyFont="1">
      <alignment horizontal="center" shrinkToFit="0" vertical="center" wrapText="1"/>
    </xf>
    <xf borderId="2" fillId="0" fontId="23" numFmtId="0" xfId="0" applyAlignment="1" applyBorder="1" applyFont="1">
      <alignment horizontal="center" readingOrder="0" shrinkToFit="0" vertical="center" wrapText="1"/>
    </xf>
    <xf borderId="13" fillId="0" fontId="17" numFmtId="0" xfId="0" applyAlignment="1" applyBorder="1" applyFont="1">
      <alignment horizontal="center" shrinkToFit="0" vertical="center" wrapText="1"/>
    </xf>
    <xf borderId="13" fillId="0" fontId="23" numFmtId="0" xfId="0" applyAlignment="1" applyBorder="1" applyFont="1">
      <alignment horizontal="center" shrinkToFit="0" vertical="center" wrapText="1"/>
    </xf>
    <xf borderId="2" fillId="0" fontId="23" numFmtId="0" xfId="0" applyAlignment="1" applyBorder="1" applyFont="1">
      <alignment horizontal="center" shrinkToFit="0" vertical="center" wrapText="1"/>
    </xf>
    <xf borderId="14" fillId="2" fontId="27" numFmtId="0" xfId="0" applyAlignment="1" applyBorder="1" applyFont="1">
      <alignment horizontal="center" shrinkToFit="0" vertical="center" wrapText="1"/>
    </xf>
    <xf borderId="7" fillId="0" fontId="23" numFmtId="0" xfId="0" applyAlignment="1" applyBorder="1" applyFont="1">
      <alignment horizontal="center" shrinkToFit="0" vertical="center" wrapText="1"/>
    </xf>
    <xf borderId="8" fillId="0" fontId="23" numFmtId="0" xfId="0" applyAlignment="1" applyBorder="1" applyFont="1">
      <alignment horizontal="center" shrinkToFit="0" vertical="center" wrapText="1"/>
    </xf>
    <xf borderId="15" fillId="0" fontId="17" numFmtId="0" xfId="0" applyAlignment="1" applyBorder="1" applyFont="1">
      <alignment horizontal="center" shrinkToFit="0" vertical="center" wrapText="1"/>
    </xf>
    <xf borderId="16" fillId="0" fontId="16" numFmtId="0" xfId="0" applyBorder="1" applyFont="1"/>
    <xf borderId="0" fillId="0" fontId="17" numFmtId="0" xfId="0" applyAlignment="1" applyFont="1">
      <alignment shrinkToFit="0" vertical="center" wrapText="1"/>
    </xf>
    <xf borderId="17" fillId="0" fontId="17" numFmtId="0" xfId="0" applyAlignment="1" applyBorder="1" applyFont="1">
      <alignment horizontal="center" shrinkToFit="0" vertical="center" wrapText="1"/>
    </xf>
    <xf borderId="18" fillId="0" fontId="17" numFmtId="0" xfId="0" applyAlignment="1" applyBorder="1" applyFont="1">
      <alignment horizontal="center" shrinkToFit="0" vertical="center" wrapText="1"/>
    </xf>
    <xf borderId="18" fillId="0" fontId="23" numFmtId="0" xfId="0" applyAlignment="1" applyBorder="1" applyFont="1">
      <alignment horizontal="center" shrinkToFit="0" vertical="center" wrapText="1"/>
    </xf>
    <xf borderId="0" fillId="0" fontId="28" numFmtId="0" xfId="0" applyAlignment="1" applyFont="1">
      <alignment horizontal="center"/>
    </xf>
    <xf borderId="3" fillId="2" fontId="29" numFmtId="0" xfId="0" applyAlignment="1" applyBorder="1" applyFont="1">
      <alignment horizontal="center" shrinkToFit="0" vertical="center" wrapText="1"/>
    </xf>
    <xf borderId="3" fillId="0" fontId="30" numFmtId="0" xfId="0" applyAlignment="1" applyBorder="1" applyFont="1">
      <alignment horizontal="center" readingOrder="0" shrinkToFit="0" vertical="center" wrapText="1"/>
    </xf>
    <xf borderId="0" fillId="0" fontId="31" numFmtId="0" xfId="0" applyAlignment="1" applyFont="1">
      <alignment horizontal="center" shrinkToFit="0" vertical="center" wrapText="1"/>
    </xf>
    <xf borderId="0" fillId="0" fontId="32" numFmtId="0" xfId="0" applyAlignment="1" applyFont="1">
      <alignment horizontal="center" shrinkToFit="0" vertical="center" wrapText="1"/>
    </xf>
    <xf borderId="4" fillId="3" fontId="33" numFmtId="0" xfId="0" applyAlignment="1" applyBorder="1" applyFont="1">
      <alignment horizontal="center" shrinkToFit="0" vertical="center" wrapText="1"/>
    </xf>
    <xf borderId="2" fillId="3" fontId="34" numFmtId="0" xfId="0" applyAlignment="1" applyBorder="1" applyFont="1">
      <alignment horizontal="center" shrinkToFit="0" vertical="center" wrapText="1"/>
    </xf>
    <xf borderId="3" fillId="3" fontId="35" numFmtId="0" xfId="0" applyAlignment="1" applyBorder="1" applyFont="1">
      <alignment horizontal="center" shrinkToFit="0" vertical="center" wrapText="1"/>
    </xf>
    <xf borderId="1" fillId="12" fontId="20" numFmtId="0" xfId="0" applyAlignment="1" applyBorder="1" applyFill="1" applyFont="1">
      <alignment horizontal="center" shrinkToFit="0" vertical="center" wrapText="1"/>
    </xf>
    <xf borderId="19" fillId="0" fontId="36" numFmtId="0" xfId="0" applyAlignment="1" applyBorder="1" applyFont="1">
      <alignment horizontal="center" shrinkToFit="0" vertical="center" wrapText="1"/>
    </xf>
    <xf borderId="1" fillId="13" fontId="20" numFmtId="0" xfId="0" applyAlignment="1" applyBorder="1" applyFill="1" applyFont="1">
      <alignment horizontal="center" shrinkToFit="0" vertical="center" wrapText="1"/>
    </xf>
    <xf borderId="1" fillId="12" fontId="23" numFmtId="0" xfId="0" applyAlignment="1" applyBorder="1" applyFont="1">
      <alignment horizontal="center" shrinkToFit="0" vertical="center" wrapText="1"/>
    </xf>
    <xf borderId="0" fillId="0" fontId="37" numFmtId="0" xfId="0" applyAlignment="1" applyFont="1">
      <alignment horizontal="center" shrinkToFit="0" vertical="center" wrapText="1"/>
    </xf>
    <xf borderId="0" fillId="0" fontId="38" numFmtId="0" xfId="0" applyAlignment="1" applyFont="1">
      <alignment horizontal="center" shrinkToFit="0" wrapText="1"/>
    </xf>
    <xf borderId="0" fillId="0" fontId="39" numFmtId="0" xfId="0" applyFont="1"/>
    <xf borderId="12" fillId="14" fontId="17" numFmtId="0" xfId="0" applyAlignment="1" applyBorder="1" applyFill="1" applyFont="1">
      <alignment horizontal="center" shrinkToFit="0" vertical="center" wrapText="1"/>
    </xf>
    <xf borderId="2" fillId="14" fontId="23" numFmtId="0" xfId="0" applyAlignment="1" applyBorder="1" applyFont="1">
      <alignment horizontal="center" shrinkToFit="0" vertical="center" wrapText="1"/>
    </xf>
    <xf borderId="13" fillId="14" fontId="17" numFmtId="0" xfId="0" applyAlignment="1" applyBorder="1" applyFont="1">
      <alignment horizontal="center" shrinkToFit="0" vertical="center" wrapText="1"/>
    </xf>
    <xf borderId="13" fillId="14" fontId="23" numFmtId="0" xfId="0" applyAlignment="1" applyBorder="1" applyFont="1">
      <alignment horizontal="center" shrinkToFit="0" vertical="center" wrapText="1"/>
    </xf>
    <xf borderId="14" fillId="3" fontId="40" numFmtId="0" xfId="0" applyAlignment="1" applyBorder="1" applyFont="1">
      <alignment horizontal="center" shrinkToFit="0" vertical="center" wrapText="1"/>
    </xf>
    <xf borderId="15" fillId="14" fontId="17" numFmtId="0" xfId="0" applyAlignment="1" applyBorder="1" applyFont="1">
      <alignment horizontal="center" shrinkToFit="0" vertical="center" wrapText="1"/>
    </xf>
    <xf borderId="17" fillId="14" fontId="17" numFmtId="0" xfId="0" applyAlignment="1" applyBorder="1" applyFont="1">
      <alignment horizontal="center" shrinkToFit="0" vertical="center" wrapText="1"/>
    </xf>
    <xf borderId="18" fillId="14" fontId="17" numFmtId="0" xfId="0" applyAlignment="1" applyBorder="1" applyFont="1">
      <alignment horizontal="center" shrinkToFit="0" vertical="center" wrapText="1"/>
    </xf>
    <xf borderId="18" fillId="14" fontId="23" numFmtId="0" xfId="0" applyAlignment="1" applyBorder="1" applyFont="1">
      <alignment horizontal="center" shrinkToFit="0" vertical="center" wrapText="1"/>
    </xf>
    <xf borderId="14" fillId="14" fontId="41" numFmtId="0" xfId="0" applyAlignment="1" applyBorder="1" applyFont="1">
      <alignment horizontal="center" shrinkToFit="0" vertical="center" wrapText="1"/>
    </xf>
    <xf borderId="7" fillId="14" fontId="23" numFmtId="0" xfId="0" applyAlignment="1" applyBorder="1" applyFont="1">
      <alignment horizontal="center" shrinkToFit="0" vertical="center" wrapText="1"/>
    </xf>
    <xf borderId="8" fillId="14" fontId="23" numFmtId="0" xfId="0" applyAlignment="1" applyBorder="1" applyFont="1">
      <alignment horizontal="center" shrinkToFit="0" vertical="center" wrapText="1"/>
    </xf>
    <xf borderId="3" fillId="3" fontId="42" numFmtId="0" xfId="0" applyAlignment="1" applyBorder="1" applyFont="1">
      <alignment horizontal="center" shrinkToFit="0" vertical="center" wrapText="1"/>
    </xf>
    <xf borderId="3" fillId="15" fontId="43" numFmtId="0" xfId="0" applyAlignment="1" applyBorder="1" applyFill="1" applyFont="1">
      <alignment horizontal="center" shrinkToFit="0" vertical="center" wrapText="1"/>
    </xf>
    <xf borderId="20" fillId="0" fontId="16" numFmtId="0" xfId="0" applyBorder="1" applyFont="1"/>
    <xf borderId="2" fillId="15" fontId="44" numFmtId="0" xfId="0" applyAlignment="1" applyBorder="1" applyFont="1">
      <alignment horizontal="center" shrinkToFit="0" vertical="center" wrapText="1"/>
    </xf>
    <xf borderId="1" fillId="10" fontId="17" numFmtId="0" xfId="0" applyAlignment="1" applyBorder="1" applyFont="1">
      <alignment horizontal="center" shrinkToFit="0" vertical="center" wrapText="1"/>
    </xf>
    <xf borderId="9" fillId="10" fontId="45" numFmtId="0" xfId="0" applyAlignment="1" applyBorder="1" applyFont="1">
      <alignment horizontal="center" shrinkToFit="0" vertical="center" wrapText="1"/>
    </xf>
    <xf borderId="17" fillId="0" fontId="46" numFmtId="0" xfId="0" applyAlignment="1" applyBorder="1" applyFont="1">
      <alignment horizontal="center" shrinkToFit="0" vertical="center" wrapText="1"/>
    </xf>
    <xf borderId="18" fillId="0" fontId="16" numFmtId="0" xfId="0" applyBorder="1" applyFont="1"/>
    <xf borderId="21" fillId="0" fontId="16" numFmtId="0" xfId="0" applyBorder="1" applyFont="1"/>
    <xf borderId="0" fillId="0" fontId="6" numFmtId="0" xfId="0" applyAlignment="1" applyFont="1">
      <alignment horizontal="left" vertical="center"/>
    </xf>
    <xf borderId="4" fillId="4" fontId="47" numFmtId="0" xfId="0" applyAlignment="1" applyBorder="1" applyFont="1">
      <alignment horizontal="center" shrinkToFit="0" vertical="center" wrapText="1"/>
    </xf>
    <xf borderId="2" fillId="4" fontId="48" numFmtId="0" xfId="0" applyAlignment="1" applyBorder="1" applyFont="1">
      <alignment horizontal="center" shrinkToFit="0" vertical="center" wrapText="1"/>
    </xf>
    <xf borderId="3" fillId="4" fontId="49" numFmtId="0" xfId="0" applyAlignment="1" applyBorder="1" applyFont="1">
      <alignment horizontal="center" shrinkToFit="0" vertical="center" wrapText="1"/>
    </xf>
    <xf borderId="1" fillId="16" fontId="20" numFmtId="0" xfId="0" applyAlignment="1" applyBorder="1" applyFill="1" applyFont="1">
      <alignment horizontal="center" shrinkToFit="0" vertical="center" wrapText="1"/>
    </xf>
    <xf borderId="14" fillId="4" fontId="50" numFmtId="0" xfId="0" applyAlignment="1" applyBorder="1" applyFont="1">
      <alignment horizontal="center" shrinkToFit="0" vertical="center" wrapText="1"/>
    </xf>
    <xf borderId="15" fillId="0" fontId="17" numFmtId="0" xfId="0" applyAlignment="1" applyBorder="1" applyFont="1">
      <alignment horizontal="center" readingOrder="0" shrinkToFit="0" vertical="center" wrapText="1"/>
    </xf>
    <xf borderId="3" fillId="4" fontId="51" numFmtId="0" xfId="0" applyAlignment="1" applyBorder="1" applyFont="1">
      <alignment horizontal="center" shrinkToFit="0" vertical="center" wrapText="1"/>
    </xf>
    <xf borderId="4" fillId="5" fontId="52" numFmtId="0" xfId="0" applyAlignment="1" applyBorder="1" applyFont="1">
      <alignment horizontal="center" shrinkToFit="0" vertical="center" wrapText="1"/>
    </xf>
    <xf borderId="2" fillId="5" fontId="53" numFmtId="0" xfId="0" applyAlignment="1" applyBorder="1" applyFont="1">
      <alignment horizontal="center" shrinkToFit="0" vertical="center" wrapText="1"/>
    </xf>
    <xf borderId="3" fillId="5" fontId="54" numFmtId="0" xfId="0" applyAlignment="1" applyBorder="1" applyFont="1">
      <alignment horizontal="center" shrinkToFit="0" vertical="center" wrapText="1"/>
    </xf>
    <xf borderId="1" fillId="5" fontId="23" numFmtId="0" xfId="0" applyAlignment="1" applyBorder="1" applyFont="1">
      <alignment horizontal="center" shrinkToFit="0" vertical="center" wrapText="1"/>
    </xf>
    <xf borderId="14" fillId="5" fontId="55" numFmtId="0" xfId="0" applyAlignment="1" applyBorder="1" applyFont="1">
      <alignment horizontal="center" shrinkToFit="0" vertical="center" wrapText="1"/>
    </xf>
    <xf borderId="3" fillId="5" fontId="56" numFmtId="0" xfId="0" applyAlignment="1" applyBorder="1" applyFont="1">
      <alignment horizontal="center" shrinkToFit="0" vertical="center" wrapText="1"/>
    </xf>
    <xf borderId="4" fillId="17" fontId="57" numFmtId="0" xfId="0" applyAlignment="1" applyBorder="1" applyFill="1" applyFont="1">
      <alignment horizontal="center" shrinkToFit="0" vertical="center" wrapText="1"/>
    </xf>
    <xf borderId="2" fillId="17" fontId="58" numFmtId="0" xfId="0" applyAlignment="1" applyBorder="1" applyFont="1">
      <alignment horizontal="center" shrinkToFit="0" vertical="center" wrapText="1"/>
    </xf>
    <xf borderId="3" fillId="17" fontId="59" numFmtId="0" xfId="0" applyAlignment="1" applyBorder="1" applyFont="1">
      <alignment horizontal="center" shrinkToFit="0" vertical="center" wrapText="1"/>
    </xf>
    <xf borderId="14" fillId="17" fontId="60" numFmtId="0" xfId="0" applyAlignment="1" applyBorder="1" applyFont="1">
      <alignment horizontal="center" shrinkToFit="0" vertical="center" wrapText="1"/>
    </xf>
    <xf borderId="3" fillId="17" fontId="61" numFmtId="0" xfId="0" applyAlignment="1" applyBorder="1" applyFont="1">
      <alignment horizontal="center" shrinkToFit="0" vertical="center" wrapText="1"/>
    </xf>
    <xf borderId="3" fillId="10" fontId="62" numFmtId="0" xfId="0" applyAlignment="1" applyBorder="1" applyFont="1">
      <alignment horizontal="center" shrinkToFit="0" vertical="center" wrapText="1"/>
    </xf>
    <xf borderId="4" fillId="7" fontId="63" numFmtId="0" xfId="0" applyAlignment="1" applyBorder="1" applyFont="1">
      <alignment horizontal="center" shrinkToFit="0" vertical="center" wrapText="1"/>
    </xf>
    <xf borderId="2" fillId="7" fontId="64" numFmtId="0" xfId="0" applyAlignment="1" applyBorder="1" applyFont="1">
      <alignment horizontal="center" shrinkToFit="0" vertical="center" wrapText="1"/>
    </xf>
    <xf borderId="3" fillId="7" fontId="65" numFmtId="0" xfId="0" applyAlignment="1" applyBorder="1" applyFont="1">
      <alignment horizontal="center" shrinkToFit="0" vertical="center" wrapText="1"/>
    </xf>
    <xf borderId="14" fillId="7" fontId="66" numFmtId="0" xfId="0" applyAlignment="1" applyBorder="1" applyFont="1">
      <alignment horizontal="center" shrinkToFit="0" vertical="center" wrapText="1"/>
    </xf>
    <xf borderId="3" fillId="7" fontId="67" numFmtId="0" xfId="0" applyAlignment="1" applyBorder="1" applyFont="1">
      <alignment horizontal="center" shrinkToFit="0" vertical="center" wrapText="1"/>
    </xf>
    <xf borderId="3" fillId="0" fontId="68" numFmtId="0" xfId="0" applyAlignment="1" applyBorder="1" applyFont="1">
      <alignment horizontal="center" shrinkToFit="0" vertical="center" wrapText="1"/>
    </xf>
    <xf borderId="4" fillId="8" fontId="69" numFmtId="0" xfId="0" applyAlignment="1" applyBorder="1" applyFont="1">
      <alignment horizontal="center" shrinkToFit="0" vertical="center" wrapText="1"/>
    </xf>
    <xf borderId="2" fillId="8" fontId="70" numFmtId="0" xfId="0" applyAlignment="1" applyBorder="1" applyFont="1">
      <alignment horizontal="center" shrinkToFit="0" vertical="center" wrapText="1"/>
    </xf>
    <xf borderId="3" fillId="8" fontId="71" numFmtId="0" xfId="0" applyAlignment="1" applyBorder="1" applyFont="1">
      <alignment horizontal="center" shrinkToFit="0" vertical="center" wrapText="1"/>
    </xf>
    <xf borderId="14" fillId="8" fontId="72" numFmtId="0" xfId="0" applyAlignment="1" applyBorder="1" applyFont="1">
      <alignment horizontal="center" shrinkToFit="0" vertical="center" wrapText="1"/>
    </xf>
    <xf borderId="0" fillId="10" fontId="17" numFmtId="0" xfId="0" applyAlignment="1" applyFont="1">
      <alignment horizontal="center" shrinkToFit="0" vertical="center" wrapText="1"/>
    </xf>
    <xf borderId="3" fillId="8" fontId="73" numFmtId="0" xfId="0" applyAlignment="1" applyBorder="1" applyFont="1">
      <alignment horizontal="center" shrinkToFit="0" vertical="center" wrapText="1"/>
    </xf>
    <xf borderId="4" fillId="9" fontId="74" numFmtId="0" xfId="0" applyAlignment="1" applyBorder="1" applyFont="1">
      <alignment horizontal="center" shrinkToFit="0" vertical="center" wrapText="1"/>
    </xf>
    <xf borderId="2" fillId="9" fontId="75" numFmtId="0" xfId="0" applyAlignment="1" applyBorder="1" applyFont="1">
      <alignment horizontal="center" shrinkToFit="0" vertical="center" wrapText="1"/>
    </xf>
    <xf borderId="3" fillId="9" fontId="76" numFmtId="0" xfId="0" applyAlignment="1" applyBorder="1" applyFont="1">
      <alignment horizontal="center" shrinkToFit="0" vertical="center" wrapText="1"/>
    </xf>
    <xf borderId="1" fillId="16" fontId="17" numFmtId="0" xfId="0" applyAlignment="1" applyBorder="1" applyFont="1">
      <alignment horizontal="center" shrinkToFit="0" vertical="center" wrapText="1"/>
    </xf>
    <xf borderId="19" fillId="0" fontId="77" numFmtId="0" xfId="0" applyAlignment="1" applyBorder="1" applyFont="1">
      <alignment horizontal="center" shrinkToFit="0" vertical="center" wrapText="1"/>
    </xf>
    <xf borderId="14" fillId="9" fontId="78" numFmtId="0" xfId="0" applyAlignment="1" applyBorder="1" applyFont="1">
      <alignment horizontal="center" shrinkToFit="0" vertical="center" wrapText="1"/>
    </xf>
    <xf borderId="0" fillId="0" fontId="79" numFmtId="0" xfId="0" applyAlignment="1" applyFont="1">
      <alignment horizontal="center" vertical="center"/>
    </xf>
    <xf borderId="0" fillId="0" fontId="80" numFmtId="0" xfId="0" applyAlignment="1" applyFont="1">
      <alignment horizontal="center" vertical="center"/>
    </xf>
    <xf borderId="0" fillId="0" fontId="81" numFmtId="0" xfId="0" applyAlignment="1" applyFont="1">
      <alignment horizontal="center" vertical="center"/>
    </xf>
    <xf borderId="0" fillId="0" fontId="82" numFmtId="0" xfId="0" applyAlignment="1" applyFont="1">
      <alignment horizontal="center" vertical="center"/>
    </xf>
    <xf borderId="9" fillId="14" fontId="83" numFmtId="0" xfId="0" applyAlignment="1" applyBorder="1" applyFont="1">
      <alignment horizontal="center" vertical="center"/>
    </xf>
    <xf borderId="2" fillId="0" fontId="84" numFmtId="0" xfId="0" applyAlignment="1" applyBorder="1" applyFont="1">
      <alignment horizontal="center" vertical="center"/>
    </xf>
    <xf borderId="2" fillId="0" fontId="85" numFmtId="0" xfId="0" applyAlignment="1" applyBorder="1" applyFont="1">
      <alignment horizontal="center" shrinkToFit="0" vertical="center" wrapText="1"/>
    </xf>
    <xf borderId="9" fillId="18" fontId="86" numFmtId="0" xfId="0" applyAlignment="1" applyBorder="1" applyFill="1" applyFont="1">
      <alignment horizontal="center" vertical="center"/>
    </xf>
    <xf borderId="3" fillId="0" fontId="84" numFmtId="0" xfId="0" applyAlignment="1" applyBorder="1" applyFont="1">
      <alignment horizontal="center" vertical="center"/>
    </xf>
    <xf borderId="9" fillId="19" fontId="87" numFmtId="0" xfId="0" applyAlignment="1" applyBorder="1" applyFill="1" applyFont="1">
      <alignment horizontal="center"/>
    </xf>
    <xf borderId="9" fillId="20" fontId="88" numFmtId="0" xfId="0" applyAlignment="1" applyBorder="1" applyFill="1" applyFont="1">
      <alignment horizontal="center"/>
    </xf>
    <xf borderId="4" fillId="14" fontId="89" numFmtId="0" xfId="0" applyAlignment="1" applyBorder="1" applyFont="1">
      <alignment horizontal="center" shrinkToFit="0" vertical="center" wrapText="1"/>
    </xf>
    <xf borderId="0" fillId="0" fontId="90" numFmtId="0" xfId="0" applyAlignment="1" applyFont="1">
      <alignment horizontal="center" shrinkToFit="0" vertical="center" wrapText="1"/>
    </xf>
    <xf borderId="2" fillId="14" fontId="91" numFmtId="0" xfId="0" applyAlignment="1" applyBorder="1" applyFont="1">
      <alignment horizontal="center" shrinkToFit="0" vertical="center" wrapText="1"/>
    </xf>
    <xf borderId="3" fillId="14" fontId="92" numFmtId="0" xfId="0" applyAlignment="1" applyBorder="1" applyFont="1">
      <alignment horizontal="center" shrinkToFit="0" vertical="center" wrapText="1"/>
    </xf>
    <xf borderId="1" fillId="21" fontId="20" numFmtId="0" xfId="0" applyAlignment="1" applyBorder="1" applyFill="1" applyFont="1">
      <alignment horizontal="center" shrinkToFit="0" vertical="center" wrapText="1"/>
    </xf>
    <xf borderId="3" fillId="14" fontId="93" numFmtId="0" xfId="0" applyAlignment="1" applyBorder="1" applyFont="1">
      <alignment horizontal="center" shrinkToFit="0" vertical="center" wrapText="1"/>
    </xf>
    <xf borderId="4" fillId="18" fontId="94" numFmtId="0" xfId="0" applyAlignment="1" applyBorder="1" applyFont="1">
      <alignment horizontal="center" shrinkToFit="0" vertical="center" wrapText="1"/>
    </xf>
    <xf borderId="2" fillId="18" fontId="95" numFmtId="0" xfId="0" applyAlignment="1" applyBorder="1" applyFont="1">
      <alignment horizontal="center" shrinkToFit="0" vertical="center" wrapText="1"/>
    </xf>
    <xf borderId="3" fillId="18" fontId="96" numFmtId="0" xfId="0" applyAlignment="1" applyBorder="1" applyFont="1">
      <alignment horizontal="center" shrinkToFit="0" vertical="center" wrapText="1"/>
    </xf>
    <xf borderId="1" fillId="18" fontId="20" numFmtId="0" xfId="0" applyAlignment="1" applyBorder="1" applyFont="1">
      <alignment horizontal="center" shrinkToFit="0" vertical="center" wrapText="1"/>
    </xf>
    <xf borderId="14" fillId="18" fontId="97" numFmtId="0" xfId="0" applyAlignment="1" applyBorder="1" applyFont="1">
      <alignment horizontal="center" shrinkToFit="0" vertical="center" wrapText="1"/>
    </xf>
    <xf borderId="2" fillId="14" fontId="23" numFmtId="0" xfId="0" applyAlignment="1" applyBorder="1" applyFont="1">
      <alignment horizontal="center" readingOrder="0" shrinkToFit="0" vertical="center" wrapText="1"/>
    </xf>
    <xf borderId="7" fillId="18" fontId="98" numFmtId="0" xfId="0" applyAlignment="1" applyBorder="1" applyFont="1">
      <alignment horizontal="center" shrinkToFit="0" vertical="center" wrapText="1"/>
    </xf>
    <xf borderId="3" fillId="18" fontId="99" numFmtId="0" xfId="0" applyAlignment="1" applyBorder="1" applyFont="1">
      <alignment horizontal="center" shrinkToFit="0" vertical="center" wrapText="1"/>
    </xf>
    <xf borderId="4" fillId="19" fontId="100" numFmtId="0" xfId="0" applyAlignment="1" applyBorder="1" applyFont="1">
      <alignment horizontal="center" vertical="center"/>
    </xf>
    <xf borderId="2" fillId="19" fontId="101" numFmtId="0" xfId="0" applyAlignment="1" applyBorder="1" applyFont="1">
      <alignment horizontal="center" vertical="center"/>
    </xf>
    <xf borderId="3" fillId="19" fontId="102" numFmtId="0" xfId="0" applyAlignment="1" applyBorder="1" applyFont="1">
      <alignment horizontal="center" vertical="center"/>
    </xf>
    <xf borderId="1" fillId="22" fontId="20" numFmtId="0" xfId="0" applyAlignment="1" applyBorder="1" applyFill="1" applyFont="1">
      <alignment horizontal="center" shrinkToFit="0" vertical="center" wrapText="1"/>
    </xf>
    <xf borderId="2" fillId="0" fontId="103" numFmtId="0" xfId="0" applyAlignment="1" applyBorder="1" applyFont="1">
      <alignment horizontal="center"/>
    </xf>
    <xf borderId="2" fillId="19" fontId="104" numFmtId="0" xfId="0" applyAlignment="1" applyBorder="1" applyFont="1">
      <alignment horizontal="center" shrinkToFit="0" vertical="center" wrapText="1"/>
    </xf>
    <xf borderId="14" fillId="19" fontId="105" numFmtId="0" xfId="0" applyAlignment="1" applyBorder="1" applyFont="1">
      <alignment horizontal="center" shrinkToFit="0" vertical="center" wrapText="1"/>
    </xf>
    <xf borderId="0" fillId="0" fontId="106" numFmtId="0" xfId="0" applyAlignment="1" applyFont="1">
      <alignment horizontal="center" vertical="center"/>
    </xf>
    <xf borderId="3" fillId="19" fontId="107" numFmtId="0" xfId="0" applyAlignment="1" applyBorder="1" applyFont="1">
      <alignment horizontal="center" vertical="center"/>
    </xf>
    <xf borderId="4" fillId="20" fontId="108" numFmtId="0" xfId="0" applyAlignment="1" applyBorder="1" applyFont="1">
      <alignment horizontal="center" readingOrder="0" shrinkToFit="0" vertical="center" wrapText="1"/>
    </xf>
    <xf borderId="2" fillId="20" fontId="109" numFmtId="0" xfId="0" applyAlignment="1" applyBorder="1" applyFont="1">
      <alignment horizontal="center" shrinkToFit="0" vertical="center" wrapText="1"/>
    </xf>
    <xf borderId="3" fillId="20" fontId="110" numFmtId="0" xfId="0" applyAlignment="1" applyBorder="1" applyFont="1">
      <alignment horizontal="center" shrinkToFit="0" vertical="center" wrapText="1"/>
    </xf>
    <xf borderId="1" fillId="23" fontId="20" numFmtId="0" xfId="0" applyAlignment="1" applyBorder="1" applyFill="1" applyFont="1">
      <alignment horizontal="center" shrinkToFit="0" vertical="center" wrapText="1"/>
    </xf>
    <xf borderId="0" fillId="10" fontId="111" numFmtId="0" xfId="0" applyAlignment="1" applyFont="1">
      <alignment horizontal="center" vertical="center"/>
    </xf>
    <xf borderId="22" fillId="11" fontId="112" numFmtId="0" xfId="0" applyAlignment="1" applyBorder="1" applyFont="1">
      <alignment horizontal="center" shrinkToFit="0" vertical="center" wrapText="1"/>
    </xf>
    <xf borderId="14" fillId="20" fontId="113" numFmtId="0" xfId="0" applyAlignment="1" applyBorder="1" applyFont="1">
      <alignment horizontal="center" shrinkToFit="0" vertical="center" wrapText="1"/>
    </xf>
    <xf borderId="3" fillId="20" fontId="11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457200</xdr:colOff>
      <xdr:row>0</xdr:row>
      <xdr:rowOff>114300</xdr:rowOff>
    </xdr:from>
    <xdr:ext cx="638175" cy="581025"/>
    <xdr:pic>
      <xdr:nvPicPr>
        <xdr:cNvPr descr="A logo of a tennis club&#10;&#10;Description automatically generated"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228600</xdr:colOff>
      <xdr:row>0</xdr:row>
      <xdr:rowOff>95250</xdr:rowOff>
    </xdr:from>
    <xdr:ext cx="581025" cy="571500"/>
    <xdr:pic>
      <xdr:nvPicPr>
        <xdr:cNvPr descr="A logo of a tennis club&#10;&#10;Description automatically generated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190500</xdr:colOff>
      <xdr:row>0</xdr:row>
      <xdr:rowOff>76200</xdr:rowOff>
    </xdr:from>
    <xdr:ext cx="581025" cy="571500"/>
    <xdr:pic>
      <xdr:nvPicPr>
        <xdr:cNvPr descr="A logo of a tennis club&#10;&#10;Description automatically generated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409575</xdr:colOff>
      <xdr:row>0</xdr:row>
      <xdr:rowOff>76200</xdr:rowOff>
    </xdr:from>
    <xdr:ext cx="723900" cy="714375"/>
    <xdr:pic>
      <xdr:nvPicPr>
        <xdr:cNvPr descr="A logo of a tennis club&#10;&#10;Description automatically generated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295275</xdr:colOff>
      <xdr:row>0</xdr:row>
      <xdr:rowOff>38100</xdr:rowOff>
    </xdr:from>
    <xdr:ext cx="581025" cy="571500"/>
    <xdr:pic>
      <xdr:nvPicPr>
        <xdr:cNvPr descr="A logo of a tennis club&#10;&#10;Description automatically generated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57150</xdr:rowOff>
    </xdr:from>
    <xdr:ext cx="666750" cy="571500"/>
    <xdr:pic>
      <xdr:nvPicPr>
        <xdr:cNvPr descr="A logo of a tennis club&#10;&#10;Description automatically generated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304800</xdr:colOff>
      <xdr:row>0</xdr:row>
      <xdr:rowOff>95250</xdr:rowOff>
    </xdr:from>
    <xdr:ext cx="600075" cy="495300"/>
    <xdr:pic>
      <xdr:nvPicPr>
        <xdr:cNvPr descr="A logo of a tennis club&#10;&#10;Description automatically generated"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314325</xdr:colOff>
      <xdr:row>0</xdr:row>
      <xdr:rowOff>85725</xdr:rowOff>
    </xdr:from>
    <xdr:ext cx="581025" cy="676275"/>
    <xdr:pic>
      <xdr:nvPicPr>
        <xdr:cNvPr descr="A logo of a tennis club&#10;&#10;Description automatically generated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219075</xdr:colOff>
      <xdr:row>0</xdr:row>
      <xdr:rowOff>66675</xdr:rowOff>
    </xdr:from>
    <xdr:ext cx="581025" cy="666750"/>
    <xdr:pic>
      <xdr:nvPicPr>
        <xdr:cNvPr descr="A logo of a tennis club&#10;&#10;Description automatically generated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219075</xdr:colOff>
      <xdr:row>0</xdr:row>
      <xdr:rowOff>66675</xdr:rowOff>
    </xdr:from>
    <xdr:ext cx="581025" cy="666750"/>
    <xdr:pic>
      <xdr:nvPicPr>
        <xdr:cNvPr descr="A logo of a tennis club&#10;&#10;Description automatically generated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58.0"/>
    <col customWidth="1" min="3" max="3" width="4.5"/>
    <col customWidth="1" min="4" max="4" width="9.13"/>
    <col customWidth="1" min="5" max="5" width="58.0"/>
    <col customWidth="1" min="6" max="7" width="9.13"/>
    <col customWidth="1" min="8" max="8" width="20.38"/>
    <col customWidth="1" min="9" max="25" width="9.13"/>
    <col customWidth="1" min="26" max="35" width="8.63"/>
  </cols>
  <sheetData>
    <row r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  <c r="AA1" s="3"/>
      <c r="AB1" s="3"/>
      <c r="AC1" s="3"/>
      <c r="AD1" s="3"/>
      <c r="AE1" s="3"/>
      <c r="AF1" s="3"/>
      <c r="AG1" s="3"/>
      <c r="AH1" s="3"/>
      <c r="AI1" s="3"/>
    </row>
    <row r="2" ht="15.0" customHeight="1">
      <c r="A2" s="4"/>
      <c r="B2" s="4"/>
      <c r="C2" s="4"/>
      <c r="D2" s="4"/>
      <c r="E2" s="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3"/>
      <c r="AB2" s="3"/>
      <c r="AC2" s="3"/>
      <c r="AD2" s="3"/>
      <c r="AE2" s="3"/>
      <c r="AF2" s="3"/>
      <c r="AG2" s="3"/>
      <c r="AH2" s="3"/>
      <c r="AI2" s="3"/>
    </row>
    <row r="3" ht="15.0" customHeight="1">
      <c r="A3" s="5"/>
      <c r="B3" s="5"/>
      <c r="C3" s="5"/>
      <c r="D3" s="5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ht="15.0" customHeight="1">
      <c r="A4" s="5"/>
      <c r="B4" s="5"/>
      <c r="C4" s="5"/>
      <c r="D4" s="5"/>
      <c r="E4" s="5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>
      <c r="A5" s="5"/>
      <c r="B5" s="7" t="s">
        <v>1</v>
      </c>
      <c r="C5" s="5"/>
      <c r="D5" s="5"/>
      <c r="E5" s="8" t="s">
        <v>2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ht="15.0" customHeight="1">
      <c r="A6" s="9">
        <v>1.0</v>
      </c>
      <c r="B6" s="10" t="s">
        <v>3</v>
      </c>
      <c r="C6" s="5"/>
      <c r="D6" s="9">
        <v>1.0</v>
      </c>
      <c r="E6" s="10" t="s">
        <v>4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ht="15.0" customHeight="1">
      <c r="A7" s="9">
        <v>2.0</v>
      </c>
      <c r="B7" s="10" t="s">
        <v>5</v>
      </c>
      <c r="C7" s="5"/>
      <c r="D7" s="9">
        <v>2.0</v>
      </c>
      <c r="E7" s="10" t="s">
        <v>6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ht="15.0" customHeight="1">
      <c r="A8" s="9">
        <v>3.0</v>
      </c>
      <c r="B8" s="10" t="s">
        <v>7</v>
      </c>
      <c r="C8" s="5"/>
      <c r="D8" s="9">
        <v>3.0</v>
      </c>
      <c r="E8" s="10" t="s">
        <v>8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 ht="15.0" customHeight="1">
      <c r="A9" s="9">
        <v>4.0</v>
      </c>
      <c r="B9" s="10" t="s">
        <v>9</v>
      </c>
      <c r="C9" s="5"/>
      <c r="D9" s="9">
        <v>4.0</v>
      </c>
      <c r="E9" s="10" t="s">
        <v>10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ht="15.0" customHeight="1">
      <c r="A10" s="9">
        <v>5.0</v>
      </c>
      <c r="B10" s="10" t="s">
        <v>11</v>
      </c>
      <c r="C10" s="5"/>
      <c r="D10" s="9">
        <v>5.0</v>
      </c>
      <c r="E10" s="10" t="s">
        <v>12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ht="15.0" customHeight="1">
      <c r="A11" s="9">
        <v>6.0</v>
      </c>
      <c r="B11" s="10" t="s">
        <v>13</v>
      </c>
      <c r="C11" s="5"/>
      <c r="D11" s="9">
        <v>6.0</v>
      </c>
      <c r="E11" s="10" t="s">
        <v>14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ht="15.0" customHeight="1">
      <c r="A12" s="5"/>
      <c r="B12" s="5"/>
      <c r="C12" s="5"/>
      <c r="D12" s="5"/>
      <c r="E12" s="5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>
      <c r="A13" s="5"/>
      <c r="B13" s="11" t="s">
        <v>15</v>
      </c>
      <c r="C13" s="5"/>
      <c r="D13" s="5"/>
      <c r="E13" s="12" t="s">
        <v>16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</row>
    <row r="14" ht="15.0" customHeight="1">
      <c r="A14" s="9">
        <v>1.0</v>
      </c>
      <c r="B14" s="13" t="s">
        <v>17</v>
      </c>
      <c r="C14" s="14"/>
      <c r="D14" s="15">
        <v>1.0</v>
      </c>
      <c r="E14" s="13" t="s">
        <v>18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</row>
    <row r="15" ht="15.0" customHeight="1">
      <c r="A15" s="9">
        <v>2.0</v>
      </c>
      <c r="B15" s="13" t="s">
        <v>19</v>
      </c>
      <c r="C15" s="5"/>
      <c r="D15" s="15">
        <v>2.0</v>
      </c>
      <c r="E15" s="13" t="s">
        <v>20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ht="15.0" customHeight="1">
      <c r="A16" s="9">
        <v>3.0</v>
      </c>
      <c r="B16" s="13" t="s">
        <v>21</v>
      </c>
      <c r="C16" s="5"/>
      <c r="D16" s="15">
        <v>3.0</v>
      </c>
      <c r="E16" s="13" t="s">
        <v>22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ht="15.0" customHeight="1">
      <c r="A17" s="9">
        <v>4.0</v>
      </c>
      <c r="B17" s="16" t="s">
        <v>23</v>
      </c>
      <c r="C17" s="5"/>
      <c r="D17" s="15">
        <v>4.0</v>
      </c>
      <c r="E17" s="16" t="s">
        <v>24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</row>
    <row r="18" ht="15.0" customHeight="1">
      <c r="A18" s="9">
        <v>5.0</v>
      </c>
      <c r="B18" s="13" t="s">
        <v>25</v>
      </c>
      <c r="C18" s="5"/>
      <c r="D18" s="15">
        <v>5.0</v>
      </c>
      <c r="E18" s="13" t="s">
        <v>26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</row>
    <row r="19" ht="15.0" customHeight="1">
      <c r="A19" s="9">
        <v>6.0</v>
      </c>
      <c r="B19" s="13" t="s">
        <v>27</v>
      </c>
      <c r="C19" s="5"/>
      <c r="D19" s="15">
        <v>6.0</v>
      </c>
      <c r="E19" s="13" t="s">
        <v>28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</row>
    <row r="20" ht="15.0" customHeight="1">
      <c r="A20" s="5"/>
      <c r="B20" s="5"/>
      <c r="C20" s="5"/>
      <c r="D20" s="5"/>
      <c r="E20" s="5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>
      <c r="A21" s="5"/>
      <c r="B21" s="17" t="s">
        <v>29</v>
      </c>
      <c r="C21" s="5"/>
      <c r="D21" s="5"/>
      <c r="E21" s="18" t="s">
        <v>30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</row>
    <row r="22" ht="15.0" customHeight="1">
      <c r="A22" s="9">
        <v>1.0</v>
      </c>
      <c r="B22" s="10" t="s">
        <v>31</v>
      </c>
      <c r="C22" s="5"/>
      <c r="D22" s="15">
        <v>1.0</v>
      </c>
      <c r="E22" s="13" t="s">
        <v>32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</row>
    <row r="23" ht="15.0" customHeight="1">
      <c r="A23" s="9">
        <v>2.0</v>
      </c>
      <c r="B23" s="10" t="s">
        <v>33</v>
      </c>
      <c r="C23" s="5"/>
      <c r="D23" s="15">
        <v>2.0</v>
      </c>
      <c r="E23" s="10" t="s">
        <v>34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</row>
    <row r="24" ht="15.0" customHeight="1">
      <c r="A24" s="9">
        <v>3.0</v>
      </c>
      <c r="B24" s="10" t="s">
        <v>35</v>
      </c>
      <c r="C24" s="5"/>
      <c r="D24" s="15">
        <v>3.0</v>
      </c>
      <c r="E24" s="10" t="s">
        <v>36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ht="15.0" customHeight="1">
      <c r="A25" s="9">
        <v>4.0</v>
      </c>
      <c r="B25" s="10" t="s">
        <v>37</v>
      </c>
      <c r="C25" s="5"/>
      <c r="D25" s="15">
        <v>4.0</v>
      </c>
      <c r="E25" s="10" t="s">
        <v>38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</row>
    <row r="26" ht="15.0" customHeight="1">
      <c r="A26" s="9">
        <v>5.0</v>
      </c>
      <c r="B26" s="19" t="s">
        <v>39</v>
      </c>
      <c r="C26" s="5"/>
      <c r="D26" s="15">
        <v>5.0</v>
      </c>
      <c r="E26" s="10" t="s">
        <v>40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</row>
    <row r="27" ht="15.0" customHeight="1">
      <c r="A27" s="9">
        <v>6.0</v>
      </c>
      <c r="B27" s="10" t="s">
        <v>41</v>
      </c>
      <c r="C27" s="5"/>
      <c r="D27" s="15">
        <v>6.0</v>
      </c>
      <c r="E27" s="10" t="s">
        <v>42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</row>
    <row r="28" ht="15.0" customHeight="1">
      <c r="A28" s="5"/>
      <c r="B28" s="5"/>
      <c r="C28" s="5"/>
      <c r="D28" s="5"/>
      <c r="E28" s="5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</row>
    <row r="29">
      <c r="A29" s="5"/>
      <c r="B29" s="20" t="s">
        <v>43</v>
      </c>
      <c r="C29" s="5"/>
      <c r="D29" s="5"/>
      <c r="E29" s="21" t="s">
        <v>44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</row>
    <row r="30" ht="15.0" customHeight="1">
      <c r="A30" s="9">
        <v>1.0</v>
      </c>
      <c r="B30" s="10" t="s">
        <v>45</v>
      </c>
      <c r="C30" s="5"/>
      <c r="D30" s="9">
        <v>1.0</v>
      </c>
      <c r="E30" s="10" t="s">
        <v>46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</row>
    <row r="31" ht="15.0" customHeight="1">
      <c r="A31" s="9">
        <v>2.0</v>
      </c>
      <c r="B31" s="10" t="s">
        <v>47</v>
      </c>
      <c r="C31" s="5"/>
      <c r="D31" s="9">
        <v>2.0</v>
      </c>
      <c r="E31" s="10" t="s">
        <v>48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</row>
    <row r="32" ht="15.0" customHeight="1">
      <c r="A32" s="9">
        <v>3.0</v>
      </c>
      <c r="B32" s="10" t="s">
        <v>49</v>
      </c>
      <c r="C32" s="5"/>
      <c r="D32" s="9">
        <v>3.0</v>
      </c>
      <c r="E32" s="10" t="s">
        <v>50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</row>
    <row r="33" ht="15.0" customHeight="1">
      <c r="A33" s="9">
        <v>4.0</v>
      </c>
      <c r="B33" s="10" t="s">
        <v>51</v>
      </c>
      <c r="C33" s="5"/>
      <c r="D33" s="9">
        <v>4.0</v>
      </c>
      <c r="E33" s="10" t="s">
        <v>52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</row>
    <row r="34" ht="15.0" customHeight="1">
      <c r="A34" s="9">
        <v>5.0</v>
      </c>
      <c r="B34" s="10" t="s">
        <v>53</v>
      </c>
      <c r="C34" s="5"/>
      <c r="D34" s="9">
        <v>5.0</v>
      </c>
      <c r="E34" s="10" t="s">
        <v>54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</row>
    <row r="35" ht="15.0" customHeight="1">
      <c r="A35" s="9">
        <v>6.0</v>
      </c>
      <c r="B35" s="10" t="s">
        <v>55</v>
      </c>
      <c r="C35" s="5"/>
      <c r="D35" s="9">
        <v>6.0</v>
      </c>
      <c r="E35" s="10" t="s">
        <v>56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</row>
    <row r="36" ht="15.0" customHeight="1">
      <c r="A36" s="5"/>
      <c r="B36" s="5"/>
      <c r="C36" s="5"/>
      <c r="D36" s="5"/>
      <c r="E36" s="5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</row>
    <row r="37" ht="12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</row>
    <row r="38" ht="12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ht="12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ht="12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</row>
    <row r="41" ht="12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</row>
    <row r="42" ht="12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</row>
    <row r="43" ht="12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ht="12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</row>
    <row r="45" ht="12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</row>
    <row r="46" ht="12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</row>
    <row r="47" ht="12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ht="12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</row>
    <row r="49" ht="12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</row>
    <row r="50" ht="12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</row>
    <row r="51" ht="12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ht="12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ht="12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</row>
    <row r="54" ht="12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</row>
    <row r="55" ht="12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</row>
    <row r="56" ht="12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ht="12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ht="12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</row>
    <row r="59" ht="12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</row>
    <row r="60" ht="12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</row>
    <row r="61" ht="12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ht="12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</row>
    <row r="63" ht="12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</row>
    <row r="64" ht="12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</row>
    <row r="65" ht="12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</row>
    <row r="66" ht="12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</row>
    <row r="67" ht="12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</row>
    <row r="68" ht="12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</row>
    <row r="69" ht="12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ht="12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ht="12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</row>
    <row r="72" ht="12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</row>
    <row r="73" ht="12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</row>
    <row r="74" ht="12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ht="12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</row>
    <row r="76" ht="12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</row>
    <row r="77" ht="12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</row>
    <row r="78" ht="12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ht="12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</row>
    <row r="80" ht="12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</row>
    <row r="81" ht="12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</row>
    <row r="82" ht="12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ht="12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</row>
    <row r="84" ht="12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</row>
    <row r="85" ht="12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</row>
    <row r="86" ht="12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ht="12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ht="12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ht="12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</row>
    <row r="90" ht="12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ht="12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</row>
    <row r="92" ht="12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</row>
    <row r="93" ht="12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</row>
    <row r="94" ht="12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ht="12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</row>
    <row r="96" ht="12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</row>
    <row r="97" ht="12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</row>
    <row r="98" ht="12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</row>
    <row r="99" ht="12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</row>
    <row r="100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ht="12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</row>
    <row r="102" ht="12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</row>
    <row r="103" ht="12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</row>
    <row r="104" ht="12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</row>
    <row r="105" ht="12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</row>
    <row r="106" ht="12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</row>
    <row r="107" ht="12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</row>
    <row r="108" ht="12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</row>
    <row r="109" ht="12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</row>
    <row r="110" ht="12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</row>
    <row r="111" ht="12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</row>
    <row r="112" ht="12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</row>
    <row r="113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</row>
    <row r="114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</row>
    <row r="115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</row>
    <row r="116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</row>
    <row r="117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</row>
    <row r="118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</row>
    <row r="119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</row>
    <row r="120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</row>
    <row r="121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</row>
    <row r="122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</row>
    <row r="123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</row>
    <row r="124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</row>
    <row r="125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</row>
    <row r="1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</row>
    <row r="127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</row>
    <row r="128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</row>
    <row r="129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</row>
    <row r="130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</row>
    <row r="131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</row>
    <row r="132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</row>
    <row r="133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</row>
    <row r="134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</row>
    <row r="135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</row>
    <row r="13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</row>
    <row r="137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</row>
    <row r="138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</row>
    <row r="139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</row>
    <row r="140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</row>
    <row r="141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</row>
    <row r="142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</row>
    <row r="143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</row>
    <row r="144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</row>
    <row r="145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</row>
    <row r="14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</row>
    <row r="147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</row>
    <row r="148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</row>
    <row r="149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</row>
    <row r="150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</row>
    <row r="151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</row>
    <row r="152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</row>
    <row r="153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</row>
    <row r="154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</row>
    <row r="155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</row>
    <row r="15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</row>
    <row r="157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</row>
    <row r="158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</row>
    <row r="159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</row>
    <row r="160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</row>
    <row r="161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</row>
    <row r="162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</row>
    <row r="163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</row>
    <row r="164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</row>
    <row r="165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</row>
    <row r="166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</row>
    <row r="167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</row>
    <row r="168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</row>
    <row r="169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</row>
    <row r="170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</row>
    <row r="171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</row>
    <row r="172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</row>
    <row r="173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</row>
    <row r="174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</row>
    <row r="175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</row>
    <row r="176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</row>
    <row r="177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</row>
    <row r="178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</row>
    <row r="179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</row>
    <row r="180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</row>
    <row r="181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</row>
    <row r="182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</row>
    <row r="183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</row>
    <row r="184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</row>
    <row r="185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</row>
    <row r="186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</row>
    <row r="187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</row>
    <row r="188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</row>
    <row r="189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</row>
    <row r="190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</row>
    <row r="191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</row>
    <row r="192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</row>
    <row r="193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</row>
    <row r="194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</row>
    <row r="195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</row>
    <row r="196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</row>
    <row r="197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</row>
    <row r="198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</row>
    <row r="199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</row>
    <row r="200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</row>
    <row r="201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</row>
    <row r="202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</row>
    <row r="203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</row>
    <row r="204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</row>
    <row r="205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</row>
    <row r="206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</row>
    <row r="207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</row>
    <row r="208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</row>
    <row r="209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</row>
    <row r="210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</row>
    <row r="211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</row>
    <row r="212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</row>
    <row r="213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</row>
    <row r="214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</row>
    <row r="215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</row>
    <row r="216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</row>
    <row r="217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</row>
    <row r="218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</row>
    <row r="219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</row>
    <row r="220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</row>
    <row r="221" ht="12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</row>
    <row r="222" ht="12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</row>
    <row r="223" ht="12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</row>
    <row r="224" ht="12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</row>
    <row r="225" ht="12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</row>
    <row r="226" ht="12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</row>
    <row r="227" ht="12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</row>
    <row r="228" ht="12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</row>
    <row r="229" ht="12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</row>
    <row r="230" ht="12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</row>
    <row r="231" ht="12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</row>
    <row r="232" ht="12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</row>
    <row r="233" ht="12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</row>
    <row r="234" ht="12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</row>
    <row r="235" ht="12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</row>
    <row r="236" ht="12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</row>
    <row r="237" ht="12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</row>
    <row r="238" ht="12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</row>
    <row r="239" ht="12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</row>
    <row r="240" ht="12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</row>
    <row r="241" ht="12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</row>
    <row r="242" ht="12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</row>
    <row r="243" ht="12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</row>
    <row r="244" ht="12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</row>
    <row r="245" ht="12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</row>
    <row r="246" ht="12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</row>
    <row r="247" ht="12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</row>
    <row r="248" ht="12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</row>
    <row r="249" ht="12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</row>
    <row r="250" ht="12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</row>
    <row r="251" ht="12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</row>
    <row r="252" ht="12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</row>
    <row r="253" ht="12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</row>
    <row r="254" ht="12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</row>
    <row r="255" ht="12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</row>
    <row r="256" ht="12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</row>
    <row r="257" ht="12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</row>
    <row r="258" ht="12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</row>
    <row r="259" ht="12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</row>
    <row r="260" ht="12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</row>
    <row r="261" ht="12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</row>
    <row r="262" ht="12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</row>
    <row r="263" ht="12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</row>
    <row r="264" ht="12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</row>
    <row r="265" ht="12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</row>
    <row r="266" ht="12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</row>
    <row r="267" ht="12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</row>
    <row r="268" ht="12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</row>
    <row r="269" ht="12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</row>
    <row r="270" ht="12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</row>
    <row r="271" ht="12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</row>
    <row r="272" ht="12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</row>
    <row r="273" ht="12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</row>
    <row r="274" ht="12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</row>
    <row r="275" ht="12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</row>
    <row r="276" ht="12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</row>
    <row r="277" ht="12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</row>
    <row r="278" ht="12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</row>
    <row r="279" ht="12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</row>
    <row r="280" ht="12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</row>
    <row r="281" ht="12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</row>
    <row r="282" ht="12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</row>
    <row r="283" ht="12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</row>
    <row r="284" ht="12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</row>
    <row r="285" ht="12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</row>
    <row r="286" ht="12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</row>
    <row r="287" ht="12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</row>
    <row r="288" ht="12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</row>
    <row r="289" ht="12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</row>
    <row r="290" ht="12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</row>
    <row r="291" ht="12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</row>
    <row r="292" ht="12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</row>
    <row r="293" ht="12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</row>
    <row r="294" ht="12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</row>
    <row r="295" ht="12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</row>
    <row r="296" ht="12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</row>
    <row r="297" ht="12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</row>
    <row r="298" ht="12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</row>
    <row r="299" ht="12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</row>
    <row r="300" ht="12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</row>
    <row r="301" ht="12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</row>
    <row r="302" ht="12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</row>
    <row r="303" ht="12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</row>
    <row r="304" ht="12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</row>
    <row r="305" ht="12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</row>
    <row r="306" ht="12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</row>
    <row r="307" ht="12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</row>
    <row r="308" ht="12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</row>
    <row r="309" ht="12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</row>
    <row r="310" ht="12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</row>
    <row r="311" ht="12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</row>
    <row r="312" ht="12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</row>
    <row r="313" ht="12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</row>
    <row r="314" ht="12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</row>
    <row r="315" ht="12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</row>
    <row r="316" ht="12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</row>
    <row r="317" ht="12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</row>
    <row r="318" ht="12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</row>
    <row r="319" ht="12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</row>
    <row r="320" ht="12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</row>
    <row r="321" ht="12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</row>
    <row r="322" ht="12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</row>
    <row r="323" ht="12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</row>
    <row r="324" ht="12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</row>
    <row r="325" ht="12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</row>
    <row r="326" ht="12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</row>
    <row r="327" ht="12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</row>
    <row r="328" ht="12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</row>
    <row r="329" ht="12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</row>
    <row r="330" ht="12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</row>
    <row r="331" ht="12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</row>
    <row r="332" ht="12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</row>
    <row r="333" ht="12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</row>
    <row r="334" ht="12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</row>
    <row r="335" ht="12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</row>
    <row r="336" ht="12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</row>
    <row r="337" ht="12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</row>
    <row r="338" ht="12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</row>
    <row r="339" ht="12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</row>
    <row r="340" ht="12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</row>
    <row r="341" ht="12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</row>
    <row r="342" ht="12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</row>
    <row r="343" ht="12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</row>
    <row r="344" ht="12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</row>
    <row r="345" ht="12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</row>
    <row r="346" ht="12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</row>
    <row r="347" ht="12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</row>
    <row r="348" ht="12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</row>
    <row r="349" ht="12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</row>
    <row r="350" ht="12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</row>
    <row r="351" ht="12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</row>
    <row r="352" ht="12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</row>
    <row r="353" ht="12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</row>
    <row r="354" ht="12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</row>
    <row r="355" ht="12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</row>
    <row r="356" ht="12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</row>
    <row r="357" ht="12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</row>
    <row r="358" ht="12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</row>
    <row r="359" ht="12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</row>
    <row r="360" ht="12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</row>
    <row r="361" ht="12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</row>
    <row r="362" ht="12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</row>
    <row r="363" ht="12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</row>
    <row r="364" ht="12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</row>
    <row r="365" ht="12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</row>
    <row r="366" ht="12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</row>
    <row r="367" ht="12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</row>
    <row r="368" ht="12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</row>
    <row r="369" ht="12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</row>
    <row r="370" ht="12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</row>
    <row r="371" ht="12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</row>
    <row r="372" ht="12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</row>
    <row r="373" ht="12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</row>
    <row r="374" ht="12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</row>
    <row r="375" ht="12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</row>
    <row r="376" ht="12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</row>
    <row r="377" ht="12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</row>
    <row r="378" ht="12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</row>
    <row r="379" ht="12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</row>
    <row r="380" ht="12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</row>
    <row r="381" ht="12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</row>
    <row r="382" ht="12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</row>
    <row r="383" ht="12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</row>
    <row r="384" ht="12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</row>
    <row r="385" ht="12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</row>
    <row r="386" ht="12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</row>
    <row r="387" ht="12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</row>
    <row r="388" ht="12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</row>
    <row r="389" ht="12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</row>
    <row r="390" ht="12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</row>
    <row r="391" ht="12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</row>
    <row r="392" ht="12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</row>
    <row r="393" ht="12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</row>
    <row r="394" ht="12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</row>
    <row r="395" ht="12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</row>
    <row r="396" ht="12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</row>
    <row r="397" ht="12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</row>
    <row r="398" ht="12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</row>
    <row r="399" ht="12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</row>
    <row r="400" ht="12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</row>
    <row r="401" ht="12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</row>
    <row r="402" ht="12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</row>
    <row r="403" ht="12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</row>
    <row r="404" ht="12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</row>
    <row r="405" ht="12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</row>
    <row r="406" ht="12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</row>
    <row r="407" ht="12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</row>
    <row r="408" ht="12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</row>
    <row r="409" ht="12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</row>
    <row r="410" ht="12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</row>
    <row r="411" ht="12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</row>
    <row r="412" ht="12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</row>
    <row r="413" ht="12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</row>
    <row r="414" ht="12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</row>
    <row r="415" ht="12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</row>
    <row r="416" ht="12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</row>
    <row r="417" ht="12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</row>
    <row r="418" ht="12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</row>
    <row r="419" ht="12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</row>
    <row r="420" ht="12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</row>
    <row r="421" ht="12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</row>
    <row r="422" ht="12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</row>
    <row r="423" ht="12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</row>
    <row r="424" ht="12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</row>
    <row r="425" ht="12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</row>
    <row r="426" ht="12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</row>
    <row r="427" ht="12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</row>
    <row r="428" ht="12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</row>
    <row r="429" ht="12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</row>
    <row r="430" ht="12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</row>
    <row r="431" ht="12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</row>
    <row r="432" ht="12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</row>
    <row r="433" ht="12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</row>
    <row r="434" ht="12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</row>
    <row r="435" ht="12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</row>
    <row r="436" ht="12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</row>
    <row r="437" ht="12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</row>
    <row r="438" ht="12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</row>
    <row r="439" ht="12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</row>
    <row r="440" ht="12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</row>
    <row r="441" ht="12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</row>
    <row r="442" ht="12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</row>
    <row r="443" ht="12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</row>
    <row r="444" ht="12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</row>
    <row r="445" ht="12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</row>
    <row r="446" ht="12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</row>
    <row r="447" ht="12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</row>
    <row r="448" ht="12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</row>
    <row r="449" ht="12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</row>
    <row r="450" ht="12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</row>
    <row r="451" ht="12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</row>
    <row r="452" ht="12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</row>
    <row r="453" ht="12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</row>
    <row r="454" ht="12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</row>
    <row r="455" ht="12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</row>
    <row r="456" ht="12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</row>
    <row r="457" ht="12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</row>
    <row r="458" ht="12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</row>
    <row r="459" ht="12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</row>
    <row r="460" ht="12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</row>
    <row r="461" ht="12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</row>
    <row r="462" ht="12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</row>
    <row r="463" ht="12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</row>
    <row r="464" ht="12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</row>
    <row r="465" ht="12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</row>
    <row r="466" ht="12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</row>
    <row r="467" ht="12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</row>
    <row r="468" ht="12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</row>
    <row r="469" ht="12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</row>
    <row r="470" ht="12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</row>
    <row r="471" ht="12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</row>
    <row r="472" ht="12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</row>
    <row r="473" ht="12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</row>
    <row r="474" ht="12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</row>
    <row r="475" ht="12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</row>
    <row r="476" ht="12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</row>
    <row r="477" ht="12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</row>
    <row r="478" ht="12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</row>
    <row r="479" ht="12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</row>
    <row r="480" ht="12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</row>
    <row r="481" ht="12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</row>
    <row r="482" ht="12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</row>
    <row r="483" ht="12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</row>
    <row r="484" ht="12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</row>
    <row r="485" ht="12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</row>
    <row r="486" ht="12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</row>
    <row r="487" ht="12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</row>
    <row r="488" ht="12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</row>
    <row r="489" ht="12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</row>
    <row r="490" ht="12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</row>
    <row r="491" ht="12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</row>
    <row r="492" ht="12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</row>
    <row r="493" ht="12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</row>
    <row r="494" ht="12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</row>
    <row r="495" ht="12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</row>
    <row r="496" ht="12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</row>
    <row r="497" ht="12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</row>
    <row r="498" ht="12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</row>
    <row r="499" ht="12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</row>
    <row r="500" ht="12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</row>
    <row r="501" ht="12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</row>
    <row r="502" ht="12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</row>
    <row r="503" ht="12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</row>
    <row r="504" ht="12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</row>
    <row r="505" ht="12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</row>
    <row r="506" ht="12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</row>
    <row r="507" ht="12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</row>
    <row r="508" ht="12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</row>
    <row r="509" ht="12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</row>
    <row r="510" ht="12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</row>
    <row r="511" ht="12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</row>
    <row r="512" ht="12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</row>
    <row r="513" ht="12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</row>
    <row r="514" ht="12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</row>
    <row r="515" ht="12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</row>
    <row r="516" ht="12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</row>
    <row r="517" ht="12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</row>
    <row r="518" ht="12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</row>
    <row r="519" ht="12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</row>
    <row r="520" ht="12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</row>
    <row r="521" ht="12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</row>
    <row r="522" ht="12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</row>
    <row r="523" ht="12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</row>
    <row r="524" ht="12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</row>
    <row r="525" ht="12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</row>
    <row r="526" ht="12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</row>
    <row r="527" ht="12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</row>
    <row r="528" ht="12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</row>
    <row r="529" ht="12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</row>
    <row r="530" ht="12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</row>
    <row r="531" ht="12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</row>
    <row r="532" ht="12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</row>
    <row r="533" ht="12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</row>
    <row r="534" ht="12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</row>
    <row r="535" ht="12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</row>
    <row r="536" ht="12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</row>
    <row r="537" ht="12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</row>
    <row r="538" ht="12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</row>
    <row r="539" ht="12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</row>
    <row r="540" ht="12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</row>
    <row r="541" ht="12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</row>
    <row r="542" ht="12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</row>
    <row r="543" ht="12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</row>
    <row r="544" ht="12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</row>
    <row r="545" ht="12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</row>
    <row r="546" ht="12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</row>
    <row r="547" ht="12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</row>
    <row r="548" ht="12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</row>
    <row r="549" ht="12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</row>
    <row r="550" ht="12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</row>
    <row r="551" ht="12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</row>
    <row r="552" ht="12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</row>
    <row r="553" ht="12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</row>
    <row r="554" ht="12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</row>
    <row r="555" ht="12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</row>
    <row r="556" ht="12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</row>
    <row r="557" ht="12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</row>
    <row r="558" ht="12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</row>
    <row r="559" ht="12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</row>
    <row r="560" ht="12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</row>
    <row r="561" ht="12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</row>
    <row r="562" ht="12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</row>
    <row r="563" ht="12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</row>
    <row r="564" ht="12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</row>
    <row r="565" ht="12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</row>
    <row r="566" ht="12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</row>
    <row r="567" ht="12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</row>
    <row r="568" ht="12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</row>
    <row r="569" ht="12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</row>
    <row r="570" ht="12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</row>
    <row r="571" ht="12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</row>
    <row r="572" ht="12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</row>
    <row r="573" ht="12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</row>
    <row r="574" ht="12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</row>
    <row r="575" ht="12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</row>
    <row r="576" ht="12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</row>
    <row r="577" ht="12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</row>
    <row r="578" ht="12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</row>
    <row r="579" ht="12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</row>
    <row r="580" ht="12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</row>
    <row r="581" ht="12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</row>
    <row r="582" ht="12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</row>
    <row r="583" ht="12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</row>
    <row r="584" ht="12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</row>
    <row r="585" ht="12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</row>
    <row r="586" ht="12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</row>
    <row r="587" ht="12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</row>
    <row r="588" ht="12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</row>
    <row r="589" ht="12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</row>
    <row r="590" ht="12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</row>
    <row r="591" ht="12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</row>
    <row r="592" ht="12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</row>
    <row r="593" ht="12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</row>
    <row r="594" ht="12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</row>
    <row r="595" ht="12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</row>
    <row r="596" ht="12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</row>
    <row r="597" ht="12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</row>
    <row r="598" ht="12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</row>
    <row r="599" ht="12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</row>
    <row r="600" ht="12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</row>
    <row r="601" ht="12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</row>
    <row r="602" ht="12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</row>
    <row r="603" ht="12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</row>
    <row r="604" ht="12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</row>
    <row r="605" ht="12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</row>
    <row r="606" ht="12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</row>
    <row r="607" ht="12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</row>
    <row r="608" ht="12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</row>
    <row r="609" ht="12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</row>
    <row r="610" ht="12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</row>
    <row r="611" ht="12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</row>
    <row r="612" ht="12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</row>
    <row r="613" ht="12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</row>
    <row r="614" ht="12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</row>
    <row r="615" ht="12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</row>
    <row r="616" ht="12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</row>
    <row r="617" ht="12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</row>
    <row r="618" ht="12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</row>
    <row r="619" ht="12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</row>
    <row r="620" ht="12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</row>
    <row r="621" ht="12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</row>
    <row r="622" ht="12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</row>
    <row r="623" ht="12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</row>
    <row r="624" ht="12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</row>
    <row r="625" ht="12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</row>
    <row r="626" ht="12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</row>
    <row r="627" ht="12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</row>
    <row r="628" ht="12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</row>
    <row r="629" ht="12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</row>
    <row r="630" ht="12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</row>
    <row r="631" ht="12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</row>
    <row r="632" ht="12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</row>
    <row r="633" ht="12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</row>
    <row r="634" ht="12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</row>
    <row r="635" ht="12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</row>
    <row r="636" ht="12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</row>
    <row r="637" ht="12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</row>
    <row r="638" ht="12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</row>
    <row r="639" ht="12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</row>
    <row r="640" ht="12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</row>
    <row r="641" ht="12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</row>
    <row r="642" ht="12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</row>
    <row r="643" ht="12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</row>
    <row r="644" ht="12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</row>
    <row r="645" ht="12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</row>
    <row r="646" ht="12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</row>
    <row r="647" ht="12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</row>
    <row r="648" ht="12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</row>
    <row r="649" ht="12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</row>
    <row r="650" ht="12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</row>
    <row r="651" ht="12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</row>
    <row r="652" ht="12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</row>
    <row r="653" ht="12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</row>
    <row r="654" ht="12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</row>
    <row r="655" ht="12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</row>
    <row r="656" ht="12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</row>
    <row r="657" ht="12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</row>
    <row r="658" ht="12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</row>
    <row r="659" ht="12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</row>
    <row r="660" ht="12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</row>
    <row r="661" ht="12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</row>
    <row r="662" ht="12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</row>
    <row r="663" ht="12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</row>
    <row r="664" ht="12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</row>
    <row r="665" ht="12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</row>
    <row r="666" ht="12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</row>
    <row r="667" ht="12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</row>
    <row r="668" ht="12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</row>
    <row r="669" ht="12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</row>
    <row r="670" ht="12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</row>
    <row r="671" ht="12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</row>
    <row r="672" ht="12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</row>
    <row r="673" ht="12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</row>
    <row r="674" ht="12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</row>
    <row r="675" ht="12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</row>
    <row r="676" ht="12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</row>
    <row r="677" ht="12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</row>
    <row r="678" ht="12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</row>
    <row r="679" ht="12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</row>
    <row r="680" ht="12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</row>
    <row r="681" ht="12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</row>
    <row r="682" ht="12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</row>
    <row r="683" ht="12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</row>
    <row r="684" ht="12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</row>
    <row r="685" ht="12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</row>
    <row r="686" ht="12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</row>
    <row r="687" ht="12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</row>
    <row r="688" ht="12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</row>
    <row r="689" ht="12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</row>
    <row r="690" ht="12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</row>
    <row r="691" ht="12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</row>
    <row r="692" ht="12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</row>
    <row r="693" ht="12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</row>
    <row r="694" ht="12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</row>
    <row r="695" ht="12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</row>
    <row r="696" ht="12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</row>
    <row r="697" ht="12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</row>
    <row r="698" ht="12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</row>
    <row r="699" ht="12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</row>
    <row r="700" ht="12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</row>
    <row r="701" ht="12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</row>
    <row r="702" ht="12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</row>
    <row r="703" ht="12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</row>
    <row r="704" ht="12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</row>
    <row r="705" ht="12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</row>
    <row r="706" ht="12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</row>
    <row r="707" ht="12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</row>
    <row r="708" ht="12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</row>
    <row r="709" ht="12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</row>
    <row r="710" ht="12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</row>
    <row r="711" ht="12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</row>
    <row r="712" ht="12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</row>
    <row r="713" ht="12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</row>
    <row r="714" ht="12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</row>
    <row r="715" ht="12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</row>
    <row r="716" ht="12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</row>
    <row r="717" ht="12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</row>
    <row r="718" ht="12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</row>
    <row r="719" ht="12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</row>
    <row r="720" ht="12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</row>
    <row r="721" ht="12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</row>
    <row r="722" ht="12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</row>
    <row r="723" ht="12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</row>
    <row r="724" ht="12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</row>
    <row r="725" ht="12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</row>
    <row r="726" ht="12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</row>
    <row r="727" ht="12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</row>
    <row r="728" ht="12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</row>
    <row r="729" ht="12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</row>
    <row r="730" ht="12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</row>
    <row r="731" ht="12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</row>
    <row r="732" ht="12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</row>
    <row r="733" ht="12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</row>
    <row r="734" ht="12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</row>
    <row r="735" ht="12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</row>
    <row r="736" ht="12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</row>
    <row r="737" ht="12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</row>
    <row r="738" ht="12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</row>
    <row r="739" ht="12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</row>
    <row r="740" ht="12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</row>
    <row r="741" ht="12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</row>
    <row r="742" ht="12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</row>
    <row r="743" ht="12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</row>
    <row r="744" ht="12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</row>
    <row r="745" ht="12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</row>
    <row r="746" ht="12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</row>
    <row r="747" ht="12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</row>
    <row r="748" ht="12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</row>
    <row r="749" ht="12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</row>
    <row r="750" ht="12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</row>
    <row r="751" ht="12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</row>
    <row r="752" ht="12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</row>
    <row r="753" ht="12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</row>
    <row r="754" ht="12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</row>
    <row r="755" ht="12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</row>
    <row r="756" ht="12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</row>
    <row r="757" ht="12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</row>
    <row r="758" ht="12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</row>
    <row r="759" ht="12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</row>
    <row r="760" ht="12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</row>
    <row r="761" ht="12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</row>
    <row r="762" ht="12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</row>
    <row r="763" ht="12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</row>
    <row r="764" ht="12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</row>
    <row r="765" ht="12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</row>
    <row r="766" ht="12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</row>
    <row r="767" ht="12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</row>
    <row r="768" ht="12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</row>
    <row r="769" ht="12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</row>
    <row r="770" ht="12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</row>
    <row r="771" ht="12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</row>
    <row r="772" ht="12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</row>
    <row r="773" ht="12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</row>
    <row r="774" ht="12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</row>
    <row r="775" ht="12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</row>
    <row r="776" ht="12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</row>
    <row r="777" ht="12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</row>
    <row r="778" ht="12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</row>
    <row r="779" ht="12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</row>
    <row r="780" ht="12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</row>
    <row r="781" ht="12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</row>
    <row r="782" ht="12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</row>
    <row r="783" ht="12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</row>
    <row r="784" ht="12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</row>
    <row r="785" ht="12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</row>
    <row r="786" ht="12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</row>
    <row r="787" ht="12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</row>
    <row r="788" ht="12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</row>
    <row r="789" ht="12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</row>
    <row r="790" ht="12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</row>
    <row r="791" ht="12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</row>
    <row r="792" ht="12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</row>
    <row r="793" ht="12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</row>
    <row r="794" ht="12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</row>
    <row r="795" ht="12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</row>
    <row r="796" ht="12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</row>
    <row r="797" ht="12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</row>
    <row r="798" ht="12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</row>
    <row r="799" ht="12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</row>
    <row r="800" ht="12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</row>
    <row r="801" ht="12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</row>
    <row r="802" ht="12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</row>
    <row r="803" ht="12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</row>
    <row r="804" ht="12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</row>
    <row r="805" ht="12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</row>
    <row r="806" ht="12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</row>
    <row r="807" ht="12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</row>
    <row r="808" ht="12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</row>
    <row r="809" ht="12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</row>
    <row r="810" ht="12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</row>
    <row r="811" ht="12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</row>
    <row r="812" ht="12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</row>
    <row r="813" ht="12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</row>
    <row r="814" ht="12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</row>
    <row r="815" ht="12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</row>
    <row r="816" ht="12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</row>
    <row r="817" ht="12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</row>
    <row r="818" ht="12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</row>
    <row r="819" ht="12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</row>
    <row r="820" ht="12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</row>
    <row r="821" ht="12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</row>
    <row r="822" ht="12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</row>
    <row r="823" ht="12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</row>
    <row r="824" ht="12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</row>
    <row r="825" ht="12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</row>
    <row r="826" ht="12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</row>
    <row r="827" ht="12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</row>
    <row r="828" ht="12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</row>
    <row r="829" ht="12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</row>
    <row r="830" ht="12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</row>
    <row r="831" ht="12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</row>
    <row r="832" ht="12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</row>
    <row r="833" ht="12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</row>
    <row r="834" ht="12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</row>
    <row r="835" ht="12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</row>
    <row r="836" ht="12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</row>
    <row r="837" ht="12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</row>
    <row r="838" ht="12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</row>
    <row r="839" ht="12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</row>
    <row r="840" ht="12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</row>
    <row r="841" ht="12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</row>
    <row r="842" ht="12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</row>
    <row r="843" ht="12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</row>
    <row r="844" ht="12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</row>
    <row r="845" ht="12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</row>
    <row r="846" ht="12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</row>
    <row r="847" ht="12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</row>
    <row r="848" ht="12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</row>
    <row r="849" ht="12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</row>
    <row r="850" ht="12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</row>
    <row r="851" ht="12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</row>
    <row r="852" ht="12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</row>
    <row r="853" ht="12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</row>
    <row r="854" ht="12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</row>
    <row r="855" ht="12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</row>
    <row r="856" ht="12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</row>
    <row r="857" ht="12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</row>
    <row r="858" ht="12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</row>
    <row r="859" ht="12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</row>
    <row r="860" ht="12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</row>
    <row r="861" ht="12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</row>
    <row r="862" ht="12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</row>
    <row r="863" ht="12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</row>
    <row r="864" ht="12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</row>
    <row r="865" ht="12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</row>
    <row r="866" ht="12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</row>
    <row r="867" ht="12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</row>
    <row r="868" ht="12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</row>
    <row r="869" ht="12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</row>
    <row r="870" ht="12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</row>
    <row r="871" ht="12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</row>
    <row r="872" ht="12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</row>
    <row r="873" ht="12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</row>
    <row r="874" ht="12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</row>
    <row r="875" ht="12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</row>
    <row r="876" ht="12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</row>
    <row r="877" ht="12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</row>
    <row r="878" ht="12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</row>
    <row r="879" ht="12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</row>
    <row r="880" ht="12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</row>
    <row r="881" ht="12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</row>
    <row r="882" ht="12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</row>
    <row r="883" ht="12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</row>
    <row r="884" ht="12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</row>
    <row r="885" ht="12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</row>
    <row r="886" ht="12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</row>
    <row r="887" ht="12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</row>
    <row r="888" ht="12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</row>
    <row r="889" ht="12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</row>
    <row r="890" ht="12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</row>
    <row r="891" ht="12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</row>
    <row r="892" ht="12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</row>
    <row r="893" ht="12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</row>
    <row r="894" ht="12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</row>
    <row r="895" ht="12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</row>
    <row r="896" ht="12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</row>
    <row r="897" ht="12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</row>
    <row r="898" ht="12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</row>
    <row r="899" ht="12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</row>
    <row r="900" ht="12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</row>
    <row r="901" ht="12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</row>
    <row r="902" ht="12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</row>
    <row r="903" ht="12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</row>
    <row r="904" ht="12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</row>
    <row r="905" ht="12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</row>
    <row r="906" ht="12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</row>
    <row r="907" ht="12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</row>
    <row r="908" ht="12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</row>
    <row r="909" ht="12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</row>
    <row r="910" ht="12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</row>
    <row r="911" ht="12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</row>
    <row r="912" ht="12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</row>
    <row r="913" ht="12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</row>
    <row r="914" ht="12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</row>
    <row r="915" ht="12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</row>
    <row r="916" ht="12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</row>
    <row r="917" ht="12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</row>
    <row r="918" ht="12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</row>
    <row r="919" ht="12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</row>
    <row r="920" ht="12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</row>
    <row r="921" ht="12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</row>
    <row r="922" ht="12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</row>
    <row r="923" ht="12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</row>
    <row r="924" ht="12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</row>
    <row r="925" ht="12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</row>
    <row r="926" ht="12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</row>
    <row r="927" ht="12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</row>
    <row r="928" ht="12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</row>
    <row r="929" ht="12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</row>
    <row r="930" ht="12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</row>
    <row r="931" ht="12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</row>
    <row r="932" ht="12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</row>
    <row r="933" ht="12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</row>
    <row r="934" ht="12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</row>
    <row r="935" ht="12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</row>
    <row r="936" ht="12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</row>
    <row r="937" ht="12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</row>
    <row r="938" ht="12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</row>
    <row r="939" ht="12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</row>
    <row r="940" ht="12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</row>
    <row r="941" ht="12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</row>
    <row r="942" ht="12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</row>
    <row r="943" ht="12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</row>
    <row r="944" ht="12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</row>
    <row r="945" ht="12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</row>
    <row r="946" ht="12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</row>
    <row r="947" ht="12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</row>
    <row r="948" ht="12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</row>
    <row r="949" ht="12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</row>
    <row r="950" ht="12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</row>
    <row r="951" ht="12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</row>
    <row r="952" ht="12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</row>
    <row r="953" ht="12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</row>
    <row r="954" ht="12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</row>
    <row r="955" ht="12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</row>
    <row r="956" ht="12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</row>
    <row r="957" ht="12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</row>
    <row r="958" ht="12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</row>
    <row r="959" ht="12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</row>
    <row r="960" ht="12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</row>
    <row r="961" ht="12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</row>
    <row r="962" ht="12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</row>
    <row r="963" ht="12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</row>
    <row r="964" ht="12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</row>
    <row r="965" ht="12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</row>
    <row r="966" ht="12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</row>
    <row r="967" ht="12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</row>
    <row r="968" ht="12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</row>
    <row r="969" ht="12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</row>
    <row r="970" ht="12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</row>
    <row r="971" ht="12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</row>
    <row r="972" ht="12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</row>
    <row r="973" ht="12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</row>
    <row r="974" ht="12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</row>
    <row r="975" ht="12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</row>
    <row r="976" ht="12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</row>
    <row r="977" ht="12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</row>
    <row r="978" ht="12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</row>
    <row r="979" ht="12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</row>
    <row r="980" ht="12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</row>
    <row r="981" ht="12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</row>
    <row r="982" ht="12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</row>
    <row r="983" ht="12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</row>
    <row r="984" ht="12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</row>
    <row r="985" ht="12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</row>
    <row r="986" ht="12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</row>
    <row r="987" ht="12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</row>
    <row r="988" ht="12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</row>
    <row r="989" ht="12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</row>
    <row r="990" ht="12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</row>
    <row r="991" ht="12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</row>
    <row r="992" ht="12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</row>
    <row r="993" ht="12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</row>
  </sheetData>
  <mergeCells count="1">
    <mergeCell ref="A1:E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5.63"/>
    <col customWidth="1" min="2" max="2" width="7.0"/>
    <col customWidth="1" hidden="1" min="3" max="3" width="6.13"/>
    <col customWidth="1" min="4" max="4" width="1.63"/>
    <col customWidth="1" min="5" max="5" width="7.0"/>
    <col customWidth="1" hidden="1" min="6" max="6" width="6.13"/>
    <col customWidth="1" min="7" max="7" width="1.63"/>
    <col customWidth="1" min="8" max="8" width="7.0"/>
    <col customWidth="1" hidden="1" min="9" max="9" width="6.13"/>
    <col customWidth="1" hidden="1" min="10" max="10" width="7.63"/>
    <col customWidth="1" hidden="1" min="11" max="11" width="7.38"/>
    <col customWidth="1" hidden="1" min="12" max="12" width="11.38"/>
    <col customWidth="1" hidden="1" min="13" max="13" width="8.0"/>
    <col customWidth="1" hidden="1" min="14" max="14" width="6.13"/>
    <col customWidth="1" min="15" max="15" width="8.63"/>
    <col customWidth="1" min="16" max="16" width="45.63"/>
    <col customWidth="1" min="17" max="17" width="7.0"/>
    <col customWidth="1" hidden="1" min="18" max="18" width="6.13"/>
    <col customWidth="1" min="19" max="19" width="1.63"/>
    <col customWidth="1" min="20" max="20" width="7.0"/>
    <col customWidth="1" hidden="1" min="21" max="21" width="6.13"/>
    <col customWidth="1" min="22" max="22" width="1.63"/>
    <col customWidth="1" min="23" max="23" width="7.0"/>
    <col customWidth="1" hidden="1" min="24" max="24" width="6.13"/>
    <col customWidth="1" hidden="1" min="25" max="25" width="7.63"/>
    <col customWidth="1" hidden="1" min="26" max="26" width="7.38"/>
    <col customWidth="1" hidden="1" min="27" max="27" width="11.38"/>
    <col customWidth="1" hidden="1" min="28" max="28" width="8.0"/>
    <col customWidth="1" hidden="1" min="29" max="29" width="6.13"/>
    <col customWidth="1" min="30" max="30" width="8.63"/>
    <col customWidth="1" min="31" max="31" width="45.63"/>
    <col customWidth="1" min="32" max="32" width="11.25"/>
    <col customWidth="1" min="33" max="35" width="8.63"/>
    <col customWidth="1" hidden="1" min="36" max="36" width="9.38"/>
    <col customWidth="1" hidden="1" min="37" max="37" width="8.0"/>
    <col customWidth="1" hidden="1" min="38" max="38" width="41.13"/>
  </cols>
  <sheetData>
    <row r="1" ht="21.0" customHeight="1">
      <c r="A1" s="22" t="s">
        <v>0</v>
      </c>
      <c r="AJ1" s="6"/>
      <c r="AK1" s="6"/>
      <c r="AL1" s="6"/>
    </row>
    <row r="2" ht="21.0" customHeight="1">
      <c r="AJ2" s="6"/>
      <c r="AK2" s="6"/>
      <c r="AL2" s="6"/>
    </row>
    <row r="3" ht="15.0" customHeight="1">
      <c r="A3" s="23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</row>
    <row r="4" ht="15.0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</row>
    <row r="5">
      <c r="A5" s="24" t="s">
        <v>57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6"/>
      <c r="AJ5" s="27"/>
      <c r="AK5" s="27"/>
      <c r="AL5" s="27"/>
    </row>
    <row r="6" ht="13.5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</row>
    <row r="7">
      <c r="A7" s="28" t="s">
        <v>58</v>
      </c>
      <c r="B7" s="29" t="s">
        <v>59</v>
      </c>
      <c r="C7" s="30"/>
      <c r="D7" s="30"/>
      <c r="E7" s="31"/>
      <c r="F7" s="32"/>
      <c r="G7" s="33"/>
      <c r="H7" s="28" t="s">
        <v>60</v>
      </c>
      <c r="I7" s="34"/>
      <c r="J7" s="34"/>
      <c r="K7" s="34"/>
      <c r="L7" s="34"/>
      <c r="M7" s="35"/>
      <c r="N7" s="35"/>
      <c r="O7" s="35"/>
      <c r="P7" s="28" t="s">
        <v>58</v>
      </c>
      <c r="Q7" s="29" t="s">
        <v>59</v>
      </c>
      <c r="R7" s="30"/>
      <c r="S7" s="30"/>
      <c r="T7" s="31"/>
      <c r="U7" s="32"/>
      <c r="V7" s="33"/>
      <c r="W7" s="28" t="s">
        <v>60</v>
      </c>
      <c r="X7" s="34"/>
      <c r="Y7" s="35"/>
      <c r="Z7" s="35"/>
      <c r="AA7" s="35"/>
      <c r="AB7" s="35"/>
      <c r="AC7" s="35"/>
      <c r="AD7" s="35"/>
      <c r="AE7" s="28" t="s">
        <v>61</v>
      </c>
      <c r="AF7" s="28" t="s">
        <v>62</v>
      </c>
      <c r="AG7" s="28" t="s">
        <v>63</v>
      </c>
      <c r="AH7" s="28" t="s">
        <v>64</v>
      </c>
      <c r="AI7" s="28" t="s">
        <v>65</v>
      </c>
      <c r="AJ7" s="36"/>
      <c r="AK7" s="36"/>
      <c r="AL7" s="27"/>
    </row>
    <row r="8" hidden="1">
      <c r="A8" s="27"/>
      <c r="B8" s="37" t="s">
        <v>66</v>
      </c>
      <c r="C8" s="37" t="s">
        <v>67</v>
      </c>
      <c r="D8" s="37"/>
      <c r="E8" s="37" t="s">
        <v>66</v>
      </c>
      <c r="F8" s="37" t="s">
        <v>68</v>
      </c>
      <c r="G8" s="37"/>
      <c r="H8" s="37" t="s">
        <v>66</v>
      </c>
      <c r="I8" s="37" t="s">
        <v>69</v>
      </c>
      <c r="J8" s="37" t="s">
        <v>70</v>
      </c>
      <c r="K8" s="37" t="s">
        <v>71</v>
      </c>
      <c r="L8" s="37" t="s">
        <v>72</v>
      </c>
      <c r="M8" s="37" t="s">
        <v>73</v>
      </c>
      <c r="N8" s="37" t="s">
        <v>74</v>
      </c>
      <c r="O8" s="27"/>
      <c r="P8" s="27"/>
      <c r="Q8" s="37" t="s">
        <v>66</v>
      </c>
      <c r="R8" s="37" t="s">
        <v>67</v>
      </c>
      <c r="S8" s="37"/>
      <c r="T8" s="37" t="s">
        <v>66</v>
      </c>
      <c r="U8" s="37" t="s">
        <v>68</v>
      </c>
      <c r="V8" s="37"/>
      <c r="W8" s="37" t="s">
        <v>66</v>
      </c>
      <c r="X8" s="37" t="s">
        <v>69</v>
      </c>
      <c r="Y8" s="37" t="s">
        <v>70</v>
      </c>
      <c r="Z8" s="37" t="s">
        <v>71</v>
      </c>
      <c r="AA8" s="37" t="s">
        <v>72</v>
      </c>
      <c r="AB8" s="37" t="s">
        <v>73</v>
      </c>
      <c r="AC8" s="37" t="s">
        <v>74</v>
      </c>
      <c r="AD8" s="27"/>
      <c r="AE8" s="38"/>
      <c r="AF8" s="36"/>
      <c r="AG8" s="36"/>
      <c r="AH8" s="36"/>
      <c r="AI8" s="36"/>
      <c r="AJ8" s="37" t="s">
        <v>75</v>
      </c>
      <c r="AK8" s="39" t="s">
        <v>76</v>
      </c>
      <c r="AL8" s="40" t="s">
        <v>77</v>
      </c>
    </row>
    <row r="9" ht="15.0" customHeight="1">
      <c r="A9" s="41" t="str">
        <f>AE9</f>
        <v>Trevor Rutter</v>
      </c>
      <c r="B9" s="42">
        <v>7.0</v>
      </c>
      <c r="C9" s="43">
        <f>IF(B9&gt;B11,1,0)</f>
        <v>1</v>
      </c>
      <c r="D9" s="44"/>
      <c r="E9" s="42">
        <v>6.0</v>
      </c>
      <c r="F9" s="43">
        <f>IF(E9&gt;E11,1,0)</f>
        <v>1</v>
      </c>
      <c r="G9" s="44"/>
      <c r="H9" s="45"/>
      <c r="I9" s="27">
        <f>IF(H9&gt;H11,1,0)</f>
        <v>0</v>
      </c>
      <c r="J9" s="27">
        <f>IF(B9="",0,1)</f>
        <v>1</v>
      </c>
      <c r="K9" s="27">
        <f>IF(C9+F9=2,3,IF(C9+F9=1,1,0))</f>
        <v>3</v>
      </c>
      <c r="L9" s="27">
        <f>IF(K9=3,3,IF(I9+K9=2,2,IF(K9=1,1,0)))</f>
        <v>3</v>
      </c>
      <c r="M9" s="27">
        <f>B9+E9</f>
        <v>13</v>
      </c>
      <c r="N9" s="27">
        <f>C9+F9+I9</f>
        <v>2</v>
      </c>
      <c r="O9" s="27"/>
      <c r="P9" s="41" t="str">
        <f>AE9</f>
        <v>Trevor Rutter</v>
      </c>
      <c r="Q9" s="42">
        <v>3.0</v>
      </c>
      <c r="R9" s="43">
        <f>IF(Q9&gt;Q11,1,0)</f>
        <v>0</v>
      </c>
      <c r="S9" s="44"/>
      <c r="T9" s="42">
        <v>2.0</v>
      </c>
      <c r="U9" s="43">
        <f>IF(T9&gt;T11,1,0)</f>
        <v>0</v>
      </c>
      <c r="V9" s="44"/>
      <c r="W9" s="45"/>
      <c r="X9" s="27">
        <f>IF(W9&gt;W11,1,0)</f>
        <v>0</v>
      </c>
      <c r="Y9" s="27">
        <f>IF(Q9="",0,1)</f>
        <v>1</v>
      </c>
      <c r="Z9" s="27">
        <f>IF(R9+U9=2,3,IF(R9+U9=1,1,0))</f>
        <v>0</v>
      </c>
      <c r="AA9" s="27">
        <f>IF(Z9=3,3,IF(X9+Z9=2,2,IF(Z9=1,1,0)))</f>
        <v>0</v>
      </c>
      <c r="AB9" s="27">
        <f>Q9+T9</f>
        <v>5</v>
      </c>
      <c r="AC9" s="27">
        <f>R9+U9+X9</f>
        <v>0</v>
      </c>
      <c r="AD9" s="27"/>
      <c r="AE9" s="46" t="str">
        <f>'Players - Men'!B6</f>
        <v>Trevor Rutter</v>
      </c>
      <c r="AF9" s="47">
        <f>J9+Y9+J13+Y13+J17</f>
        <v>5</v>
      </c>
      <c r="AG9" s="47">
        <f t="shared" ref="AG9:AI9" si="1">L9+AA9+L13+AA13+L17</f>
        <v>12</v>
      </c>
      <c r="AH9" s="47">
        <f t="shared" si="1"/>
        <v>54</v>
      </c>
      <c r="AI9" s="48">
        <f t="shared" si="1"/>
        <v>8</v>
      </c>
      <c r="AJ9" s="27">
        <f>MAX(AG9:AG19)</f>
        <v>12</v>
      </c>
      <c r="AK9" s="27">
        <f>SUM(AF9:AF19)</f>
        <v>30</v>
      </c>
      <c r="AL9" s="27" t="str">
        <f>IF(AG9=$AJ$9,AE9,IF(AG11=$AJ$9,AE11,IF(AG13=$AJ$9,AE13,IF(AG15=$AJ$9,AE15,IF(AG17=$AJ$9,AE17,IF(AG19=$AJ$9,AE19,""))))))</f>
        <v>Trevor Rutter</v>
      </c>
    </row>
    <row r="10" ht="15.0" customHeight="1">
      <c r="A10" s="49" t="s">
        <v>78</v>
      </c>
      <c r="H10" s="50"/>
      <c r="I10" s="51"/>
      <c r="J10" s="27"/>
      <c r="K10" s="27"/>
      <c r="L10" s="27"/>
      <c r="M10" s="27"/>
      <c r="N10" s="27"/>
      <c r="O10" s="27"/>
      <c r="P10" s="49" t="s">
        <v>78</v>
      </c>
      <c r="W10" s="50"/>
      <c r="X10" s="51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36"/>
      <c r="AL10" s="27"/>
    </row>
    <row r="11" ht="15.0" customHeight="1">
      <c r="A11" s="52" t="str">
        <f>AE11</f>
        <v>Melchior Farrugia</v>
      </c>
      <c r="B11" s="42">
        <v>5.0</v>
      </c>
      <c r="C11" s="53">
        <f>IF(B11&gt;B9,1,0)</f>
        <v>0</v>
      </c>
      <c r="D11" s="54"/>
      <c r="E11" s="42">
        <v>3.0</v>
      </c>
      <c r="F11" s="53">
        <f>IF(E11&gt;E9,1,0)</f>
        <v>0</v>
      </c>
      <c r="G11" s="54"/>
      <c r="H11" s="45"/>
      <c r="I11" s="27">
        <f>IF(H11&gt;H9,1,0)</f>
        <v>0</v>
      </c>
      <c r="J11" s="27">
        <f>IF(B11="",0,1)</f>
        <v>1</v>
      </c>
      <c r="K11" s="27">
        <f>IF(C11+F11=2,3,IF(C11+F11=1,1,0))</f>
        <v>0</v>
      </c>
      <c r="L11" s="27">
        <f>IF(K11=3,3,IF(I11+K11=2,2,IF(K11=1,1,0)))</f>
        <v>0</v>
      </c>
      <c r="M11" s="27">
        <f>B11+E11</f>
        <v>8</v>
      </c>
      <c r="N11" s="27">
        <f>C11+F11+I11</f>
        <v>0</v>
      </c>
      <c r="O11" s="27"/>
      <c r="P11" s="52" t="str">
        <f>AE13</f>
        <v>Ryan Mizzi</v>
      </c>
      <c r="Q11" s="42">
        <v>6.0</v>
      </c>
      <c r="R11" s="53">
        <f>IF(Q11&gt;Q9,1,0)</f>
        <v>1</v>
      </c>
      <c r="S11" s="54"/>
      <c r="T11" s="42">
        <v>6.0</v>
      </c>
      <c r="U11" s="53">
        <f>IF(T11&gt;T9,1,0)</f>
        <v>1</v>
      </c>
      <c r="V11" s="54"/>
      <c r="W11" s="45"/>
      <c r="X11" s="27">
        <f>IF(W11&gt;W9,1,0)</f>
        <v>0</v>
      </c>
      <c r="Y11" s="27">
        <f>IF(Q11="",0,1)</f>
        <v>1</v>
      </c>
      <c r="Z11" s="27">
        <f>IF(R11+U11=2,3,IF(R11+U11=1,1,0))</f>
        <v>3</v>
      </c>
      <c r="AA11" s="27">
        <f>IF(Z11=3,3,IF(X11+Z11=2,2,IF(Z11=1,1,0)))</f>
        <v>3</v>
      </c>
      <c r="AB11" s="27">
        <f>Q11+T11</f>
        <v>12</v>
      </c>
      <c r="AC11" s="27">
        <f>R11+U11+X11</f>
        <v>2</v>
      </c>
      <c r="AD11" s="27"/>
      <c r="AE11" s="46" t="str">
        <f>'Players - Men'!B7</f>
        <v>Melchior Farrugia</v>
      </c>
      <c r="AF11" s="47">
        <f>J11+Y25+J25+Y21+J21</f>
        <v>5</v>
      </c>
      <c r="AG11" s="47">
        <f t="shared" ref="AG11:AI11" si="2">L11+AA25+L25+AA21+L21</f>
        <v>10</v>
      </c>
      <c r="AH11" s="47">
        <f t="shared" si="2"/>
        <v>54</v>
      </c>
      <c r="AI11" s="48">
        <f t="shared" si="2"/>
        <v>7</v>
      </c>
      <c r="AJ11" s="36"/>
      <c r="AK11" s="36"/>
      <c r="AL11" s="27"/>
    </row>
    <row r="12" ht="15.0" customHeight="1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36"/>
      <c r="AG12" s="36"/>
      <c r="AH12" s="36"/>
      <c r="AI12" s="36"/>
      <c r="AJ12" s="36"/>
      <c r="AK12" s="36"/>
      <c r="AL12" s="27"/>
    </row>
    <row r="13" ht="15.0" customHeight="1">
      <c r="A13" s="41" t="str">
        <f>AE9</f>
        <v>Trevor Rutter</v>
      </c>
      <c r="B13" s="42">
        <v>6.0</v>
      </c>
      <c r="C13" s="43">
        <f>IF(B13&gt;B15,1,0)</f>
        <v>1</v>
      </c>
      <c r="D13" s="44"/>
      <c r="E13" s="42">
        <v>6.0</v>
      </c>
      <c r="F13" s="43">
        <f>IF(E13&gt;E15,1,0)</f>
        <v>1</v>
      </c>
      <c r="G13" s="44"/>
      <c r="H13" s="45"/>
      <c r="I13" s="27">
        <f>IF(H13&gt;H15,1,0)</f>
        <v>0</v>
      </c>
      <c r="J13" s="27">
        <f>IF(B13="",0,1)</f>
        <v>1</v>
      </c>
      <c r="K13" s="27">
        <f>IF(C13+F13=2,3,IF(C13+F13=1,1,0))</f>
        <v>3</v>
      </c>
      <c r="L13" s="27">
        <f>IF(K13=3,3,IF(I13+K13=2,2,IF(K13=1,1,0)))</f>
        <v>3</v>
      </c>
      <c r="M13" s="27">
        <f>B13+E13</f>
        <v>12</v>
      </c>
      <c r="N13" s="27">
        <f>C13+F13+I13</f>
        <v>2</v>
      </c>
      <c r="O13" s="27"/>
      <c r="P13" s="41" t="str">
        <f>AE9</f>
        <v>Trevor Rutter</v>
      </c>
      <c r="Q13" s="42">
        <v>6.0</v>
      </c>
      <c r="R13" s="43">
        <f>IF(Q13&gt;Q15,1,0)</f>
        <v>1</v>
      </c>
      <c r="S13" s="44"/>
      <c r="T13" s="42">
        <v>6.0</v>
      </c>
      <c r="U13" s="43">
        <f>IF(T13&gt;T15,1,0)</f>
        <v>1</v>
      </c>
      <c r="V13" s="44"/>
      <c r="W13" s="45"/>
      <c r="X13" s="27">
        <f>IF(W13&gt;W15,1,0)</f>
        <v>0</v>
      </c>
      <c r="Y13" s="27">
        <f>IF(Q13="",0,1)</f>
        <v>1</v>
      </c>
      <c r="Z13" s="27">
        <f>IF(R13+U13=2,3,IF(R13+U13=1,1,0))</f>
        <v>3</v>
      </c>
      <c r="AA13" s="27">
        <f>IF(Z13=3,3,IF(X13+Z13=2,2,IF(Z13=1,1,0)))</f>
        <v>3</v>
      </c>
      <c r="AB13" s="27">
        <f>Q13+T13</f>
        <v>12</v>
      </c>
      <c r="AC13" s="27">
        <f>R13+U13+X13</f>
        <v>2</v>
      </c>
      <c r="AD13" s="27"/>
      <c r="AE13" s="46" t="str">
        <f>'Players - Men'!B8</f>
        <v>Ryan Mizzi</v>
      </c>
      <c r="AF13" s="47">
        <f>Y29+Y11+Y33+J33+J23</f>
        <v>5</v>
      </c>
      <c r="AG13" s="47">
        <f t="shared" ref="AG13:AI13" si="3">AA29+AA11+AA33+L33+L23</f>
        <v>9</v>
      </c>
      <c r="AH13" s="47">
        <f t="shared" si="3"/>
        <v>48</v>
      </c>
      <c r="AI13" s="48">
        <f t="shared" si="3"/>
        <v>7</v>
      </c>
      <c r="AJ13" s="36"/>
      <c r="AK13" s="36"/>
      <c r="AL13" s="27"/>
    </row>
    <row r="14" ht="15.0" customHeight="1">
      <c r="A14" s="49" t="s">
        <v>78</v>
      </c>
      <c r="H14" s="50"/>
      <c r="I14" s="51"/>
      <c r="J14" s="27"/>
      <c r="K14" s="27"/>
      <c r="L14" s="27"/>
      <c r="M14" s="27"/>
      <c r="N14" s="27"/>
      <c r="O14" s="27"/>
      <c r="P14" s="49" t="s">
        <v>78</v>
      </c>
      <c r="W14" s="50"/>
      <c r="X14" s="51"/>
      <c r="Y14" s="27"/>
      <c r="Z14" s="27"/>
      <c r="AA14" s="27"/>
      <c r="AB14" s="27"/>
      <c r="AC14" s="27"/>
      <c r="AD14" s="27"/>
      <c r="AE14" s="27"/>
      <c r="AF14" s="36"/>
      <c r="AG14" s="36"/>
      <c r="AH14" s="36"/>
      <c r="AI14" s="36"/>
      <c r="AJ14" s="36"/>
      <c r="AK14" s="36"/>
      <c r="AL14" s="27"/>
    </row>
    <row r="15" ht="15.0" customHeight="1">
      <c r="A15" s="52" t="str">
        <f>AE15</f>
        <v>Andre' Farrugia</v>
      </c>
      <c r="B15" s="42">
        <v>0.0</v>
      </c>
      <c r="C15" s="53">
        <f>IF(B15&gt;B13,1,0)</f>
        <v>0</v>
      </c>
      <c r="D15" s="54"/>
      <c r="E15" s="42">
        <v>0.0</v>
      </c>
      <c r="F15" s="53">
        <f>IF(E15&gt;E13,1,0)</f>
        <v>0</v>
      </c>
      <c r="G15" s="54"/>
      <c r="H15" s="45"/>
      <c r="I15" s="27">
        <f>IF(H15&gt;H13,1,0)</f>
        <v>0</v>
      </c>
      <c r="J15" s="27">
        <f>IF(B15="",0,1)</f>
        <v>1</v>
      </c>
      <c r="K15" s="27">
        <f>IF(C15+F15=2,3,IF(C15+F15=1,1,0))</f>
        <v>0</v>
      </c>
      <c r="L15" s="27">
        <f>IF(K15=3,3,IF(I15+K15=2,2,IF(K15=1,1,0)))</f>
        <v>0</v>
      </c>
      <c r="M15" s="27">
        <f>B15+E15</f>
        <v>0</v>
      </c>
      <c r="N15" s="27">
        <f>C15+F15+I15</f>
        <v>0</v>
      </c>
      <c r="O15" s="27"/>
      <c r="P15" s="52" t="str">
        <f>AE17</f>
        <v>Marco Mercieca</v>
      </c>
      <c r="Q15" s="42">
        <v>4.0</v>
      </c>
      <c r="R15" s="53">
        <f>IF(Q15&gt;Q13,1,0)</f>
        <v>0</v>
      </c>
      <c r="S15" s="54"/>
      <c r="T15" s="42">
        <v>3.0</v>
      </c>
      <c r="U15" s="53">
        <f>IF(T15&gt;T13,1,0)</f>
        <v>0</v>
      </c>
      <c r="V15" s="54"/>
      <c r="W15" s="45"/>
      <c r="X15" s="27">
        <f>IF(W15&gt;W13,1,0)</f>
        <v>0</v>
      </c>
      <c r="Y15" s="27">
        <f>IF(Q15="",0,1)</f>
        <v>1</v>
      </c>
      <c r="Z15" s="27">
        <f>IF(R15+U15=2,3,IF(R15+U15=1,1,0))</f>
        <v>0</v>
      </c>
      <c r="AA15" s="27">
        <f>IF(Z15=3,3,IF(X15+Z15=2,2,IF(Z15=1,1,0)))</f>
        <v>0</v>
      </c>
      <c r="AB15" s="27">
        <f>Q15+T15</f>
        <v>7</v>
      </c>
      <c r="AC15" s="27">
        <f>R15+U15+X15</f>
        <v>0</v>
      </c>
      <c r="AD15" s="27"/>
      <c r="AE15" s="46" t="str">
        <f>'Players - Men'!B9</f>
        <v>Andre' Farrugia</v>
      </c>
      <c r="AF15" s="47">
        <f>Y31+J37+J15+Y23+J29</f>
        <v>5</v>
      </c>
      <c r="AG15" s="47">
        <f t="shared" ref="AG15:AI15" si="4">AA31+L37+L15+AA23+L29</f>
        <v>3</v>
      </c>
      <c r="AH15" s="47">
        <f t="shared" si="4"/>
        <v>14</v>
      </c>
      <c r="AI15" s="48">
        <f t="shared" si="4"/>
        <v>3</v>
      </c>
      <c r="AJ15" s="36"/>
      <c r="AK15" s="36"/>
      <c r="AL15" s="27"/>
    </row>
    <row r="16" ht="15.0" customHeight="1">
      <c r="A16" s="27"/>
      <c r="B16" s="36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36"/>
      <c r="AG16" s="36"/>
      <c r="AH16" s="36"/>
      <c r="AI16" s="36"/>
      <c r="AJ16" s="36"/>
      <c r="AK16" s="36"/>
      <c r="AL16" s="27"/>
    </row>
    <row r="17" ht="15.0" customHeight="1">
      <c r="A17" s="41" t="str">
        <f>AE9</f>
        <v>Trevor Rutter</v>
      </c>
      <c r="B17" s="42">
        <v>6.0</v>
      </c>
      <c r="C17" s="43">
        <f>IF(B17&gt;B19,1,0)</f>
        <v>1</v>
      </c>
      <c r="D17" s="44"/>
      <c r="E17" s="42">
        <v>6.0</v>
      </c>
      <c r="F17" s="43">
        <f>IF(E17&gt;E19,1,0)</f>
        <v>1</v>
      </c>
      <c r="G17" s="44"/>
      <c r="H17" s="45"/>
      <c r="I17" s="27">
        <f>IF(H17&gt;H19,1,0)</f>
        <v>0</v>
      </c>
      <c r="J17" s="27">
        <f>IF(B17="",0,1)</f>
        <v>1</v>
      </c>
      <c r="K17" s="27">
        <f>IF(C17+F17=2,3,IF(C17+F17=1,1,0))</f>
        <v>3</v>
      </c>
      <c r="L17" s="27">
        <f>IF(K17=3,3,IF(I17+K17=2,2,IF(K17=1,1,0)))</f>
        <v>3</v>
      </c>
      <c r="M17" s="27">
        <f>B17+E17</f>
        <v>12</v>
      </c>
      <c r="N17" s="27">
        <f>C17+F17+I17</f>
        <v>2</v>
      </c>
      <c r="O17" s="27"/>
      <c r="P17" s="41" t="str">
        <f>AE17</f>
        <v>Marco Mercieca</v>
      </c>
      <c r="Q17" s="42">
        <v>6.0</v>
      </c>
      <c r="R17" s="43">
        <f>IF(Q17&gt;Q19,1,0)</f>
        <v>1</v>
      </c>
      <c r="S17" s="44"/>
      <c r="T17" s="42">
        <v>6.0</v>
      </c>
      <c r="U17" s="43">
        <f>IF(T17&gt;T19,1,0)</f>
        <v>1</v>
      </c>
      <c r="V17" s="44"/>
      <c r="W17" s="45"/>
      <c r="X17" s="27">
        <f>IF(W17&gt;W19,1,0)</f>
        <v>0</v>
      </c>
      <c r="Y17" s="27">
        <f>IF(Q17="",0,1)</f>
        <v>1</v>
      </c>
      <c r="Z17" s="27">
        <f>IF(R17+U17=2,3,IF(R17+U17=1,1,0))</f>
        <v>3</v>
      </c>
      <c r="AA17" s="27">
        <f>IF(Z17=3,3,IF(X17+Z17=2,2,IF(Z17=1,1,0)))</f>
        <v>3</v>
      </c>
      <c r="AB17" s="27">
        <f>Q17+T17</f>
        <v>12</v>
      </c>
      <c r="AC17" s="27">
        <f>R17+U17+X17</f>
        <v>2</v>
      </c>
      <c r="AD17" s="55"/>
      <c r="AE17" s="46" t="str">
        <f>'Players - Men'!B10</f>
        <v>Marco Mercieca</v>
      </c>
      <c r="AF17" s="47">
        <f>Y17+J39+J27+Y15+J35</f>
        <v>5</v>
      </c>
      <c r="AG17" s="47">
        <f t="shared" ref="AG17:AI17" si="5">AA17+L39+L27+AA15+L35</f>
        <v>6</v>
      </c>
      <c r="AH17" s="47">
        <f t="shared" si="5"/>
        <v>36</v>
      </c>
      <c r="AI17" s="48">
        <f t="shared" si="5"/>
        <v>5</v>
      </c>
      <c r="AJ17" s="36"/>
      <c r="AK17" s="36"/>
      <c r="AL17" s="27"/>
    </row>
    <row r="18" ht="15.0" customHeight="1">
      <c r="A18" s="49" t="s">
        <v>78</v>
      </c>
      <c r="H18" s="50"/>
      <c r="I18" s="51"/>
      <c r="J18" s="27"/>
      <c r="K18" s="27"/>
      <c r="L18" s="27"/>
      <c r="M18" s="27"/>
      <c r="N18" s="27"/>
      <c r="O18" s="27"/>
      <c r="P18" s="49" t="s">
        <v>78</v>
      </c>
      <c r="W18" s="50"/>
      <c r="X18" s="51"/>
      <c r="Y18" s="27"/>
      <c r="Z18" s="27"/>
      <c r="AA18" s="27"/>
      <c r="AB18" s="27"/>
      <c r="AC18" s="27"/>
      <c r="AD18" s="27"/>
      <c r="AE18" s="27"/>
      <c r="AF18" s="36"/>
      <c r="AG18" s="36"/>
      <c r="AH18" s="36"/>
      <c r="AI18" s="36"/>
      <c r="AJ18" s="36"/>
      <c r="AK18" s="36"/>
      <c r="AL18" s="27"/>
    </row>
    <row r="19" ht="15.0" customHeight="1">
      <c r="A19" s="52" t="str">
        <f>AE19</f>
        <v>Kurt Cassar</v>
      </c>
      <c r="B19" s="42">
        <v>1.0</v>
      </c>
      <c r="C19" s="53">
        <f>IF(B19&gt;B21,1,0)</f>
        <v>0</v>
      </c>
      <c r="D19" s="54"/>
      <c r="E19" s="42">
        <v>1.0</v>
      </c>
      <c r="F19" s="53">
        <f>IF(E19&gt;E17,1,0)</f>
        <v>0</v>
      </c>
      <c r="G19" s="54"/>
      <c r="H19" s="45"/>
      <c r="I19" s="27">
        <f>IF(H19&gt;H17,1,0)</f>
        <v>0</v>
      </c>
      <c r="J19" s="27">
        <f>IF(B19="",0,1)</f>
        <v>1</v>
      </c>
      <c r="K19" s="27">
        <f>IF(C19+F19=2,3,IF(C19+F19=1,1,0))</f>
        <v>0</v>
      </c>
      <c r="L19" s="27">
        <f>IF(K19=3,3,IF(I19+K19=2,2,IF(K19=1,1,0)))</f>
        <v>0</v>
      </c>
      <c r="M19" s="27">
        <f>B19+E19</f>
        <v>2</v>
      </c>
      <c r="N19" s="27">
        <f>C19+F19+I19</f>
        <v>0</v>
      </c>
      <c r="O19" s="27"/>
      <c r="P19" s="52" t="str">
        <f>AE19</f>
        <v>Kurt Cassar</v>
      </c>
      <c r="Q19" s="42">
        <v>0.0</v>
      </c>
      <c r="R19" s="53">
        <f>IF(Q19&gt;Q17,1,0)</f>
        <v>0</v>
      </c>
      <c r="S19" s="54"/>
      <c r="T19" s="42">
        <v>3.0</v>
      </c>
      <c r="U19" s="53">
        <f>IF(T19&gt;T17,1,0)</f>
        <v>0</v>
      </c>
      <c r="V19" s="54"/>
      <c r="W19" s="45"/>
      <c r="X19" s="27">
        <f>IF(W19&gt;W17,1,0)</f>
        <v>0</v>
      </c>
      <c r="Y19" s="27">
        <f>IF(Q19="",0,1)</f>
        <v>1</v>
      </c>
      <c r="Z19" s="27">
        <f>IF(R19+U19=2,3,IF(R19+U19=1,1,0))</f>
        <v>0</v>
      </c>
      <c r="AA19" s="27">
        <f>IF(Z19=3,3,IF(X19+Z19=2,2,IF(Z19=1,1,0)))</f>
        <v>0</v>
      </c>
      <c r="AB19" s="27">
        <f>Q19+T19</f>
        <v>3</v>
      </c>
      <c r="AC19" s="27">
        <f>R19+U19+X19</f>
        <v>0</v>
      </c>
      <c r="AD19" s="27"/>
      <c r="AE19" s="46" t="str">
        <f>'Players - Men'!B11</f>
        <v>Kurt Cassar</v>
      </c>
      <c r="AF19" s="47">
        <f>Y19+Y27+Y35+J19+J31</f>
        <v>5</v>
      </c>
      <c r="AG19" s="47">
        <f>AA19+AA35+L31+AA27+L19</f>
        <v>1</v>
      </c>
      <c r="AH19" s="47">
        <f t="shared" ref="AH19:AI19" si="6">AB19+AB27+AB35+M19+M31</f>
        <v>25</v>
      </c>
      <c r="AI19" s="48">
        <f t="shared" si="6"/>
        <v>2</v>
      </c>
      <c r="AJ19" s="27"/>
      <c r="AK19" s="36"/>
      <c r="AL19" s="27"/>
    </row>
    <row r="20" ht="15.0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</row>
    <row r="21" ht="15.0" customHeight="1">
      <c r="A21" s="41" t="str">
        <f>AE11</f>
        <v>Melchior Farrugia</v>
      </c>
      <c r="B21" s="42">
        <v>6.0</v>
      </c>
      <c r="C21" s="43">
        <f>IF(B21&gt;B23,1,0)</f>
        <v>1</v>
      </c>
      <c r="D21" s="44"/>
      <c r="E21" s="42">
        <v>6.0</v>
      </c>
      <c r="F21" s="43">
        <f>IF(E21&gt;E23,1,0)</f>
        <v>1</v>
      </c>
      <c r="G21" s="44"/>
      <c r="H21" s="45"/>
      <c r="I21" s="27">
        <f>IF(H21&gt;H23,1,0)</f>
        <v>0</v>
      </c>
      <c r="J21" s="27">
        <f>IF(B21="",0,1)</f>
        <v>1</v>
      </c>
      <c r="K21" s="27">
        <f>IF(C21+F21=2,3,IF(C21+F21=1,1,0))</f>
        <v>3</v>
      </c>
      <c r="L21" s="27">
        <f>IF(K21=3,3,IF(I21+K21=2,2,IF(K21=1,1,0)))</f>
        <v>3</v>
      </c>
      <c r="M21" s="27">
        <f>B21+E21</f>
        <v>12</v>
      </c>
      <c r="N21" s="27">
        <f>C21+F21+I21</f>
        <v>2</v>
      </c>
      <c r="O21" s="27"/>
      <c r="P21" s="41" t="str">
        <f>AE11</f>
        <v>Melchior Farrugia</v>
      </c>
      <c r="Q21" s="42">
        <v>6.0</v>
      </c>
      <c r="R21" s="43">
        <f>IF(Q21&gt;Q23,1,0)</f>
        <v>1</v>
      </c>
      <c r="S21" s="44"/>
      <c r="T21" s="42">
        <v>6.0</v>
      </c>
      <c r="U21" s="43">
        <f>IF(T21&gt;T23,1,0)</f>
        <v>1</v>
      </c>
      <c r="V21" s="44"/>
      <c r="W21" s="45"/>
      <c r="X21" s="27">
        <f>IF(W21&gt;W23,1,0)</f>
        <v>0</v>
      </c>
      <c r="Y21" s="27">
        <f>IF(Q21="",0,1)</f>
        <v>1</v>
      </c>
      <c r="Z21" s="27">
        <f>IF(R21+U21=2,3,IF(R21+U21=1,1,0))</f>
        <v>3</v>
      </c>
      <c r="AA21" s="27">
        <f>IF(Z21=3,3,IF(X21+Z21=2,2,IF(Z21=1,1,0)))</f>
        <v>3</v>
      </c>
      <c r="AB21" s="27">
        <f>Q21+T21</f>
        <v>12</v>
      </c>
      <c r="AC21" s="27">
        <f>R21+U21+X21</f>
        <v>2</v>
      </c>
      <c r="AD21" s="27"/>
      <c r="AE21" s="56" t="s">
        <v>79</v>
      </c>
      <c r="AF21" s="30"/>
      <c r="AG21" s="30"/>
      <c r="AH21" s="30"/>
      <c r="AI21" s="31"/>
      <c r="AJ21" s="27"/>
      <c r="AK21" s="27"/>
      <c r="AL21" s="27"/>
    </row>
    <row r="22" ht="15.0" customHeight="1">
      <c r="A22" s="49" t="s">
        <v>78</v>
      </c>
      <c r="H22" s="50"/>
      <c r="I22" s="51"/>
      <c r="J22" s="27"/>
      <c r="K22" s="27"/>
      <c r="L22" s="27"/>
      <c r="M22" s="27"/>
      <c r="N22" s="27"/>
      <c r="O22" s="27"/>
      <c r="P22" s="49" t="s">
        <v>78</v>
      </c>
      <c r="W22" s="50"/>
      <c r="X22" s="51"/>
      <c r="Y22" s="27"/>
      <c r="Z22" s="27"/>
      <c r="AA22" s="27"/>
      <c r="AB22" s="27"/>
      <c r="AC22" s="27"/>
      <c r="AD22" s="27"/>
      <c r="AE22" s="57" t="s">
        <v>3</v>
      </c>
      <c r="AF22" s="30"/>
      <c r="AG22" s="30"/>
      <c r="AH22" s="30"/>
      <c r="AI22" s="31"/>
      <c r="AJ22" s="27"/>
      <c r="AK22" s="27"/>
      <c r="AL22" s="27"/>
    </row>
    <row r="23" ht="15.0" customHeight="1">
      <c r="A23" s="52" t="str">
        <f>AE13</f>
        <v>Ryan Mizzi</v>
      </c>
      <c r="B23" s="42">
        <v>2.0</v>
      </c>
      <c r="C23" s="53">
        <f>IF(B23&gt;B25,1,0)</f>
        <v>0</v>
      </c>
      <c r="D23" s="54"/>
      <c r="E23" s="42">
        <v>2.0</v>
      </c>
      <c r="F23" s="53">
        <f>IF(E23&gt;E21,1,0)</f>
        <v>0</v>
      </c>
      <c r="G23" s="54"/>
      <c r="H23" s="45"/>
      <c r="I23" s="27">
        <f>IF(H23&gt;H21,1,0)</f>
        <v>0</v>
      </c>
      <c r="J23" s="27">
        <f>IF(B23="",0,1)</f>
        <v>1</v>
      </c>
      <c r="K23" s="27">
        <f>IF(C23+F23=2,3,IF(C23+F23=1,1,0))</f>
        <v>0</v>
      </c>
      <c r="L23" s="27">
        <f>IF(K23=3,3,IF(I23+K23=2,2,IF(K23=1,1,0)))</f>
        <v>0</v>
      </c>
      <c r="M23" s="27">
        <f>B23+E23</f>
        <v>4</v>
      </c>
      <c r="N23" s="27">
        <f>C23+F23+I23</f>
        <v>0</v>
      </c>
      <c r="O23" s="27"/>
      <c r="P23" s="52" t="str">
        <f>AE15</f>
        <v>Andre' Farrugia</v>
      </c>
      <c r="Q23" s="42">
        <v>1.0</v>
      </c>
      <c r="R23" s="53">
        <f>IF(Q23&gt;Q21,1,0)</f>
        <v>0</v>
      </c>
      <c r="S23" s="54"/>
      <c r="T23" s="42">
        <v>1.0</v>
      </c>
      <c r="U23" s="53">
        <f>IF(T23&gt;T21,1,0)</f>
        <v>0</v>
      </c>
      <c r="V23" s="54"/>
      <c r="W23" s="45"/>
      <c r="X23" s="27">
        <f>IF(W23&gt;W21,1,0)</f>
        <v>0</v>
      </c>
      <c r="Y23" s="27">
        <f>IF(Q23="",0,1)</f>
        <v>1</v>
      </c>
      <c r="Z23" s="27">
        <f>IF(R23+U23=2,3,IF(R23+U23=1,1,0))</f>
        <v>0</v>
      </c>
      <c r="AA23" s="27">
        <f>IF(Z23=3,3,IF(X23+Z23=2,2,IF(Z23=1,1,0)))</f>
        <v>0</v>
      </c>
      <c r="AB23" s="27">
        <f>Q23+T23</f>
        <v>2</v>
      </c>
      <c r="AC23" s="27">
        <f>R23+U23+X23</f>
        <v>0</v>
      </c>
      <c r="AD23" s="27"/>
      <c r="AE23" s="27"/>
      <c r="AF23" s="27"/>
      <c r="AG23" s="27"/>
      <c r="AH23" s="27"/>
      <c r="AI23" s="27"/>
      <c r="AJ23" s="27"/>
      <c r="AK23" s="27"/>
      <c r="AL23" s="27"/>
    </row>
    <row r="24" ht="15.0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</row>
    <row r="25" ht="15.0" customHeight="1">
      <c r="A25" s="41" t="str">
        <f>AE11</f>
        <v>Melchior Farrugia</v>
      </c>
      <c r="B25" s="42">
        <v>6.0</v>
      </c>
      <c r="C25" s="43">
        <f>IF(B25&gt;B27,1,0)</f>
        <v>1</v>
      </c>
      <c r="D25" s="44"/>
      <c r="E25" s="42">
        <v>4.0</v>
      </c>
      <c r="F25" s="43">
        <f>IF(E25&gt;E27,1,0)</f>
        <v>0</v>
      </c>
      <c r="G25" s="44"/>
      <c r="H25" s="42">
        <v>9.0</v>
      </c>
      <c r="I25" s="27">
        <f>IF(H25&gt;H27,1,0)</f>
        <v>0</v>
      </c>
      <c r="J25" s="27">
        <f>IF(B25="",0,1)</f>
        <v>1</v>
      </c>
      <c r="K25" s="27">
        <f>IF(C25+F25=2,3,IF(C25+F25=1,1,0))</f>
        <v>1</v>
      </c>
      <c r="L25" s="27">
        <f>IF(K25=3,3,IF(I25+K25=2,2,IF(K25=1,1,0)))</f>
        <v>1</v>
      </c>
      <c r="M25" s="27">
        <f>B25+E25</f>
        <v>10</v>
      </c>
      <c r="N25" s="27">
        <f>C25+F25+I25</f>
        <v>1</v>
      </c>
      <c r="O25" s="27"/>
      <c r="P25" s="41" t="str">
        <f>AE11</f>
        <v>Melchior Farrugia</v>
      </c>
      <c r="Q25" s="42">
        <v>6.0</v>
      </c>
      <c r="R25" s="43">
        <f>IF(Q25&gt;Q27,1,0)</f>
        <v>1</v>
      </c>
      <c r="S25" s="44"/>
      <c r="T25" s="42">
        <v>6.0</v>
      </c>
      <c r="U25" s="43">
        <f>IF(T25&gt;T27,1,0)</f>
        <v>1</v>
      </c>
      <c r="V25" s="44"/>
      <c r="W25" s="45"/>
      <c r="X25" s="27">
        <f>IF(W25&gt;W27,1,0)</f>
        <v>0</v>
      </c>
      <c r="Y25" s="27">
        <f>IF(Q25="",0,1)</f>
        <v>1</v>
      </c>
      <c r="Z25" s="27">
        <f>IF(R25+U25=2,3,IF(R25+U25=1,1,0))</f>
        <v>3</v>
      </c>
      <c r="AA25" s="27">
        <f>IF(Z25=3,3,IF(X25+Z25=2,2,IF(Z25=1,1,0)))</f>
        <v>3</v>
      </c>
      <c r="AB25" s="27">
        <f>Q25+T25</f>
        <v>12</v>
      </c>
      <c r="AC25" s="27">
        <f>R25+U25+X25</f>
        <v>2</v>
      </c>
      <c r="AD25" s="27"/>
      <c r="AE25" s="27"/>
      <c r="AF25" s="27"/>
      <c r="AG25" s="27"/>
      <c r="AH25" s="27"/>
      <c r="AI25" s="27"/>
      <c r="AJ25" s="27"/>
      <c r="AK25" s="27"/>
      <c r="AL25" s="27"/>
    </row>
    <row r="26" ht="15.0" customHeight="1">
      <c r="A26" s="49" t="s">
        <v>78</v>
      </c>
      <c r="H26" s="50"/>
      <c r="I26" s="51"/>
      <c r="J26" s="27"/>
      <c r="K26" s="27"/>
      <c r="L26" s="27"/>
      <c r="M26" s="27"/>
      <c r="N26" s="27"/>
      <c r="O26" s="27"/>
      <c r="P26" s="49" t="s">
        <v>78</v>
      </c>
      <c r="W26" s="50"/>
      <c r="X26" s="51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</row>
    <row r="27" ht="15.0" customHeight="1">
      <c r="A27" s="52" t="str">
        <f>AE17</f>
        <v>Marco Mercieca</v>
      </c>
      <c r="B27" s="42">
        <v>0.0</v>
      </c>
      <c r="C27" s="53">
        <f>IF(B27&gt;B29,1,0)</f>
        <v>0</v>
      </c>
      <c r="D27" s="54"/>
      <c r="E27" s="42">
        <v>6.0</v>
      </c>
      <c r="F27" s="53">
        <f>IF(E27&gt;E25,1,0)</f>
        <v>1</v>
      </c>
      <c r="G27" s="54"/>
      <c r="H27" s="42">
        <v>11.0</v>
      </c>
      <c r="I27" s="27">
        <f>IF(H27&gt;H25,1,0)</f>
        <v>1</v>
      </c>
      <c r="J27" s="27">
        <f>IF(B27="",0,1)</f>
        <v>1</v>
      </c>
      <c r="K27" s="27">
        <f>IF(C27+F27=2,3,IF(C27+F27=1,1,0))</f>
        <v>1</v>
      </c>
      <c r="L27" s="27">
        <f>IF(K27=3,3,IF(I27+K27=2,2,IF(K27=1,1,0)))</f>
        <v>2</v>
      </c>
      <c r="M27" s="27">
        <f>B27+E27</f>
        <v>6</v>
      </c>
      <c r="N27" s="27">
        <f>C27+F27+I27</f>
        <v>2</v>
      </c>
      <c r="O27" s="27"/>
      <c r="P27" s="52" t="str">
        <f>AE19</f>
        <v>Kurt Cassar</v>
      </c>
      <c r="Q27" s="42">
        <v>1.0</v>
      </c>
      <c r="R27" s="53">
        <f>IF(Q27&gt;Q25,1,0)</f>
        <v>0</v>
      </c>
      <c r="S27" s="54"/>
      <c r="T27" s="42">
        <v>1.0</v>
      </c>
      <c r="U27" s="53">
        <f>IF(T27&gt;T25,1,0)</f>
        <v>0</v>
      </c>
      <c r="V27" s="54"/>
      <c r="W27" s="45"/>
      <c r="X27" s="27">
        <f>IF(W27&gt;W25,1,0)</f>
        <v>0</v>
      </c>
      <c r="Y27" s="27">
        <f>IF(Q27="",0,1)</f>
        <v>1</v>
      </c>
      <c r="Z27" s="27">
        <f>IF(R27+U27=2,3,IF(R27+U27=1,1,0))</f>
        <v>0</v>
      </c>
      <c r="AA27" s="27">
        <f>IF(Z27=3,3,IF(X27+Z27=2,2,IF(Z27=1,1,0)))</f>
        <v>0</v>
      </c>
      <c r="AB27" s="27">
        <f>Q27+T27</f>
        <v>2</v>
      </c>
      <c r="AC27" s="27">
        <f>R27+U27+X27</f>
        <v>0</v>
      </c>
      <c r="AD27" s="27"/>
      <c r="AE27" s="27"/>
      <c r="AF27" s="27"/>
      <c r="AG27" s="27"/>
      <c r="AH27" s="27"/>
      <c r="AI27" s="27"/>
      <c r="AJ27" s="27"/>
      <c r="AK27" s="27"/>
      <c r="AL27" s="27"/>
    </row>
    <row r="28" ht="15.0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36"/>
      <c r="AI28" s="27"/>
      <c r="AJ28" s="27"/>
      <c r="AK28" s="27"/>
      <c r="AL28" s="27"/>
    </row>
    <row r="29" ht="15.0" customHeight="1">
      <c r="A29" s="41" t="str">
        <f>AE15</f>
        <v>Andre' Farrugia</v>
      </c>
      <c r="B29" s="42">
        <v>0.0</v>
      </c>
      <c r="C29" s="43">
        <f>IF(B29&gt;B31,1,0)</f>
        <v>0</v>
      </c>
      <c r="D29" s="44"/>
      <c r="E29" s="42">
        <v>6.0</v>
      </c>
      <c r="F29" s="43">
        <f>IF(E29&gt;E31,1,0)</f>
        <v>1</v>
      </c>
      <c r="G29" s="44"/>
      <c r="H29" s="42">
        <v>9.0</v>
      </c>
      <c r="I29" s="27">
        <f>IF(H29&gt;H31,1,0)</f>
        <v>0</v>
      </c>
      <c r="J29" s="27">
        <f>IF(B29="",0,1)</f>
        <v>1</v>
      </c>
      <c r="K29" s="27">
        <f>IF(C29+F29=2,3,IF(C29+F29=1,1,0))</f>
        <v>1</v>
      </c>
      <c r="L29" s="27">
        <f>IF(K29=3,3,IF(I29+K29=2,2,IF(K29=1,1,0)))</f>
        <v>1</v>
      </c>
      <c r="M29" s="27">
        <f>B29+E29</f>
        <v>6</v>
      </c>
      <c r="N29" s="27">
        <f>C29+F29+I29</f>
        <v>1</v>
      </c>
      <c r="O29" s="27"/>
      <c r="P29" s="41" t="str">
        <f>AE13</f>
        <v>Ryan Mizzi</v>
      </c>
      <c r="Q29" s="42">
        <v>6.0</v>
      </c>
      <c r="R29" s="43">
        <f>IF(Q29&gt;Q31,1,0)</f>
        <v>1</v>
      </c>
      <c r="S29" s="44"/>
      <c r="T29" s="42">
        <v>4.0</v>
      </c>
      <c r="U29" s="43">
        <f>IF(T29&gt;T31,1,0)</f>
        <v>0</v>
      </c>
      <c r="V29" s="44"/>
      <c r="W29" s="42">
        <v>11.0</v>
      </c>
      <c r="X29" s="27">
        <f>IF(W29&gt;W31,1,0)</f>
        <v>0</v>
      </c>
      <c r="Y29" s="27">
        <f>IF(Q29="",0,1)</f>
        <v>1</v>
      </c>
      <c r="Z29" s="27">
        <f>IF(R29+U29=2,3,IF(R29+U29=1,1,0))</f>
        <v>1</v>
      </c>
      <c r="AA29" s="27">
        <f>IF(Z29=3,3,IF(X29+Z29=2,2,IF(Z29=1,1,0)))</f>
        <v>1</v>
      </c>
      <c r="AB29" s="27">
        <f>Q29+T29</f>
        <v>10</v>
      </c>
      <c r="AC29" s="27">
        <f>R29+U29+X29</f>
        <v>1</v>
      </c>
      <c r="AD29" s="27"/>
      <c r="AE29" s="27"/>
      <c r="AF29" s="27"/>
      <c r="AG29" s="27"/>
      <c r="AH29" s="27"/>
      <c r="AI29" s="27"/>
      <c r="AJ29" s="27"/>
      <c r="AK29" s="27"/>
      <c r="AL29" s="27"/>
    </row>
    <row r="30" ht="15.0" customHeight="1">
      <c r="A30" s="49" t="s">
        <v>78</v>
      </c>
      <c r="H30" s="50"/>
      <c r="I30" s="51"/>
      <c r="J30" s="27"/>
      <c r="K30" s="27"/>
      <c r="L30" s="27"/>
      <c r="M30" s="27"/>
      <c r="N30" s="27"/>
      <c r="O30" s="27"/>
      <c r="P30" s="49" t="s">
        <v>78</v>
      </c>
      <c r="W30" s="50"/>
      <c r="X30" s="51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58"/>
      <c r="AL30" s="27"/>
    </row>
    <row r="31" ht="15.0" customHeight="1">
      <c r="A31" s="52" t="str">
        <f>AE19</f>
        <v>Kurt Cassar</v>
      </c>
      <c r="B31" s="42">
        <v>6.0</v>
      </c>
      <c r="C31" s="53">
        <f>IF(B31&gt;B33,1,0)</f>
        <v>0</v>
      </c>
      <c r="D31" s="54"/>
      <c r="E31" s="42">
        <v>3.0</v>
      </c>
      <c r="F31" s="53">
        <f>IF(E31&gt;E29,1,0)</f>
        <v>0</v>
      </c>
      <c r="G31" s="54"/>
      <c r="H31" s="42">
        <v>11.0</v>
      </c>
      <c r="I31" s="27">
        <f>IF(H31&gt;H29,1,0)</f>
        <v>1</v>
      </c>
      <c r="J31" s="27">
        <f>IF(B31="",0,1)</f>
        <v>1</v>
      </c>
      <c r="K31" s="27">
        <f>IF(C31+F31=2,3,IF(C31+F31=1,1,0))</f>
        <v>0</v>
      </c>
      <c r="L31" s="27">
        <f>IF(K31=3,3,IF(I31+K31=2,2,IF(K31=1,1,0)))</f>
        <v>0</v>
      </c>
      <c r="M31" s="27">
        <f>B31+E31</f>
        <v>9</v>
      </c>
      <c r="N31" s="27">
        <f>C31+F31+I31</f>
        <v>1</v>
      </c>
      <c r="O31" s="27"/>
      <c r="P31" s="52" t="str">
        <f>AE15</f>
        <v>Andre' Farrugia</v>
      </c>
      <c r="Q31" s="42">
        <v>0.0</v>
      </c>
      <c r="R31" s="53">
        <f>IF(Q31&gt;Q29,1,0)</f>
        <v>0</v>
      </c>
      <c r="S31" s="54"/>
      <c r="T31" s="42">
        <v>6.0</v>
      </c>
      <c r="U31" s="53">
        <f>IF(T31&gt;T29,1,0)</f>
        <v>1</v>
      </c>
      <c r="V31" s="54"/>
      <c r="W31" s="42">
        <v>13.0</v>
      </c>
      <c r="X31" s="27">
        <f>IF(W31&gt;W29,1,0)</f>
        <v>1</v>
      </c>
      <c r="Y31" s="27">
        <f>IF(Q31="",0,1)</f>
        <v>1</v>
      </c>
      <c r="Z31" s="27">
        <f>IF(R31+U31=2,3,IF(R31+U31=1,1,0))</f>
        <v>1</v>
      </c>
      <c r="AA31" s="27">
        <f>IF(Z31=3,3,IF(X31+Z31=2,2,IF(Z31=1,1,0)))</f>
        <v>2</v>
      </c>
      <c r="AB31" s="27">
        <f>Q31+T31</f>
        <v>6</v>
      </c>
      <c r="AC31" s="27">
        <f>R31+U31+X31</f>
        <v>2</v>
      </c>
      <c r="AD31" s="27"/>
      <c r="AE31" s="27"/>
      <c r="AF31" s="27"/>
      <c r="AG31" s="27"/>
      <c r="AH31" s="27"/>
      <c r="AI31" s="27"/>
      <c r="AJ31" s="27"/>
      <c r="AK31" s="27"/>
      <c r="AL31" s="27"/>
    </row>
    <row r="32" ht="15.0" customHeight="1">
      <c r="A32" s="27"/>
      <c r="B32" s="27"/>
      <c r="C32" s="27"/>
      <c r="D32" s="27"/>
      <c r="E32" s="36"/>
      <c r="F32" s="27"/>
      <c r="G32" s="27"/>
      <c r="H32" s="36"/>
      <c r="I32" s="27"/>
      <c r="J32" s="36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36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58"/>
      <c r="AL32" s="27"/>
    </row>
    <row r="33" ht="15.0" customHeight="1">
      <c r="A33" s="41" t="str">
        <f>AE13</f>
        <v>Ryan Mizzi</v>
      </c>
      <c r="B33" s="42">
        <v>6.0</v>
      </c>
      <c r="C33" s="43">
        <f>IF(B33&gt;B35,1,0)</f>
        <v>1</v>
      </c>
      <c r="D33" s="44"/>
      <c r="E33" s="42">
        <v>7.0</v>
      </c>
      <c r="F33" s="43">
        <f>IF(E33&gt;E35,1,0)</f>
        <v>1</v>
      </c>
      <c r="G33" s="44"/>
      <c r="H33" s="45"/>
      <c r="I33" s="27">
        <f>IF(H33&gt;H35,1,0)</f>
        <v>0</v>
      </c>
      <c r="J33" s="27">
        <f>IF(B33="",0,1)</f>
        <v>1</v>
      </c>
      <c r="K33" s="27">
        <f>IF(C33+F33=2,3,IF(C33+F33=1,1,0))</f>
        <v>3</v>
      </c>
      <c r="L33" s="27">
        <f>IF(K33=3,3,IF(I33+K33=2,2,IF(K33=1,1,0)))</f>
        <v>3</v>
      </c>
      <c r="M33" s="27">
        <f>B33+E33</f>
        <v>13</v>
      </c>
      <c r="N33" s="27">
        <f>C33+F33+I33</f>
        <v>2</v>
      </c>
      <c r="O33" s="27"/>
      <c r="P33" s="41" t="str">
        <f>AE13</f>
        <v>Ryan Mizzi</v>
      </c>
      <c r="Q33" s="42">
        <v>3.0</v>
      </c>
      <c r="R33" s="43">
        <f>IF(Q33&gt;Q35,1,0)</f>
        <v>0</v>
      </c>
      <c r="S33" s="44"/>
      <c r="T33" s="42">
        <v>6.0</v>
      </c>
      <c r="U33" s="43">
        <f>IF(T33&gt;T35,1,0)</f>
        <v>1</v>
      </c>
      <c r="V33" s="44"/>
      <c r="W33" s="42">
        <v>10.0</v>
      </c>
      <c r="X33" s="27">
        <f>IF(W33&gt;W35,1,0)</f>
        <v>1</v>
      </c>
      <c r="Y33" s="27">
        <f>IF(Q33="",0,1)</f>
        <v>1</v>
      </c>
      <c r="Z33" s="27">
        <f>IF(R33+U33=2,3,IF(R33+U33=1,1,0))</f>
        <v>1</v>
      </c>
      <c r="AA33" s="27">
        <f>IF(Z33=3,3,IF(X33+Z33=2,2,IF(Z33=1,1,0)))</f>
        <v>2</v>
      </c>
      <c r="AB33" s="27">
        <f>Q33+T33</f>
        <v>9</v>
      </c>
      <c r="AC33" s="27">
        <f>R33+U33+X33</f>
        <v>2</v>
      </c>
      <c r="AD33" s="27"/>
      <c r="AE33" s="27"/>
      <c r="AF33" s="27"/>
      <c r="AG33" s="27"/>
      <c r="AH33" s="27"/>
      <c r="AI33" s="27"/>
      <c r="AJ33" s="27"/>
      <c r="AK33" s="27"/>
      <c r="AL33" s="27"/>
    </row>
    <row r="34" ht="15.0" customHeight="1">
      <c r="A34" s="49" t="s">
        <v>78</v>
      </c>
      <c r="H34" s="50"/>
      <c r="I34" s="51"/>
      <c r="J34" s="27"/>
      <c r="K34" s="27"/>
      <c r="L34" s="27"/>
      <c r="M34" s="27"/>
      <c r="N34" s="27"/>
      <c r="O34" s="27"/>
      <c r="P34" s="49" t="s">
        <v>78</v>
      </c>
      <c r="W34" s="50"/>
      <c r="X34" s="51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</row>
    <row r="35" ht="15.0" customHeight="1">
      <c r="A35" s="52" t="str">
        <f>AE17</f>
        <v>Marco Mercieca</v>
      </c>
      <c r="B35" s="42">
        <v>0.0</v>
      </c>
      <c r="C35" s="53">
        <f>IF(B35&gt;B37,1,0)</f>
        <v>0</v>
      </c>
      <c r="D35" s="54"/>
      <c r="E35" s="42">
        <v>5.0</v>
      </c>
      <c r="F35" s="53">
        <f>IF(E35&gt;E33,1,0)</f>
        <v>0</v>
      </c>
      <c r="G35" s="54"/>
      <c r="H35" s="45"/>
      <c r="I35" s="27">
        <f>IF(H35&gt;H33,1,0)</f>
        <v>0</v>
      </c>
      <c r="J35" s="27">
        <f>IF(B35="",0,1)</f>
        <v>1</v>
      </c>
      <c r="K35" s="27">
        <f>IF(C35+F35=2,3,IF(C35+F35=1,1,0))</f>
        <v>0</v>
      </c>
      <c r="L35" s="27">
        <f>IF(K35=3,3,IF(I35+K35=2,2,IF(K35=1,1,0)))</f>
        <v>0</v>
      </c>
      <c r="M35" s="27">
        <f>B35+E35</f>
        <v>5</v>
      </c>
      <c r="N35" s="27">
        <f>C35+F35+I35</f>
        <v>0</v>
      </c>
      <c r="O35" s="27"/>
      <c r="P35" s="52" t="str">
        <f>AE19</f>
        <v>Kurt Cassar</v>
      </c>
      <c r="Q35" s="42">
        <v>6.0</v>
      </c>
      <c r="R35" s="53">
        <f>IF(Q35&gt;Q33,1,0)</f>
        <v>1</v>
      </c>
      <c r="S35" s="54"/>
      <c r="T35" s="42">
        <v>3.0</v>
      </c>
      <c r="U35" s="53">
        <f>IF(T35&gt;T33,1,0)</f>
        <v>0</v>
      </c>
      <c r="V35" s="54"/>
      <c r="W35" s="42">
        <v>6.0</v>
      </c>
      <c r="X35" s="27">
        <f>IF(W35&gt;W33,1,0)</f>
        <v>0</v>
      </c>
      <c r="Y35" s="27">
        <f>IF(Q35="",0,1)</f>
        <v>1</v>
      </c>
      <c r="Z35" s="27">
        <f>IF(R35+U35=2,3,IF(R35+U35=1,1,0))</f>
        <v>1</v>
      </c>
      <c r="AA35" s="27">
        <f>IF(Z35=3,3,IF(X35+Z35=2,2,IF(Z35=1,1,0)))</f>
        <v>1</v>
      </c>
      <c r="AB35" s="27">
        <f>Q35+T35</f>
        <v>9</v>
      </c>
      <c r="AC35" s="27">
        <f>R35+U35+X35</f>
        <v>1</v>
      </c>
      <c r="AD35" s="27"/>
      <c r="AE35" s="27"/>
      <c r="AF35" s="27"/>
      <c r="AG35" s="27"/>
      <c r="AH35" s="27"/>
      <c r="AI35" s="27"/>
      <c r="AJ35" s="27"/>
      <c r="AK35" s="27"/>
      <c r="AL35" s="27"/>
    </row>
    <row r="36" ht="15.0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36"/>
      <c r="AI36" s="27"/>
      <c r="AJ36" s="27"/>
      <c r="AK36" s="27"/>
      <c r="AL36" s="27"/>
    </row>
    <row r="37" ht="15.0" customHeight="1">
      <c r="A37" s="41" t="str">
        <f>AE15</f>
        <v>Andre' Farrugia</v>
      </c>
      <c r="B37" s="42">
        <v>0.0</v>
      </c>
      <c r="C37" s="43">
        <f>IF(B37&gt;B39,1,0)</f>
        <v>0</v>
      </c>
      <c r="D37" s="44"/>
      <c r="E37" s="42">
        <v>0.0</v>
      </c>
      <c r="F37" s="43">
        <f>IF(E37&gt;E39,1,0)</f>
        <v>0</v>
      </c>
      <c r="G37" s="44"/>
      <c r="H37" s="45"/>
      <c r="I37" s="27">
        <f>IF(H37&gt;H39,1,0)</f>
        <v>0</v>
      </c>
      <c r="J37" s="27">
        <f>IF(B37="",0,1)</f>
        <v>1</v>
      </c>
      <c r="K37" s="27">
        <f>IF(C37+F37=2,3,IF(C37+F37=1,1,0))</f>
        <v>0</v>
      </c>
      <c r="L37" s="27">
        <f>IF(K37=3,3,IF(I37+K37=2,2,IF(K37=1,1,0)))</f>
        <v>0</v>
      </c>
      <c r="M37" s="27">
        <f>B37+E37</f>
        <v>0</v>
      </c>
      <c r="N37" s="27">
        <f>C37+F37+I37</f>
        <v>0</v>
      </c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</row>
    <row r="38" ht="15.0" customHeight="1">
      <c r="A38" s="49" t="s">
        <v>78</v>
      </c>
      <c r="H38" s="50"/>
      <c r="I38" s="51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59"/>
      <c r="AK38" s="27"/>
      <c r="AL38" s="27"/>
    </row>
    <row r="39" ht="15.0" customHeight="1">
      <c r="A39" s="52" t="str">
        <f>AE17</f>
        <v>Marco Mercieca</v>
      </c>
      <c r="B39" s="42">
        <v>6.0</v>
      </c>
      <c r="C39" s="53">
        <f>IF(B39&gt;B41,1,0)</f>
        <v>1</v>
      </c>
      <c r="D39" s="54"/>
      <c r="E39" s="45"/>
      <c r="F39" s="53">
        <f>IF(E39&gt;E37,1,0)</f>
        <v>0</v>
      </c>
      <c r="G39" s="54"/>
      <c r="H39" s="45"/>
      <c r="I39" s="27">
        <f>IF(H39&gt;H37,1,0)</f>
        <v>0</v>
      </c>
      <c r="J39" s="27">
        <f>IF(B39="",0,1)</f>
        <v>1</v>
      </c>
      <c r="K39" s="27">
        <f>IF(C39+F39=2,3,IF(C39+F39=1,1,0))</f>
        <v>1</v>
      </c>
      <c r="L39" s="27">
        <f>IF(K39=3,3,IF(I39+K39=2,2,IF(K39=1,1,0)))</f>
        <v>1</v>
      </c>
      <c r="M39" s="27">
        <f>B39+E39</f>
        <v>6</v>
      </c>
      <c r="N39" s="27">
        <f>C39+F39+I39</f>
        <v>1</v>
      </c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</row>
    <row r="40" ht="15.0" customHeight="1">
      <c r="A40" s="27"/>
      <c r="B40" s="36"/>
      <c r="C40" s="27"/>
      <c r="D40" s="36"/>
      <c r="E40" s="36"/>
      <c r="F40" s="27"/>
      <c r="G40" s="36"/>
      <c r="H40" s="36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</row>
    <row r="41" ht="15.0" customHeight="1">
      <c r="A41" s="27"/>
      <c r="B41" s="36"/>
      <c r="C41" s="27"/>
      <c r="D41" s="36"/>
      <c r="E41" s="36"/>
      <c r="F41" s="27"/>
      <c r="G41" s="36"/>
      <c r="H41" s="36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</row>
    <row r="42" ht="15.0" customHeight="1">
      <c r="A42" s="27"/>
      <c r="B42" s="36"/>
      <c r="C42" s="27"/>
      <c r="D42" s="36"/>
      <c r="E42" s="36"/>
      <c r="F42" s="27"/>
      <c r="G42" s="36"/>
      <c r="H42" s="36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</row>
    <row r="43" ht="15.0" customHeight="1">
      <c r="A43" s="27"/>
      <c r="B43" s="36"/>
      <c r="C43" s="27"/>
      <c r="D43" s="36"/>
      <c r="E43" s="36"/>
      <c r="F43" s="27"/>
      <c r="G43" s="36"/>
      <c r="H43" s="36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</row>
    <row r="44" ht="15.0" customHeight="1">
      <c r="A44" s="27"/>
      <c r="B44" s="36"/>
      <c r="C44" s="27"/>
      <c r="D44" s="36"/>
      <c r="E44" s="36"/>
      <c r="F44" s="27"/>
      <c r="G44" s="36"/>
      <c r="H44" s="36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</row>
    <row r="45" ht="15.0" customHeight="1">
      <c r="A45" s="27"/>
      <c r="B45" s="36"/>
      <c r="C45" s="27"/>
      <c r="D45" s="36"/>
      <c r="E45" s="36"/>
      <c r="F45" s="27"/>
      <c r="G45" s="36"/>
      <c r="H45" s="36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</row>
    <row r="46" ht="15.0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</row>
    <row r="47">
      <c r="A47" s="60" t="s">
        <v>80</v>
      </c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6"/>
      <c r="AJ47" s="27"/>
      <c r="AK47" s="27"/>
      <c r="AL47" s="27"/>
    </row>
    <row r="48" ht="13.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</row>
    <row r="49">
      <c r="A49" s="61" t="s">
        <v>58</v>
      </c>
      <c r="B49" s="62" t="s">
        <v>59</v>
      </c>
      <c r="C49" s="30"/>
      <c r="D49" s="30"/>
      <c r="E49" s="31"/>
      <c r="F49" s="63"/>
      <c r="G49" s="64"/>
      <c r="H49" s="61" t="s">
        <v>60</v>
      </c>
      <c r="I49" s="34"/>
      <c r="J49" s="34"/>
      <c r="K49" s="34"/>
      <c r="L49" s="34"/>
      <c r="M49" s="35"/>
      <c r="N49" s="35"/>
      <c r="O49" s="35"/>
      <c r="P49" s="61" t="s">
        <v>58</v>
      </c>
      <c r="Q49" s="62" t="s">
        <v>59</v>
      </c>
      <c r="R49" s="30"/>
      <c r="S49" s="30"/>
      <c r="T49" s="31"/>
      <c r="U49" s="65"/>
      <c r="V49" s="64"/>
      <c r="W49" s="61" t="s">
        <v>60</v>
      </c>
      <c r="X49" s="34"/>
      <c r="Y49" s="35"/>
      <c r="Z49" s="35"/>
      <c r="AA49" s="35"/>
      <c r="AB49" s="35"/>
      <c r="AC49" s="35"/>
      <c r="AD49" s="35"/>
      <c r="AE49" s="61" t="s">
        <v>61</v>
      </c>
      <c r="AF49" s="61" t="s">
        <v>62</v>
      </c>
      <c r="AG49" s="61" t="s">
        <v>63</v>
      </c>
      <c r="AH49" s="61" t="s">
        <v>64</v>
      </c>
      <c r="AI49" s="61" t="s">
        <v>65</v>
      </c>
      <c r="AJ49" s="66"/>
      <c r="AK49" s="66"/>
      <c r="AL49" s="27"/>
      <c r="AN49" s="67"/>
      <c r="AO49" s="68"/>
      <c r="AP49" s="68"/>
      <c r="AQ49" s="68"/>
      <c r="AR49" s="68"/>
      <c r="AS49" s="69"/>
    </row>
    <row r="50" ht="41.25" hidden="1" customHeight="1">
      <c r="A50" s="27"/>
      <c r="B50" s="37" t="s">
        <v>66</v>
      </c>
      <c r="C50" s="37" t="s">
        <v>67</v>
      </c>
      <c r="D50" s="37"/>
      <c r="E50" s="37" t="s">
        <v>66</v>
      </c>
      <c r="F50" s="37" t="s">
        <v>68</v>
      </c>
      <c r="G50" s="37"/>
      <c r="H50" s="37" t="s">
        <v>66</v>
      </c>
      <c r="I50" s="37" t="s">
        <v>69</v>
      </c>
      <c r="J50" s="37" t="s">
        <v>70</v>
      </c>
      <c r="K50" s="37" t="s">
        <v>71</v>
      </c>
      <c r="L50" s="37" t="s">
        <v>72</v>
      </c>
      <c r="M50" s="37" t="s">
        <v>73</v>
      </c>
      <c r="N50" s="37" t="s">
        <v>74</v>
      </c>
      <c r="O50" s="27"/>
      <c r="P50" s="27"/>
      <c r="Q50" s="37" t="s">
        <v>66</v>
      </c>
      <c r="R50" s="37" t="s">
        <v>67</v>
      </c>
      <c r="S50" s="37"/>
      <c r="T50" s="37" t="s">
        <v>66</v>
      </c>
      <c r="U50" s="37" t="s">
        <v>68</v>
      </c>
      <c r="V50" s="37"/>
      <c r="W50" s="37" t="s">
        <v>66</v>
      </c>
      <c r="X50" s="37" t="s">
        <v>69</v>
      </c>
      <c r="Y50" s="37" t="s">
        <v>70</v>
      </c>
      <c r="Z50" s="37" t="s">
        <v>71</v>
      </c>
      <c r="AA50" s="37" t="s">
        <v>72</v>
      </c>
      <c r="AB50" s="37" t="s">
        <v>73</v>
      </c>
      <c r="AC50" s="37" t="s">
        <v>74</v>
      </c>
      <c r="AD50" s="27"/>
      <c r="AE50" s="36"/>
      <c r="AF50" s="36"/>
      <c r="AG50" s="36"/>
      <c r="AH50" s="36"/>
      <c r="AI50" s="36"/>
      <c r="AJ50" s="37" t="s">
        <v>75</v>
      </c>
      <c r="AK50" s="39" t="s">
        <v>76</v>
      </c>
      <c r="AL50" s="40" t="s">
        <v>77</v>
      </c>
    </row>
    <row r="51">
      <c r="A51" s="41" t="str">
        <f>AE51</f>
        <v>Jean Carl Azzopardi</v>
      </c>
      <c r="B51" s="42">
        <v>3.0</v>
      </c>
      <c r="C51" s="43">
        <f>IF(B51&gt;B53,1,0)</f>
        <v>0</v>
      </c>
      <c r="D51" s="44"/>
      <c r="E51" s="42">
        <v>6.0</v>
      </c>
      <c r="F51" s="43">
        <f>IF(E51&gt;E53,1,0)</f>
        <v>1</v>
      </c>
      <c r="G51" s="44"/>
      <c r="H51" s="42">
        <v>10.0</v>
      </c>
      <c r="I51" s="27">
        <f>IF(H51&gt;H53,1,0)</f>
        <v>1</v>
      </c>
      <c r="J51" s="27">
        <f>IF(B51="",0,1)</f>
        <v>1</v>
      </c>
      <c r="K51" s="27">
        <f>IF(C51+F51=2,3,IF(C51+F51=1,1,0))</f>
        <v>1</v>
      </c>
      <c r="L51" s="27">
        <f>IF(K51=3,3,IF(I51+K51=2,2,IF(K51=1,1,0)))</f>
        <v>2</v>
      </c>
      <c r="M51" s="27">
        <f>B51+E51</f>
        <v>9</v>
      </c>
      <c r="N51" s="27">
        <f>C51+F51+I51</f>
        <v>2</v>
      </c>
      <c r="O51" s="27"/>
      <c r="P51" s="70" t="str">
        <f>AE51</f>
        <v>Jean Carl Azzopardi</v>
      </c>
      <c r="Q51" s="71"/>
      <c r="R51" s="72">
        <f>IF(Q51&gt;Q53,1,0)</f>
        <v>0</v>
      </c>
      <c r="S51" s="73"/>
      <c r="T51" s="71"/>
      <c r="U51" s="72">
        <f>IF(T51&gt;T53,1,0)</f>
        <v>0</v>
      </c>
      <c r="V51" s="73"/>
      <c r="W51" s="71"/>
      <c r="X51" s="27">
        <f>IF(W51&gt;W53,1,0)</f>
        <v>0</v>
      </c>
      <c r="Y51" s="27">
        <f>IF(Q51="",0,1)</f>
        <v>0</v>
      </c>
      <c r="Z51" s="27">
        <f>IF(R51+U51=2,3,IF(R51+U51=1,1,0))</f>
        <v>0</v>
      </c>
      <c r="AA51" s="27">
        <f>IF(Z51=3,3,IF(X51+Z51=2,2,IF(Z51=1,1,0)))</f>
        <v>0</v>
      </c>
      <c r="AB51" s="27">
        <f>Q51+T51</f>
        <v>0</v>
      </c>
      <c r="AC51" s="27">
        <f>R51+U51+X51</f>
        <v>0</v>
      </c>
      <c r="AD51" s="27"/>
      <c r="AE51" s="74" t="str">
        <f>'Players - Men'!E6</f>
        <v>Jean Carl Azzopardi</v>
      </c>
      <c r="AF51" s="47">
        <f>J51+Y51+J55+Y55+J59</f>
        <v>4</v>
      </c>
      <c r="AG51" s="47">
        <f t="shared" ref="AG51:AI51" si="7">L51+AA51+L55+AA55+L59</f>
        <v>11</v>
      </c>
      <c r="AH51" s="47">
        <f t="shared" si="7"/>
        <v>46</v>
      </c>
      <c r="AI51" s="48">
        <f t="shared" si="7"/>
        <v>8</v>
      </c>
      <c r="AJ51" s="27">
        <f>MAX(AG51:AG61)</f>
        <v>11</v>
      </c>
      <c r="AK51" s="27">
        <f>SUM(AF51:AF61)</f>
        <v>20</v>
      </c>
      <c r="AL51" s="27" t="str">
        <f>IF(AG51=$AJ$51,AE51,IF(AG53=$AJ$51,AE53,IF(AG55=$AJ$51,AE55,IF(AG57=$AJ$51,AE57,IF(AG59=$AJ$51,AE59,IF(AG61=$AJ$51,AE61,""))))))</f>
        <v>Jean Carl Azzopardi</v>
      </c>
    </row>
    <row r="52" ht="15.0" customHeight="1">
      <c r="A52" s="49" t="s">
        <v>78</v>
      </c>
      <c r="H52" s="50"/>
      <c r="I52" s="51"/>
      <c r="J52" s="27"/>
      <c r="K52" s="27"/>
      <c r="L52" s="27"/>
      <c r="M52" s="27"/>
      <c r="N52" s="27"/>
      <c r="O52" s="27"/>
      <c r="P52" s="75" t="s">
        <v>78</v>
      </c>
      <c r="W52" s="50"/>
      <c r="X52" s="51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36"/>
      <c r="AL52" s="27"/>
    </row>
    <row r="53" ht="15.0" customHeight="1">
      <c r="A53" s="52" t="str">
        <f>AE53</f>
        <v>Karl Debattista</v>
      </c>
      <c r="B53" s="42">
        <v>6.0</v>
      </c>
      <c r="C53" s="53">
        <f>IF(B53&gt;B51,1,0)</f>
        <v>1</v>
      </c>
      <c r="D53" s="54"/>
      <c r="E53" s="42">
        <v>2.0</v>
      </c>
      <c r="F53" s="53">
        <f>IF(E53&gt;E51,1,0)</f>
        <v>0</v>
      </c>
      <c r="G53" s="54"/>
      <c r="H53" s="42">
        <v>7.0</v>
      </c>
      <c r="I53" s="27">
        <f>IF(H53&gt;H51,1,0)</f>
        <v>0</v>
      </c>
      <c r="J53" s="27">
        <f>IF(B53="",0,1)</f>
        <v>1</v>
      </c>
      <c r="K53" s="27">
        <f>IF(C53+F53=2,3,IF(C53+F53=1,1,0))</f>
        <v>1</v>
      </c>
      <c r="L53" s="27">
        <f>IF(K53=3,3,IF(I53+K53=2,2,IF(K53=1,1,0)))</f>
        <v>1</v>
      </c>
      <c r="M53" s="27">
        <f>B53+E53</f>
        <v>8</v>
      </c>
      <c r="N53" s="27">
        <f>C53+F53+I53</f>
        <v>1</v>
      </c>
      <c r="O53" s="27"/>
      <c r="P53" s="76" t="str">
        <f>AE55</f>
        <v>Claude Mifsud Wismayer</v>
      </c>
      <c r="Q53" s="71"/>
      <c r="R53" s="77">
        <f>IF(Q53&gt;Q51,1,0)</f>
        <v>0</v>
      </c>
      <c r="S53" s="78"/>
      <c r="T53" s="71"/>
      <c r="U53" s="77">
        <f>IF(T53&gt;T51,1,0)</f>
        <v>0</v>
      </c>
      <c r="V53" s="78"/>
      <c r="W53" s="71"/>
      <c r="X53" s="27">
        <f>IF(W53&gt;W51,1,0)</f>
        <v>0</v>
      </c>
      <c r="Y53" s="27">
        <f>IF(Q53="",0,1)</f>
        <v>0</v>
      </c>
      <c r="Z53" s="27">
        <f>IF(R53+U53=2,3,IF(R53+U53=1,1,0))</f>
        <v>0</v>
      </c>
      <c r="AA53" s="27">
        <f>IF(Z53=3,3,IF(X53+Z53=2,2,IF(Z53=1,1,0)))</f>
        <v>0</v>
      </c>
      <c r="AB53" s="27">
        <f>Q53+T53</f>
        <v>0</v>
      </c>
      <c r="AC53" s="27">
        <f>R53+U53+X53</f>
        <v>0</v>
      </c>
      <c r="AD53" s="27"/>
      <c r="AE53" s="74" t="str">
        <f>'Players - Men'!E7</f>
        <v>Karl Debattista</v>
      </c>
      <c r="AF53" s="47">
        <f>J53+Y67+J67+Y63+J63</f>
        <v>4</v>
      </c>
      <c r="AG53" s="47">
        <f t="shared" ref="AG53:AI53" si="8">L53+AA67+L67+AA63+L63</f>
        <v>10</v>
      </c>
      <c r="AH53" s="47">
        <f t="shared" si="8"/>
        <v>45</v>
      </c>
      <c r="AI53" s="48">
        <f t="shared" si="8"/>
        <v>7</v>
      </c>
      <c r="AJ53" s="36"/>
      <c r="AK53" s="36"/>
      <c r="AL53" s="27"/>
    </row>
    <row r="54" ht="15.0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36"/>
      <c r="AG54" s="36"/>
      <c r="AH54" s="36"/>
      <c r="AI54" s="36"/>
      <c r="AJ54" s="36"/>
      <c r="AK54" s="36"/>
      <c r="AL54" s="27"/>
    </row>
    <row r="55" ht="15.0" customHeight="1">
      <c r="A55" s="41" t="str">
        <f>AE51</f>
        <v>Jean Carl Azzopardi</v>
      </c>
      <c r="B55" s="42">
        <v>6.0</v>
      </c>
      <c r="C55" s="43">
        <f>IF(B55&gt;B57,1,0)</f>
        <v>1</v>
      </c>
      <c r="D55" s="44"/>
      <c r="E55" s="42">
        <v>6.0</v>
      </c>
      <c r="F55" s="43">
        <f>IF(E55&gt;E57,1,0)</f>
        <v>1</v>
      </c>
      <c r="G55" s="44"/>
      <c r="H55" s="45"/>
      <c r="I55" s="27">
        <f>IF(H55&gt;H57,1,0)</f>
        <v>0</v>
      </c>
      <c r="J55" s="27">
        <f>IF(B55="",0,1)</f>
        <v>1</v>
      </c>
      <c r="K55" s="27">
        <f>IF(C55+F55=2,3,IF(C55+F55=1,1,0))</f>
        <v>3</v>
      </c>
      <c r="L55" s="27">
        <f>IF(K55=3,3,IF(I55+K55=2,2,IF(K55=1,1,0)))</f>
        <v>3</v>
      </c>
      <c r="M55" s="27">
        <f>B55+E55</f>
        <v>12</v>
      </c>
      <c r="N55" s="27">
        <f>C55+F55+I55</f>
        <v>2</v>
      </c>
      <c r="O55" s="27"/>
      <c r="P55" s="41" t="str">
        <f>AE51</f>
        <v>Jean Carl Azzopardi</v>
      </c>
      <c r="Q55" s="42">
        <v>6.0</v>
      </c>
      <c r="R55" s="43">
        <f>IF(Q55&gt;Q57,1,0)</f>
        <v>1</v>
      </c>
      <c r="S55" s="44"/>
      <c r="T55" s="42">
        <v>6.0</v>
      </c>
      <c r="U55" s="43">
        <f>IF(T55&gt;T57,1,0)</f>
        <v>1</v>
      </c>
      <c r="V55" s="44"/>
      <c r="W55" s="45"/>
      <c r="X55" s="27">
        <f>IF(W55&gt;W57,1,0)</f>
        <v>0</v>
      </c>
      <c r="Y55" s="27">
        <f>IF(Q55="",0,1)</f>
        <v>1</v>
      </c>
      <c r="Z55" s="27">
        <f>IF(R55+U55=2,3,IF(R55+U55=1,1,0))</f>
        <v>3</v>
      </c>
      <c r="AA55" s="27">
        <f>IF(Z55=3,3,IF(X55+Z55=2,2,IF(Z55=1,1,0)))</f>
        <v>3</v>
      </c>
      <c r="AB55" s="27">
        <f>Q55+T55</f>
        <v>12</v>
      </c>
      <c r="AC55" s="27">
        <f>R55+U55+X55</f>
        <v>2</v>
      </c>
      <c r="AD55" s="27"/>
      <c r="AE55" s="79" t="str">
        <f>'Players - Men'!E8</f>
        <v>Claude Mifsud Wismayer</v>
      </c>
      <c r="AF55" s="80">
        <f>Y71+Y53+Y75+J75+J65</f>
        <v>0</v>
      </c>
      <c r="AG55" s="80">
        <f t="shared" ref="AG55:AI55" si="9">AA71+AA53+AA75+L75+L65</f>
        <v>0</v>
      </c>
      <c r="AH55" s="80">
        <f t="shared" si="9"/>
        <v>0</v>
      </c>
      <c r="AI55" s="81">
        <f t="shared" si="9"/>
        <v>0</v>
      </c>
      <c r="AJ55" s="36"/>
      <c r="AK55" s="36"/>
      <c r="AL55" s="27"/>
    </row>
    <row r="56" ht="15.0" customHeight="1">
      <c r="A56" s="49" t="s">
        <v>78</v>
      </c>
      <c r="H56" s="50"/>
      <c r="I56" s="51"/>
      <c r="J56" s="27"/>
      <c r="K56" s="27"/>
      <c r="L56" s="27"/>
      <c r="M56" s="27"/>
      <c r="N56" s="27"/>
      <c r="O56" s="27"/>
      <c r="P56" s="49" t="s">
        <v>78</v>
      </c>
      <c r="W56" s="50"/>
      <c r="X56" s="51"/>
      <c r="Y56" s="27"/>
      <c r="Z56" s="27"/>
      <c r="AA56" s="27"/>
      <c r="AB56" s="27"/>
      <c r="AC56" s="27"/>
      <c r="AD56" s="27"/>
      <c r="AE56" s="27"/>
      <c r="AF56" s="36"/>
      <c r="AG56" s="36"/>
      <c r="AH56" s="36"/>
      <c r="AI56" s="36"/>
      <c r="AJ56" s="36"/>
      <c r="AK56" s="36"/>
      <c r="AL56" s="27"/>
    </row>
    <row r="57" ht="15.0" customHeight="1">
      <c r="A57" s="52" t="str">
        <f>AE57</f>
        <v>Daniel Farrugia</v>
      </c>
      <c r="B57" s="42">
        <v>1.0</v>
      </c>
      <c r="C57" s="53">
        <f>IF(B57&gt;B55,1,0)</f>
        <v>0</v>
      </c>
      <c r="D57" s="54"/>
      <c r="E57" s="42">
        <v>1.0</v>
      </c>
      <c r="F57" s="53">
        <f>IF(E57&gt;E55,1,0)</f>
        <v>0</v>
      </c>
      <c r="G57" s="54"/>
      <c r="H57" s="45"/>
      <c r="I57" s="27">
        <f>IF(H57&gt;H55,1,0)</f>
        <v>0</v>
      </c>
      <c r="J57" s="27">
        <f>IF(B57="",0,1)</f>
        <v>1</v>
      </c>
      <c r="K57" s="27">
        <f>IF(C57+F57=2,3,IF(C57+F57=1,1,0))</f>
        <v>0</v>
      </c>
      <c r="L57" s="27">
        <f>IF(K57=3,3,IF(I57+K57=2,2,IF(K57=1,1,0)))</f>
        <v>0</v>
      </c>
      <c r="M57" s="27">
        <f>B57+E57</f>
        <v>2</v>
      </c>
      <c r="N57" s="27">
        <f>C57+F57+I57</f>
        <v>0</v>
      </c>
      <c r="O57" s="27"/>
      <c r="P57" s="52" t="str">
        <f>AE59</f>
        <v>Fotios Evangelou</v>
      </c>
      <c r="Q57" s="42">
        <v>0.0</v>
      </c>
      <c r="R57" s="53">
        <f>IF(Q57&gt;Q55,1,0)</f>
        <v>0</v>
      </c>
      <c r="S57" s="54"/>
      <c r="T57" s="42">
        <v>2.0</v>
      </c>
      <c r="U57" s="53">
        <f>IF(T57&gt;T55,1,0)</f>
        <v>0</v>
      </c>
      <c r="V57" s="54"/>
      <c r="W57" s="45"/>
      <c r="X57" s="27">
        <f>IF(W57&gt;W55,1,0)</f>
        <v>0</v>
      </c>
      <c r="Y57" s="27">
        <f>IF(Q57="",0,1)</f>
        <v>1</v>
      </c>
      <c r="Z57" s="27">
        <f>IF(R57+U57=2,3,IF(R57+U57=1,1,0))</f>
        <v>0</v>
      </c>
      <c r="AA57" s="27">
        <f>IF(Z57=3,3,IF(X57+Z57=2,2,IF(Z57=1,1,0)))</f>
        <v>0</v>
      </c>
      <c r="AB57" s="27">
        <f>Q57+T57</f>
        <v>2</v>
      </c>
      <c r="AC57" s="27">
        <f>R57+U57+X57</f>
        <v>0</v>
      </c>
      <c r="AD57" s="27"/>
      <c r="AE57" s="74" t="str">
        <f>'Players - Men'!E9</f>
        <v>Daniel Farrugia</v>
      </c>
      <c r="AF57" s="47">
        <f>Y73+J79+J57+Y65+J71</f>
        <v>4</v>
      </c>
      <c r="AG57" s="47">
        <f t="shared" ref="AG57:AI57" si="10">AA73+L79+L57+AA65+L71</f>
        <v>0</v>
      </c>
      <c r="AH57" s="47">
        <f t="shared" si="10"/>
        <v>18</v>
      </c>
      <c r="AI57" s="48">
        <f t="shared" si="10"/>
        <v>0</v>
      </c>
      <c r="AJ57" s="36"/>
      <c r="AK57" s="36"/>
      <c r="AL57" s="27"/>
    </row>
    <row r="58" ht="15.0" customHeight="1">
      <c r="A58" s="27"/>
      <c r="B58" s="36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36"/>
      <c r="AG58" s="36"/>
      <c r="AH58" s="36"/>
      <c r="AI58" s="36"/>
      <c r="AJ58" s="36"/>
      <c r="AK58" s="36"/>
      <c r="AL58" s="27"/>
    </row>
    <row r="59" ht="15.0" customHeight="1">
      <c r="A59" s="41" t="str">
        <f>AE51</f>
        <v>Jean Carl Azzopardi</v>
      </c>
      <c r="B59" s="42">
        <v>6.0</v>
      </c>
      <c r="C59" s="43">
        <f>IF(B59&gt;B61,1,0)</f>
        <v>1</v>
      </c>
      <c r="D59" s="44"/>
      <c r="E59" s="42">
        <v>7.0</v>
      </c>
      <c r="F59" s="43">
        <f>IF(E59&gt;E61,1,0)</f>
        <v>1</v>
      </c>
      <c r="G59" s="44"/>
      <c r="H59" s="45"/>
      <c r="I59" s="27">
        <f>IF(H59&gt;H61,1,0)</f>
        <v>0</v>
      </c>
      <c r="J59" s="27">
        <f>IF(B59="",0,1)</f>
        <v>1</v>
      </c>
      <c r="K59" s="27">
        <f>IF(C59+F59=2,3,IF(C59+F59=1,1,0))</f>
        <v>3</v>
      </c>
      <c r="L59" s="27">
        <f>IF(K59=3,3,IF(I59+K59=2,2,IF(K59=1,1,0)))</f>
        <v>3</v>
      </c>
      <c r="M59" s="27">
        <f>B59+E59</f>
        <v>13</v>
      </c>
      <c r="N59" s="27">
        <f>C59+F59+I59</f>
        <v>2</v>
      </c>
      <c r="O59" s="27"/>
      <c r="P59" s="41" t="str">
        <f>AE59</f>
        <v>Fotios Evangelou</v>
      </c>
      <c r="Q59" s="42">
        <v>3.0</v>
      </c>
      <c r="R59" s="43">
        <f>IF(Q59&gt;Q61,1,0)</f>
        <v>0</v>
      </c>
      <c r="S59" s="44"/>
      <c r="T59" s="42">
        <v>4.0</v>
      </c>
      <c r="U59" s="43">
        <f>IF(T59&gt;T61,1,0)</f>
        <v>0</v>
      </c>
      <c r="V59" s="44"/>
      <c r="W59" s="45"/>
      <c r="X59" s="27">
        <f>IF(W59&gt;W61,1,0)</f>
        <v>0</v>
      </c>
      <c r="Y59" s="27">
        <f>IF(Q59="",0,1)</f>
        <v>1</v>
      </c>
      <c r="Z59" s="27">
        <f>IF(R59+U59=2,3,IF(R59+U59=1,1,0))</f>
        <v>0</v>
      </c>
      <c r="AA59" s="27">
        <f>IF(Z59=3,3,IF(X59+Z59=2,2,IF(Z59=1,1,0)))</f>
        <v>0</v>
      </c>
      <c r="AB59" s="27">
        <f>Q59+T59</f>
        <v>7</v>
      </c>
      <c r="AC59" s="27">
        <f>R59+U59+X59</f>
        <v>0</v>
      </c>
      <c r="AD59" s="27"/>
      <c r="AE59" s="74" t="str">
        <f>'Players - Men'!E10</f>
        <v>Fotios Evangelou</v>
      </c>
      <c r="AF59" s="47">
        <f>Y59+J81+J69+Y57+J77</f>
        <v>4</v>
      </c>
      <c r="AG59" s="47">
        <f t="shared" ref="AG59:AI59" si="11">AA59+L81+L69+AA57+L77</f>
        <v>3</v>
      </c>
      <c r="AH59" s="47">
        <f t="shared" si="11"/>
        <v>32</v>
      </c>
      <c r="AI59" s="48">
        <f t="shared" si="11"/>
        <v>2</v>
      </c>
      <c r="AJ59" s="36"/>
      <c r="AK59" s="36"/>
      <c r="AL59" s="27"/>
    </row>
    <row r="60" ht="15.0" customHeight="1">
      <c r="A60" s="49" t="s">
        <v>78</v>
      </c>
      <c r="H60" s="50"/>
      <c r="I60" s="51"/>
      <c r="J60" s="27"/>
      <c r="K60" s="27"/>
      <c r="L60" s="27"/>
      <c r="M60" s="27"/>
      <c r="N60" s="27"/>
      <c r="O60" s="27"/>
      <c r="P60" s="49" t="s">
        <v>78</v>
      </c>
      <c r="W60" s="50"/>
      <c r="X60" s="51"/>
      <c r="Y60" s="27"/>
      <c r="Z60" s="27"/>
      <c r="AA60" s="27"/>
      <c r="AB60" s="27"/>
      <c r="AC60" s="27"/>
      <c r="AD60" s="27"/>
      <c r="AE60" s="27"/>
      <c r="AF60" s="36"/>
      <c r="AG60" s="36"/>
      <c r="AH60" s="36"/>
      <c r="AI60" s="36"/>
      <c r="AJ60" s="36"/>
      <c r="AK60" s="36"/>
      <c r="AL60" s="27"/>
    </row>
    <row r="61" ht="15.0" customHeight="1">
      <c r="A61" s="52" t="str">
        <f>AE61</f>
        <v>Eric Roca</v>
      </c>
      <c r="B61" s="42">
        <v>3.0</v>
      </c>
      <c r="C61" s="53">
        <f>IF(B61&gt;B59,1,0)</f>
        <v>0</v>
      </c>
      <c r="D61" s="54"/>
      <c r="E61" s="42">
        <v>6.0</v>
      </c>
      <c r="F61" s="53">
        <f>IF(E61&gt;E59,1,0)</f>
        <v>0</v>
      </c>
      <c r="G61" s="54"/>
      <c r="H61" s="45"/>
      <c r="I61" s="27">
        <f>IF(H61&gt;H59,1,0)</f>
        <v>0</v>
      </c>
      <c r="J61" s="27">
        <f>IF(B61="",0,1)</f>
        <v>1</v>
      </c>
      <c r="K61" s="27">
        <f>IF(C61+F61=2,3,IF(C61+F61=1,1,0))</f>
        <v>0</v>
      </c>
      <c r="L61" s="27">
        <f>IF(K61=3,3,IF(I61+K61=2,2,IF(K61=1,1,0)))</f>
        <v>0</v>
      </c>
      <c r="M61" s="27">
        <f>B61+E61</f>
        <v>9</v>
      </c>
      <c r="N61" s="27">
        <f>C61+F61+I61</f>
        <v>0</v>
      </c>
      <c r="O61" s="27"/>
      <c r="P61" s="52" t="str">
        <f>AE61</f>
        <v>Eric Roca</v>
      </c>
      <c r="Q61" s="42">
        <v>6.0</v>
      </c>
      <c r="R61" s="53">
        <f>IF(Q61&gt;Q59,1,0)</f>
        <v>1</v>
      </c>
      <c r="S61" s="54"/>
      <c r="T61" s="42">
        <v>6.0</v>
      </c>
      <c r="U61" s="53">
        <f>IF(T61&gt;T59,1,0)</f>
        <v>1</v>
      </c>
      <c r="V61" s="54"/>
      <c r="W61" s="45"/>
      <c r="X61" s="27">
        <f>IF(W61&gt;W59,1,0)</f>
        <v>0</v>
      </c>
      <c r="Y61" s="27">
        <f>IF(Q61="",0,1)</f>
        <v>1</v>
      </c>
      <c r="Z61" s="27">
        <f>IF(R61+U61=2,3,IF(R61+U61=1,1,0))</f>
        <v>3</v>
      </c>
      <c r="AA61" s="27">
        <f>IF(Z61=3,3,IF(X61+Z61=2,2,IF(Z61=1,1,0)))</f>
        <v>3</v>
      </c>
      <c r="AB61" s="27">
        <f>Q61+T61</f>
        <v>12</v>
      </c>
      <c r="AC61" s="27">
        <f>R61+U61+X61</f>
        <v>2</v>
      </c>
      <c r="AD61" s="27"/>
      <c r="AE61" s="74" t="str">
        <f>'Players - Men'!E11</f>
        <v>Eric Roca</v>
      </c>
      <c r="AF61" s="47">
        <f>Y61+Y69+Y77+J61+J73</f>
        <v>4</v>
      </c>
      <c r="AG61" s="47">
        <f t="shared" ref="AG61:AI61" si="12">AA61+AA69+AA77+L61+L73</f>
        <v>6</v>
      </c>
      <c r="AH61" s="47">
        <f t="shared" si="12"/>
        <v>33</v>
      </c>
      <c r="AI61" s="48">
        <f t="shared" si="12"/>
        <v>4</v>
      </c>
      <c r="AJ61" s="27"/>
      <c r="AK61" s="36"/>
      <c r="AL61" s="27"/>
    </row>
    <row r="62" ht="15.0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</row>
    <row r="63" ht="15.0" customHeight="1">
      <c r="A63" s="70" t="str">
        <f>AE53</f>
        <v>Karl Debattista</v>
      </c>
      <c r="B63" s="71"/>
      <c r="C63" s="72">
        <f>IF(B63&gt;B65,1,0)</f>
        <v>0</v>
      </c>
      <c r="D63" s="73"/>
      <c r="E63" s="71"/>
      <c r="F63" s="72">
        <f>IF(E63&gt;E65,1,0)</f>
        <v>0</v>
      </c>
      <c r="G63" s="73"/>
      <c r="H63" s="71"/>
      <c r="I63" s="27">
        <f>IF(H63&gt;H65,1,0)</f>
        <v>0</v>
      </c>
      <c r="J63" s="27">
        <f>IF(B63="",0,1)</f>
        <v>0</v>
      </c>
      <c r="K63" s="27">
        <f>IF(C63+F63=2,3,IF(C63+F63=1,1,0))</f>
        <v>0</v>
      </c>
      <c r="L63" s="27">
        <f>IF(K63=3,3,IF(I63+K63=2,2,IF(K63=1,1,0)))</f>
        <v>0</v>
      </c>
      <c r="M63" s="27">
        <f>B63+E63</f>
        <v>0</v>
      </c>
      <c r="N63" s="27">
        <f>C63+F63+I63</f>
        <v>0</v>
      </c>
      <c r="O63" s="27"/>
      <c r="P63" s="41" t="str">
        <f>AE53</f>
        <v>Karl Debattista</v>
      </c>
      <c r="Q63" s="42">
        <v>6.0</v>
      </c>
      <c r="R63" s="43">
        <f>IF(Q63&gt;Q65,1,0)</f>
        <v>1</v>
      </c>
      <c r="S63" s="44"/>
      <c r="T63" s="42">
        <v>6.0</v>
      </c>
      <c r="U63" s="43">
        <f>IF(T63&gt;T65,1,0)</f>
        <v>1</v>
      </c>
      <c r="V63" s="44"/>
      <c r="W63" s="45"/>
      <c r="X63" s="27">
        <f>IF(W63&gt;W65,1,0)</f>
        <v>0</v>
      </c>
      <c r="Y63" s="27">
        <f>IF(Q63="",0,1)</f>
        <v>1</v>
      </c>
      <c r="Z63" s="27">
        <f>IF(R63+U63=2,3,IF(R63+U63=1,1,0))</f>
        <v>3</v>
      </c>
      <c r="AA63" s="27">
        <f>IF(Z63=3,3,IF(X63+Z63=2,2,IF(Z63=1,1,0)))</f>
        <v>3</v>
      </c>
      <c r="AB63" s="27">
        <f>Q63+T63</f>
        <v>12</v>
      </c>
      <c r="AC63" s="27">
        <f>R63+U63+X63</f>
        <v>2</v>
      </c>
      <c r="AD63" s="27"/>
      <c r="AE63" s="82" t="s">
        <v>81</v>
      </c>
      <c r="AF63" s="30"/>
      <c r="AG63" s="30"/>
      <c r="AH63" s="30"/>
      <c r="AI63" s="31"/>
      <c r="AJ63" s="27"/>
      <c r="AK63" s="27"/>
      <c r="AL63" s="27"/>
    </row>
    <row r="64" ht="15.0" customHeight="1">
      <c r="A64" s="75" t="s">
        <v>78</v>
      </c>
      <c r="H64" s="50"/>
      <c r="I64" s="51"/>
      <c r="J64" s="27"/>
      <c r="K64" s="27"/>
      <c r="L64" s="27"/>
      <c r="M64" s="27"/>
      <c r="N64" s="27"/>
      <c r="O64" s="27"/>
      <c r="P64" s="49" t="s">
        <v>78</v>
      </c>
      <c r="W64" s="50"/>
      <c r="X64" s="51"/>
      <c r="Y64" s="27"/>
      <c r="Z64" s="27"/>
      <c r="AA64" s="27"/>
      <c r="AB64" s="27"/>
      <c r="AC64" s="27"/>
      <c r="AD64" s="27"/>
      <c r="AE64" s="57" t="s">
        <v>4</v>
      </c>
      <c r="AF64" s="30"/>
      <c r="AG64" s="30"/>
      <c r="AH64" s="30"/>
      <c r="AI64" s="31"/>
      <c r="AJ64" s="27"/>
      <c r="AK64" s="27"/>
      <c r="AL64" s="27"/>
    </row>
    <row r="65" ht="15.0" customHeight="1">
      <c r="A65" s="76" t="str">
        <f>AE55</f>
        <v>Claude Mifsud Wismayer</v>
      </c>
      <c r="B65" s="71"/>
      <c r="C65" s="77">
        <f>IF(B65&gt;B63,1,0)</f>
        <v>0</v>
      </c>
      <c r="D65" s="78"/>
      <c r="E65" s="71"/>
      <c r="F65" s="77">
        <f>IF(E65&gt;E63,1,0)</f>
        <v>0</v>
      </c>
      <c r="G65" s="78"/>
      <c r="H65" s="71"/>
      <c r="I65" s="27">
        <f>IF(H65&gt;H63,1,0)</f>
        <v>0</v>
      </c>
      <c r="J65" s="27">
        <f>IF(B65="",0,1)</f>
        <v>0</v>
      </c>
      <c r="K65" s="27">
        <f>IF(C65+F65=2,3,IF(C65+F65=1,1,0))</f>
        <v>0</v>
      </c>
      <c r="L65" s="27">
        <f>IF(K65=3,3,IF(I65+K65=2,2,IF(K65=1,1,0)))</f>
        <v>0</v>
      </c>
      <c r="M65" s="27">
        <f>B65+E65</f>
        <v>0</v>
      </c>
      <c r="N65" s="27">
        <f>C65+F65+I65</f>
        <v>0</v>
      </c>
      <c r="O65" s="27"/>
      <c r="P65" s="52" t="str">
        <f>AE57</f>
        <v>Daniel Farrugia</v>
      </c>
      <c r="Q65" s="42">
        <v>1.0</v>
      </c>
      <c r="R65" s="53">
        <f>IF(Q65&gt;Q63,1,0)</f>
        <v>0</v>
      </c>
      <c r="S65" s="54"/>
      <c r="T65" s="42">
        <v>0.0</v>
      </c>
      <c r="U65" s="53">
        <f>IF(T65&gt;T63,1,0)</f>
        <v>0</v>
      </c>
      <c r="V65" s="54"/>
      <c r="W65" s="45"/>
      <c r="X65" s="27">
        <f>IF(W65&gt;W63,1,0)</f>
        <v>0</v>
      </c>
      <c r="Y65" s="27">
        <f>IF(Q65="",0,1)</f>
        <v>1</v>
      </c>
      <c r="Z65" s="27">
        <f>IF(R65+U65=2,3,IF(R65+U65=1,1,0))</f>
        <v>0</v>
      </c>
      <c r="AA65" s="27">
        <f>IF(Z65=3,3,IF(X65+Z65=2,2,IF(Z65=1,1,0)))</f>
        <v>0</v>
      </c>
      <c r="AB65" s="27">
        <f>Q65+T65</f>
        <v>1</v>
      </c>
      <c r="AC65" s="27">
        <f>R65+U65+X65</f>
        <v>0</v>
      </c>
      <c r="AD65" s="27"/>
      <c r="AE65" s="27"/>
      <c r="AF65" s="27"/>
      <c r="AG65" s="27"/>
      <c r="AH65" s="27"/>
      <c r="AI65" s="27"/>
      <c r="AJ65" s="27"/>
      <c r="AK65" s="27"/>
      <c r="AL65" s="27"/>
    </row>
    <row r="66" ht="15.0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</row>
    <row r="67" ht="15.0" customHeight="1">
      <c r="A67" s="41" t="str">
        <f>AE53</f>
        <v>Karl Debattista</v>
      </c>
      <c r="B67" s="42">
        <v>7.0</v>
      </c>
      <c r="C67" s="43">
        <f>IF(B67&gt;B69,1,0)</f>
        <v>1</v>
      </c>
      <c r="D67" s="44"/>
      <c r="E67" s="42">
        <v>6.0</v>
      </c>
      <c r="F67" s="43">
        <f>IF(E67&gt;E69,1,0)</f>
        <v>1</v>
      </c>
      <c r="G67" s="44"/>
      <c r="H67" s="45"/>
      <c r="I67" s="27">
        <f>IF(H67&gt;H69,1,0)</f>
        <v>0</v>
      </c>
      <c r="J67" s="27">
        <f>IF(B67="",0,1)</f>
        <v>1</v>
      </c>
      <c r="K67" s="27">
        <f>IF(C67+F67=2,3,IF(C67+F67=1,1,0))</f>
        <v>3</v>
      </c>
      <c r="L67" s="27">
        <f>IF(K67=3,3,IF(I67+K67=2,2,IF(K67=1,1,0)))</f>
        <v>3</v>
      </c>
      <c r="M67" s="27">
        <f>B67+E67</f>
        <v>13</v>
      </c>
      <c r="N67" s="27">
        <f>C67+F67+I67</f>
        <v>2</v>
      </c>
      <c r="O67" s="27"/>
      <c r="P67" s="41" t="str">
        <f>AE53</f>
        <v>Karl Debattista</v>
      </c>
      <c r="Q67" s="42">
        <v>6.0</v>
      </c>
      <c r="R67" s="43">
        <f>IF(Q67&gt;Q69,1,0)</f>
        <v>1</v>
      </c>
      <c r="S67" s="44"/>
      <c r="T67" s="42">
        <v>6.0</v>
      </c>
      <c r="U67" s="43">
        <f>IF(T67&gt;T69,1,0)</f>
        <v>1</v>
      </c>
      <c r="V67" s="44"/>
      <c r="W67" s="45"/>
      <c r="X67" s="27">
        <f>IF(W67&gt;W69,1,0)</f>
        <v>0</v>
      </c>
      <c r="Y67" s="27">
        <f>IF(Q67="",0,1)</f>
        <v>1</v>
      </c>
      <c r="Z67" s="27">
        <f>IF(R67+U67=2,3,IF(R67+U67=1,1,0))</f>
        <v>3</v>
      </c>
      <c r="AA67" s="27">
        <f>IF(Z67=3,3,IF(X67+Z67=2,2,IF(Z67=1,1,0)))</f>
        <v>3</v>
      </c>
      <c r="AB67" s="27">
        <f>Q67+T67</f>
        <v>12</v>
      </c>
      <c r="AC67" s="27">
        <f>R67+U67+X67</f>
        <v>2</v>
      </c>
      <c r="AD67" s="27"/>
      <c r="AE67" s="27"/>
      <c r="AF67" s="27"/>
      <c r="AG67" s="27"/>
      <c r="AH67" s="27"/>
      <c r="AI67" s="27"/>
      <c r="AJ67" s="27"/>
      <c r="AK67" s="27"/>
      <c r="AL67" s="27"/>
    </row>
    <row r="68" ht="15.0" customHeight="1">
      <c r="A68" s="49" t="s">
        <v>78</v>
      </c>
      <c r="H68" s="50"/>
      <c r="I68" s="51"/>
      <c r="J68" s="27"/>
      <c r="K68" s="27"/>
      <c r="L68" s="27"/>
      <c r="M68" s="27"/>
      <c r="N68" s="27"/>
      <c r="O68" s="27"/>
      <c r="P68" s="49" t="s">
        <v>78</v>
      </c>
      <c r="W68" s="50"/>
      <c r="X68" s="51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</row>
    <row r="69" ht="15.0" customHeight="1">
      <c r="A69" s="52" t="str">
        <f>AE59</f>
        <v>Fotios Evangelou</v>
      </c>
      <c r="B69" s="42">
        <v>6.0</v>
      </c>
      <c r="C69" s="53">
        <f>IF(B69&gt;B67,1,0)</f>
        <v>0</v>
      </c>
      <c r="D69" s="54"/>
      <c r="E69" s="42">
        <v>4.0</v>
      </c>
      <c r="F69" s="53">
        <f>IF(E69&gt;E67,1,0)</f>
        <v>0</v>
      </c>
      <c r="G69" s="54"/>
      <c r="H69" s="45"/>
      <c r="I69" s="27">
        <f>IF(H69&gt;H67,1,0)</f>
        <v>0</v>
      </c>
      <c r="J69" s="27">
        <f>IF(B69="",0,1)</f>
        <v>1</v>
      </c>
      <c r="K69" s="27">
        <f>IF(C69+F69=2,3,IF(C69+F69=1,1,0))</f>
        <v>0</v>
      </c>
      <c r="L69" s="27">
        <f>IF(K69=3,3,IF(I69+K69=2,2,IF(K69=1,1,0)))</f>
        <v>0</v>
      </c>
      <c r="M69" s="27">
        <f>B69+E69</f>
        <v>10</v>
      </c>
      <c r="N69" s="27">
        <f>C69+F69+I69</f>
        <v>0</v>
      </c>
      <c r="O69" s="27"/>
      <c r="P69" s="52" t="str">
        <f>AE61</f>
        <v>Eric Roca</v>
      </c>
      <c r="Q69" s="42">
        <v>0.0</v>
      </c>
      <c r="R69" s="53">
        <f>IF(Q69&gt;Q67,1,0)</f>
        <v>0</v>
      </c>
      <c r="S69" s="54"/>
      <c r="T69" s="42">
        <v>0.0</v>
      </c>
      <c r="U69" s="53">
        <f>IF(T69&gt;T67,1,0)</f>
        <v>0</v>
      </c>
      <c r="V69" s="54"/>
      <c r="W69" s="45"/>
      <c r="X69" s="27">
        <f>IF(W69&gt;W67,1,0)</f>
        <v>0</v>
      </c>
      <c r="Y69" s="27">
        <f>IF(Q69="",0,1)</f>
        <v>1</v>
      </c>
      <c r="Z69" s="27">
        <f>IF(R69+U69=2,3,IF(R69+U69=1,1,0))</f>
        <v>0</v>
      </c>
      <c r="AA69" s="27">
        <f>IF(Z69=3,3,IF(X69+Z69=2,2,IF(Z69=1,1,0)))</f>
        <v>0</v>
      </c>
      <c r="AB69" s="27">
        <f>Q69+T69</f>
        <v>0</v>
      </c>
      <c r="AC69" s="27">
        <f>R69+U69+X69</f>
        <v>0</v>
      </c>
      <c r="AD69" s="27"/>
      <c r="AE69" s="27"/>
      <c r="AF69" s="27"/>
      <c r="AG69" s="27"/>
      <c r="AH69" s="27"/>
      <c r="AI69" s="27"/>
      <c r="AJ69" s="27"/>
      <c r="AK69" s="27"/>
      <c r="AL69" s="27"/>
    </row>
    <row r="70" ht="15.0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36"/>
      <c r="AI70" s="27"/>
      <c r="AJ70" s="27"/>
      <c r="AK70" s="27"/>
      <c r="AL70" s="27"/>
    </row>
    <row r="71" ht="15.0" customHeight="1">
      <c r="A71" s="41" t="str">
        <f>AE57</f>
        <v>Daniel Farrugia</v>
      </c>
      <c r="B71" s="42">
        <v>4.0</v>
      </c>
      <c r="C71" s="43">
        <f>IF(B71&gt;B73,1,0)</f>
        <v>0</v>
      </c>
      <c r="D71" s="44"/>
      <c r="E71" s="42">
        <v>1.0</v>
      </c>
      <c r="F71" s="43">
        <f>IF(E71&gt;E73,1,0)</f>
        <v>0</v>
      </c>
      <c r="G71" s="44"/>
      <c r="H71" s="45"/>
      <c r="I71" s="27">
        <f>IF(H71&gt;H73,1,0)</f>
        <v>0</v>
      </c>
      <c r="J71" s="27">
        <f>IF(B71="",0,1)</f>
        <v>1</v>
      </c>
      <c r="K71" s="27">
        <f>IF(C71+F71=2,3,IF(C71+F71=1,1,0))</f>
        <v>0</v>
      </c>
      <c r="L71" s="27">
        <f>IF(K71=3,3,IF(I71+K71=2,2,IF(K71=1,1,0)))</f>
        <v>0</v>
      </c>
      <c r="M71" s="27">
        <f>B71+E71</f>
        <v>5</v>
      </c>
      <c r="N71" s="27">
        <f>C71+F71+I71</f>
        <v>0</v>
      </c>
      <c r="O71" s="27"/>
      <c r="P71" s="70" t="str">
        <f>AE55</f>
        <v>Claude Mifsud Wismayer</v>
      </c>
      <c r="Q71" s="71"/>
      <c r="R71" s="72">
        <f>IF(Q71&gt;Q73,1,0)</f>
        <v>0</v>
      </c>
      <c r="S71" s="73"/>
      <c r="T71" s="71"/>
      <c r="U71" s="72">
        <f>IF(T71&gt;T73,1,0)</f>
        <v>0</v>
      </c>
      <c r="V71" s="73"/>
      <c r="W71" s="71"/>
      <c r="X71" s="27">
        <f>IF(W71&gt;W73,1,0)</f>
        <v>0</v>
      </c>
      <c r="Y71" s="27">
        <f>IF(Q71="",0,1)</f>
        <v>0</v>
      </c>
      <c r="Z71" s="27">
        <f>IF(R71+U71=2,3,IF(R71+U71=1,1,0))</f>
        <v>0</v>
      </c>
      <c r="AA71" s="27">
        <f>IF(Z71=3,3,IF(X71+Z71=2,2,IF(Z71=1,1,0)))</f>
        <v>0</v>
      </c>
      <c r="AB71" s="27">
        <f>Q71+T71</f>
        <v>0</v>
      </c>
      <c r="AC71" s="27">
        <f>R71+U71+X71</f>
        <v>0</v>
      </c>
      <c r="AD71" s="27"/>
      <c r="AE71" s="27"/>
      <c r="AF71" s="27"/>
      <c r="AG71" s="27"/>
      <c r="AH71" s="27"/>
      <c r="AI71" s="27"/>
      <c r="AJ71" s="27"/>
      <c r="AK71" s="27"/>
      <c r="AL71" s="27"/>
    </row>
    <row r="72" ht="15.0" customHeight="1">
      <c r="A72" s="49" t="s">
        <v>78</v>
      </c>
      <c r="H72" s="50"/>
      <c r="I72" s="51"/>
      <c r="J72" s="27"/>
      <c r="K72" s="27"/>
      <c r="L72" s="27"/>
      <c r="M72" s="27"/>
      <c r="N72" s="27"/>
      <c r="O72" s="27"/>
      <c r="P72" s="75" t="s">
        <v>78</v>
      </c>
      <c r="W72" s="50"/>
      <c r="X72" s="51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58"/>
      <c r="AL72" s="27"/>
    </row>
    <row r="73" ht="15.0" customHeight="1">
      <c r="A73" s="52" t="str">
        <f>AE61</f>
        <v>Eric Roca</v>
      </c>
      <c r="B73" s="42">
        <v>6.0</v>
      </c>
      <c r="C73" s="53">
        <f>IF(B73&gt;B71,1,0)</f>
        <v>1</v>
      </c>
      <c r="D73" s="54"/>
      <c r="E73" s="42">
        <v>6.0</v>
      </c>
      <c r="F73" s="53">
        <f>IF(E73&gt;E71,1,0)</f>
        <v>1</v>
      </c>
      <c r="G73" s="54"/>
      <c r="H73" s="45"/>
      <c r="I73" s="27">
        <f>IF(H73&gt;H71,1,0)</f>
        <v>0</v>
      </c>
      <c r="J73" s="27">
        <f>IF(B73="",0,1)</f>
        <v>1</v>
      </c>
      <c r="K73" s="27">
        <f>IF(C73+F73=2,3,IF(C73+F73=1,1,0))</f>
        <v>3</v>
      </c>
      <c r="L73" s="27">
        <f>IF(K73=3,3,IF(I73+K73=2,2,IF(K73=1,1,0)))</f>
        <v>3</v>
      </c>
      <c r="M73" s="27">
        <f>B73+E73</f>
        <v>12</v>
      </c>
      <c r="N73" s="27">
        <f>C73+F73+I73</f>
        <v>2</v>
      </c>
      <c r="O73" s="27"/>
      <c r="P73" s="76" t="str">
        <f>AE57</f>
        <v>Daniel Farrugia</v>
      </c>
      <c r="Q73" s="71"/>
      <c r="R73" s="77">
        <f>IF(Q73&gt;Q71,1,0)</f>
        <v>0</v>
      </c>
      <c r="S73" s="78"/>
      <c r="T73" s="71"/>
      <c r="U73" s="77">
        <f>IF(T73&gt;T71,1,0)</f>
        <v>0</v>
      </c>
      <c r="V73" s="78"/>
      <c r="W73" s="71"/>
      <c r="X73" s="27">
        <f>IF(W73&gt;W71,1,0)</f>
        <v>0</v>
      </c>
      <c r="Y73" s="27">
        <f>IF(Q73="",0,1)</f>
        <v>0</v>
      </c>
      <c r="Z73" s="27">
        <f>IF(R73+U73=2,3,IF(R73+U73=1,1,0))</f>
        <v>0</v>
      </c>
      <c r="AA73" s="27">
        <f>IF(Z73=3,3,IF(X73+Z73=2,2,IF(Z73=1,1,0)))</f>
        <v>0</v>
      </c>
      <c r="AB73" s="27">
        <f>Q73+T73</f>
        <v>0</v>
      </c>
      <c r="AC73" s="27">
        <f>R73+U73+X73</f>
        <v>0</v>
      </c>
      <c r="AD73" s="27"/>
      <c r="AE73" s="27"/>
      <c r="AF73" s="27"/>
      <c r="AG73" s="27"/>
      <c r="AH73" s="27"/>
      <c r="AI73" s="27"/>
      <c r="AJ73" s="27"/>
      <c r="AK73" s="27"/>
      <c r="AL73" s="27"/>
    </row>
    <row r="74" ht="15.0" customHeight="1">
      <c r="A74" s="27"/>
      <c r="B74" s="27"/>
      <c r="C74" s="27"/>
      <c r="D74" s="27"/>
      <c r="E74" s="36"/>
      <c r="F74" s="27"/>
      <c r="G74" s="27"/>
      <c r="H74" s="36"/>
      <c r="I74" s="27"/>
      <c r="J74" s="36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36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58"/>
      <c r="AL74" s="27"/>
    </row>
    <row r="75" ht="15.0" customHeight="1">
      <c r="A75" s="70" t="str">
        <f>AE55</f>
        <v>Claude Mifsud Wismayer</v>
      </c>
      <c r="B75" s="71"/>
      <c r="C75" s="72">
        <f>IF(B75&gt;B77,1,0)</f>
        <v>0</v>
      </c>
      <c r="D75" s="73"/>
      <c r="E75" s="71"/>
      <c r="F75" s="72">
        <f>IF(E75&gt;E77,1,0)</f>
        <v>0</v>
      </c>
      <c r="G75" s="73"/>
      <c r="H75" s="71"/>
      <c r="I75" s="27">
        <f>IF(H75&gt;H77,1,0)</f>
        <v>0</v>
      </c>
      <c r="J75" s="27">
        <f>IF(B75="",0,1)</f>
        <v>0</v>
      </c>
      <c r="K75" s="27">
        <f>IF(C75+F75=2,3,IF(C75+F75=1,1,0))</f>
        <v>0</v>
      </c>
      <c r="L75" s="27">
        <f>IF(K75=3,3,IF(I75+K75=2,2,IF(K75=1,1,0)))</f>
        <v>0</v>
      </c>
      <c r="M75" s="27">
        <f>B75+E75</f>
        <v>0</v>
      </c>
      <c r="N75" s="27">
        <f>C75+F75+I75</f>
        <v>0</v>
      </c>
      <c r="O75" s="27"/>
      <c r="P75" s="70" t="str">
        <f>AE55</f>
        <v>Claude Mifsud Wismayer</v>
      </c>
      <c r="Q75" s="71"/>
      <c r="R75" s="72">
        <f>IF(Q75&gt;Q77,1,0)</f>
        <v>0</v>
      </c>
      <c r="S75" s="73"/>
      <c r="T75" s="71"/>
      <c r="U75" s="72">
        <f>IF(T75&gt;T77,1,0)</f>
        <v>0</v>
      </c>
      <c r="V75" s="73"/>
      <c r="W75" s="71"/>
      <c r="X75" s="27">
        <f>IF(W75&gt;W77,1,0)</f>
        <v>0</v>
      </c>
      <c r="Y75" s="27">
        <f>IF(Q75="",0,1)</f>
        <v>0</v>
      </c>
      <c r="Z75" s="27">
        <f>IF(R75+U75=2,3,IF(R75+U75=1,1,0))</f>
        <v>0</v>
      </c>
      <c r="AA75" s="27">
        <f>IF(Z75=3,3,IF(X75+Z75=2,2,IF(Z75=1,1,0)))</f>
        <v>0</v>
      </c>
      <c r="AB75" s="27">
        <f>Q75+T75</f>
        <v>0</v>
      </c>
      <c r="AC75" s="27">
        <f>R75+U75+X75</f>
        <v>0</v>
      </c>
      <c r="AD75" s="27"/>
      <c r="AE75" s="27"/>
      <c r="AF75" s="27"/>
      <c r="AG75" s="27"/>
      <c r="AH75" s="27"/>
      <c r="AI75" s="27"/>
      <c r="AJ75" s="27"/>
      <c r="AK75" s="27"/>
      <c r="AL75" s="27"/>
    </row>
    <row r="76" ht="15.0" customHeight="1">
      <c r="A76" s="75" t="s">
        <v>78</v>
      </c>
      <c r="H76" s="50"/>
      <c r="I76" s="51"/>
      <c r="J76" s="27"/>
      <c r="K76" s="27"/>
      <c r="L76" s="27"/>
      <c r="M76" s="27"/>
      <c r="N76" s="27"/>
      <c r="O76" s="27"/>
      <c r="P76" s="75" t="s">
        <v>78</v>
      </c>
      <c r="W76" s="50"/>
      <c r="X76" s="51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</row>
    <row r="77" ht="15.0" customHeight="1">
      <c r="A77" s="76" t="str">
        <f>AE59</f>
        <v>Fotios Evangelou</v>
      </c>
      <c r="B77" s="71"/>
      <c r="C77" s="77">
        <f>IF(B77&gt;B75,1,0)</f>
        <v>0</v>
      </c>
      <c r="D77" s="78"/>
      <c r="E77" s="71"/>
      <c r="F77" s="77">
        <f>IF(E77&gt;E75,1,0)</f>
        <v>0</v>
      </c>
      <c r="G77" s="78"/>
      <c r="H77" s="71"/>
      <c r="I77" s="27">
        <f>IF(H77&gt;H75,1,0)</f>
        <v>0</v>
      </c>
      <c r="J77" s="27">
        <f>IF(B77="",0,1)</f>
        <v>0</v>
      </c>
      <c r="K77" s="27">
        <f>IF(C77+F77=2,3,IF(C77+F77=1,1,0))</f>
        <v>0</v>
      </c>
      <c r="L77" s="27">
        <f>IF(K77=3,3,IF(I77+K77=2,2,IF(K77=1,1,0)))</f>
        <v>0</v>
      </c>
      <c r="M77" s="27">
        <f>B77+E77</f>
        <v>0</v>
      </c>
      <c r="N77" s="27">
        <f>C77+F77+I77</f>
        <v>0</v>
      </c>
      <c r="O77" s="27"/>
      <c r="P77" s="76" t="str">
        <f>AE61</f>
        <v>Eric Roca</v>
      </c>
      <c r="Q77" s="71"/>
      <c r="R77" s="77">
        <f>IF(Q77&gt;Q75,1,0)</f>
        <v>0</v>
      </c>
      <c r="S77" s="78"/>
      <c r="T77" s="71"/>
      <c r="U77" s="77">
        <f>IF(T77&gt;T75,1,0)</f>
        <v>0</v>
      </c>
      <c r="V77" s="78"/>
      <c r="W77" s="71"/>
      <c r="X77" s="27">
        <f>IF(W77&gt;W75,1,0)</f>
        <v>0</v>
      </c>
      <c r="Y77" s="27">
        <f>IF(Q77="",0,1)</f>
        <v>0</v>
      </c>
      <c r="Z77" s="27">
        <f>IF(R77+U77=2,3,IF(R77+U77=1,1,0))</f>
        <v>0</v>
      </c>
      <c r="AA77" s="27">
        <f>IF(Z77=3,3,IF(X77+Z77=2,2,IF(Z77=1,1,0)))</f>
        <v>0</v>
      </c>
      <c r="AB77" s="27">
        <f>Q77+T77</f>
        <v>0</v>
      </c>
      <c r="AC77" s="27">
        <f>R77+U77+X77</f>
        <v>0</v>
      </c>
      <c r="AD77" s="27"/>
      <c r="AE77" s="27"/>
      <c r="AF77" s="27"/>
      <c r="AG77" s="27"/>
      <c r="AH77" s="27"/>
      <c r="AI77" s="27"/>
      <c r="AJ77" s="27"/>
      <c r="AK77" s="27"/>
      <c r="AL77" s="27"/>
    </row>
    <row r="78" ht="15.0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36"/>
      <c r="AI78" s="27"/>
      <c r="AJ78" s="27"/>
      <c r="AK78" s="27"/>
      <c r="AL78" s="27"/>
    </row>
    <row r="79" ht="15.0" customHeight="1">
      <c r="A79" s="41" t="str">
        <f>AE57</f>
        <v>Daniel Farrugia</v>
      </c>
      <c r="B79" s="42">
        <v>4.0</v>
      </c>
      <c r="C79" s="43">
        <f>IF(B79&gt;B81,1,0)</f>
        <v>0</v>
      </c>
      <c r="D79" s="44"/>
      <c r="E79" s="42">
        <v>6.0</v>
      </c>
      <c r="F79" s="43">
        <f>IF(E79&gt;E81,1,0)</f>
        <v>0</v>
      </c>
      <c r="G79" s="44"/>
      <c r="H79" s="45"/>
      <c r="I79" s="27">
        <f>IF(H79&gt;H81,1,0)</f>
        <v>0</v>
      </c>
      <c r="J79" s="27">
        <f>IF(B79="",0,1)</f>
        <v>1</v>
      </c>
      <c r="K79" s="27">
        <f>IF(C79+F79=2,3,IF(C79+F79=1,1,0))</f>
        <v>0</v>
      </c>
      <c r="L79" s="27">
        <f>IF(K79=3,3,IF(I79+K79=2,2,IF(K79=1,1,0)))</f>
        <v>0</v>
      </c>
      <c r="M79" s="27">
        <f>B79+E79</f>
        <v>10</v>
      </c>
      <c r="N79" s="27">
        <f>C79+F79+I79</f>
        <v>0</v>
      </c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</row>
    <row r="80" ht="15.0" customHeight="1">
      <c r="A80" s="49" t="s">
        <v>78</v>
      </c>
      <c r="H80" s="50"/>
      <c r="I80" s="51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59"/>
      <c r="AK80" s="27"/>
      <c r="AL80" s="27"/>
    </row>
    <row r="81" ht="15.0" customHeight="1">
      <c r="A81" s="52" t="str">
        <f>AE59</f>
        <v>Fotios Evangelou</v>
      </c>
      <c r="B81" s="42">
        <v>6.0</v>
      </c>
      <c r="C81" s="53">
        <f>IF(B81&gt;B79,1,0)</f>
        <v>1</v>
      </c>
      <c r="D81" s="54"/>
      <c r="E81" s="42">
        <v>7.0</v>
      </c>
      <c r="F81" s="53">
        <f>IF(E81&gt;E79,1,0)</f>
        <v>1</v>
      </c>
      <c r="G81" s="54"/>
      <c r="H81" s="45"/>
      <c r="I81" s="27">
        <f>IF(H81&gt;H79,1,0)</f>
        <v>0</v>
      </c>
      <c r="J81" s="27">
        <f>IF(B81="",0,1)</f>
        <v>1</v>
      </c>
      <c r="K81" s="27">
        <f>IF(C81+F81=2,3,IF(C81+F81=1,1,0))</f>
        <v>3</v>
      </c>
      <c r="L81" s="27">
        <f>IF(K81=3,3,IF(I81+K81=2,2,IF(K81=1,1,0)))</f>
        <v>3</v>
      </c>
      <c r="M81" s="27">
        <f>B81+E81</f>
        <v>13</v>
      </c>
      <c r="N81" s="27">
        <f>C81+F81+I81</f>
        <v>2</v>
      </c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</row>
    <row r="82" ht="13.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</row>
    <row r="83" ht="13.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83" t="s">
        <v>82</v>
      </c>
      <c r="Q83" s="30"/>
      <c r="R83" s="30"/>
      <c r="S83" s="30"/>
      <c r="T83" s="30"/>
      <c r="U83" s="30"/>
      <c r="V83" s="30"/>
      <c r="W83" s="84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</row>
    <row r="84" ht="13.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</row>
    <row r="85" ht="30.0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85" t="s">
        <v>58</v>
      </c>
      <c r="Q85" s="83" t="s">
        <v>59</v>
      </c>
      <c r="R85" s="30"/>
      <c r="S85" s="30"/>
      <c r="T85" s="31"/>
      <c r="U85" s="86"/>
      <c r="V85" s="87"/>
      <c r="W85" s="85" t="s">
        <v>60</v>
      </c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</row>
    <row r="86" ht="15.75" hidden="1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37" t="s">
        <v>66</v>
      </c>
      <c r="R86" s="37" t="s">
        <v>67</v>
      </c>
      <c r="S86" s="37"/>
      <c r="T86" s="37" t="s">
        <v>66</v>
      </c>
      <c r="U86" s="37" t="s">
        <v>68</v>
      </c>
      <c r="V86" s="37"/>
      <c r="W86" s="37" t="s">
        <v>66</v>
      </c>
      <c r="X86" s="37" t="s">
        <v>69</v>
      </c>
      <c r="Y86" s="37" t="s">
        <v>70</v>
      </c>
      <c r="Z86" s="37" t="s">
        <v>71</v>
      </c>
      <c r="AA86" s="37" t="s">
        <v>72</v>
      </c>
      <c r="AB86" s="37" t="s">
        <v>73</v>
      </c>
      <c r="AC86" s="37" t="s">
        <v>74</v>
      </c>
      <c r="AD86" s="27"/>
      <c r="AE86" s="27"/>
      <c r="AF86" s="27"/>
      <c r="AG86" s="27"/>
      <c r="AH86" s="27"/>
      <c r="AI86" s="27"/>
      <c r="AJ86" s="27"/>
      <c r="AK86" s="27"/>
      <c r="AL86" s="27"/>
    </row>
    <row r="87" ht="13.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41" t="str">
        <f>AE22</f>
        <v>Trevor Rutter</v>
      </c>
      <c r="Q87" s="42">
        <v>1.0</v>
      </c>
      <c r="R87" s="43"/>
      <c r="S87" s="44"/>
      <c r="T87" s="42">
        <v>3.0</v>
      </c>
      <c r="U87" s="43">
        <f>IF(T87&gt;T89,1,0)</f>
        <v>0</v>
      </c>
      <c r="V87" s="44"/>
      <c r="W87" s="45"/>
      <c r="X87" s="27">
        <f>IF(W87&gt;W89,1,0)</f>
        <v>0</v>
      </c>
      <c r="Y87" s="27">
        <f>IF(Q87="",0,1)</f>
        <v>1</v>
      </c>
      <c r="Z87" s="27">
        <f>IF(R87+U87=2,3,IF(R87+U87=1,1,0))</f>
        <v>0</v>
      </c>
      <c r="AA87" s="27">
        <f>IF(Z87=3,3,IF(X87+Z87=2,2,IF(Z87=1,1,0)))</f>
        <v>0</v>
      </c>
      <c r="AB87" s="27">
        <f>Q87+T87</f>
        <v>4</v>
      </c>
      <c r="AC87" s="27">
        <f>R87+U87+X87</f>
        <v>0</v>
      </c>
      <c r="AD87" s="27"/>
      <c r="AE87" s="27"/>
      <c r="AF87" s="27"/>
      <c r="AG87" s="27"/>
      <c r="AH87" s="27"/>
      <c r="AI87" s="27"/>
      <c r="AJ87" s="27"/>
      <c r="AK87" s="27"/>
      <c r="AL87" s="27"/>
    </row>
    <row r="88" ht="13.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49" t="s">
        <v>78</v>
      </c>
      <c r="W88" s="50"/>
      <c r="X88" s="51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</row>
    <row r="89" ht="13.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52" t="str">
        <f>AE64</f>
        <v>Jean Carl Azzopardi</v>
      </c>
      <c r="Q89" s="42">
        <v>6.0</v>
      </c>
      <c r="R89" s="53"/>
      <c r="S89" s="54"/>
      <c r="T89" s="42">
        <v>6.0</v>
      </c>
      <c r="U89" s="53">
        <f>IF(T89&gt;T87,1,0)</f>
        <v>1</v>
      </c>
      <c r="V89" s="54"/>
      <c r="W89" s="45"/>
      <c r="X89" s="27">
        <f>IF(W89&gt;W87,1,0)</f>
        <v>0</v>
      </c>
      <c r="Y89" s="27">
        <f>IF(Q89="",0,1)</f>
        <v>1</v>
      </c>
      <c r="Z89" s="27">
        <f>IF(R89+U89=2,3,IF(R89+U89=1,1,0))</f>
        <v>1</v>
      </c>
      <c r="AA89" s="27">
        <f>IF(Z89=3,3,IF(X89+Z89=2,2,IF(Z89=1,1,0)))</f>
        <v>1</v>
      </c>
      <c r="AB89" s="27">
        <f>Q89+T89</f>
        <v>12</v>
      </c>
      <c r="AC89" s="27">
        <f>R89+U89+X89</f>
        <v>1</v>
      </c>
      <c r="AD89" s="27"/>
      <c r="AE89" s="27"/>
      <c r="AF89" s="27"/>
      <c r="AG89" s="27"/>
      <c r="AH89" s="27"/>
      <c r="AI89" s="27"/>
      <c r="AJ89" s="27"/>
      <c r="AK89" s="27"/>
      <c r="AL89" s="27"/>
    </row>
    <row r="90" ht="13.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</row>
    <row r="91" ht="13.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83" t="s">
        <v>83</v>
      </c>
      <c r="Q91" s="30"/>
      <c r="R91" s="30"/>
      <c r="S91" s="30"/>
      <c r="T91" s="30"/>
      <c r="U91" s="30"/>
      <c r="V91" s="30"/>
      <c r="W91" s="31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</row>
    <row r="92" ht="13.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88" t="str">
        <f>IF(AA87&gt;AA89,P87,P89)</f>
        <v>Jean Carl Azzopardi</v>
      </c>
      <c r="Q92" s="89"/>
      <c r="R92" s="89"/>
      <c r="S92" s="89"/>
      <c r="T92" s="89"/>
      <c r="U92" s="89"/>
      <c r="V92" s="89"/>
      <c r="W92" s="90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</row>
    <row r="93" ht="13.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</row>
    <row r="94" ht="13.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</row>
    <row r="95" ht="13.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83" t="s">
        <v>84</v>
      </c>
      <c r="Q95" s="30"/>
      <c r="R95" s="30"/>
      <c r="S95" s="30"/>
      <c r="T95" s="30"/>
      <c r="U95" s="30"/>
      <c r="V95" s="30"/>
      <c r="W95" s="31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</row>
    <row r="96" ht="13.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88" t="str">
        <f>IF(AA87&lt;AA89,P87,P89)</f>
        <v>Trevor Rutter</v>
      </c>
      <c r="Q96" s="89"/>
      <c r="R96" s="89"/>
      <c r="S96" s="89"/>
      <c r="T96" s="89"/>
      <c r="U96" s="89"/>
      <c r="V96" s="89"/>
      <c r="W96" s="90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</row>
    <row r="97" ht="13.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</row>
    <row r="98" ht="13.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</row>
    <row r="99" ht="13.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</row>
    <row r="100" ht="13.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</row>
    <row r="101" ht="13.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</row>
    <row r="102" ht="13.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</row>
    <row r="103" ht="13.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</row>
    <row r="104" ht="13.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</row>
    <row r="105" ht="13.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</row>
    <row r="106" ht="13.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</row>
    <row r="107" ht="13.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</row>
    <row r="108" ht="13.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</row>
    <row r="109" ht="13.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</row>
    <row r="110" ht="13.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</row>
    <row r="111" ht="13.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</row>
    <row r="112" ht="13.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36"/>
      <c r="R112" s="36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</row>
    <row r="113" ht="13.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</row>
    <row r="114" ht="13.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</row>
    <row r="115" ht="13.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</row>
    <row r="116" ht="13.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</row>
    <row r="117" ht="13.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</row>
    <row r="118" ht="13.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</row>
    <row r="119" ht="13.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</row>
    <row r="120" ht="13.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</row>
    <row r="121" ht="13.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</row>
    <row r="122" ht="13.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</row>
    <row r="123" ht="13.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</row>
    <row r="124" ht="13.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</row>
    <row r="125" ht="13.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</row>
    <row r="126" ht="13.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</row>
    <row r="127" ht="13.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</row>
    <row r="128" ht="13.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</row>
    <row r="129" ht="13.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</row>
    <row r="130" ht="13.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</row>
    <row r="131" ht="13.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</row>
    <row r="132" ht="13.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</row>
    <row r="133" ht="13.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</row>
    <row r="134" ht="13.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</row>
    <row r="135" ht="13.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</row>
    <row r="136" ht="13.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</row>
    <row r="137" ht="13.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</row>
    <row r="138" ht="13.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</row>
    <row r="139" ht="13.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</row>
    <row r="140" ht="13.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</row>
    <row r="141" ht="13.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</row>
    <row r="142" ht="13.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</row>
    <row r="143" ht="13.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</row>
    <row r="144" ht="13.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</row>
    <row r="145" ht="13.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</row>
    <row r="146" ht="13.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</row>
    <row r="147" ht="13.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</row>
    <row r="148" ht="13.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</row>
    <row r="149" ht="13.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</row>
    <row r="150" ht="13.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</row>
    <row r="151" ht="13.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</row>
    <row r="152" ht="13.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</row>
    <row r="153" ht="13.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</row>
    <row r="154" ht="13.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</row>
    <row r="155" ht="13.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</row>
    <row r="156" ht="13.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</row>
    <row r="157" ht="13.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</row>
    <row r="158" ht="13.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</row>
    <row r="159" ht="13.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</row>
    <row r="160" ht="13.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</row>
    <row r="161" ht="13.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</row>
    <row r="162" ht="13.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</row>
    <row r="163" ht="13.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</row>
    <row r="164" ht="13.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</row>
    <row r="165" ht="13.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</row>
    <row r="166" ht="13.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</row>
    <row r="167" ht="13.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</row>
    <row r="168" ht="13.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</row>
    <row r="169" ht="13.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</row>
    <row r="170" ht="13.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</row>
    <row r="171" ht="13.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</row>
    <row r="172" ht="13.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</row>
    <row r="173" ht="13.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</row>
    <row r="174" ht="13.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</row>
    <row r="175" ht="13.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</row>
    <row r="176" ht="13.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</row>
    <row r="177" ht="13.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</row>
    <row r="178" ht="13.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</row>
    <row r="179" ht="13.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</row>
    <row r="180" ht="13.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</row>
    <row r="181" ht="13.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</row>
    <row r="182" ht="13.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</row>
    <row r="183" ht="13.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</row>
    <row r="184" ht="13.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</row>
    <row r="185" ht="13.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</row>
    <row r="186" ht="13.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</row>
    <row r="187" ht="13.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</row>
    <row r="188" ht="13.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</row>
    <row r="189" ht="13.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</row>
    <row r="190" ht="13.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</row>
    <row r="191" ht="13.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</row>
    <row r="192" ht="13.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</row>
    <row r="193" ht="13.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</row>
    <row r="194" ht="13.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</row>
    <row r="195" ht="13.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</row>
    <row r="196" ht="13.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</row>
    <row r="197" ht="13.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</row>
    <row r="198" ht="13.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</row>
    <row r="199" ht="13.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</row>
    <row r="200" ht="13.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</row>
    <row r="201" ht="13.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</row>
    <row r="202" ht="13.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</row>
    <row r="203" ht="13.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</row>
    <row r="204" ht="13.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</row>
    <row r="205" ht="13.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</row>
    <row r="206" ht="13.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</row>
    <row r="207" ht="13.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</row>
    <row r="208" ht="13.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</row>
    <row r="209" ht="13.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</row>
    <row r="210" ht="13.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</row>
    <row r="211" ht="13.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</row>
    <row r="212" ht="13.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</row>
    <row r="213" ht="13.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</row>
    <row r="214" ht="13.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</row>
    <row r="215" ht="13.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</row>
    <row r="216" ht="13.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</row>
    <row r="217" ht="13.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</row>
    <row r="218" ht="13.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</row>
    <row r="219" ht="13.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</row>
    <row r="220" ht="13.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</row>
    <row r="221" ht="13.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</row>
    <row r="222" ht="13.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</row>
    <row r="223" ht="13.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</row>
    <row r="224" ht="13.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</row>
    <row r="225" ht="13.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</row>
    <row r="226" ht="13.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</row>
    <row r="227" ht="13.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</row>
    <row r="228" ht="13.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</row>
    <row r="229" ht="13.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</row>
    <row r="230" ht="13.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</row>
    <row r="231" ht="13.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</row>
    <row r="232" ht="13.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</row>
    <row r="233" ht="13.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</row>
    <row r="234" ht="13.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</row>
    <row r="235" ht="13.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</row>
    <row r="236" ht="13.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</row>
    <row r="237" ht="13.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</row>
    <row r="238" ht="13.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</row>
    <row r="239" ht="13.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</row>
    <row r="240" ht="13.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</row>
    <row r="241" ht="13.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</row>
    <row r="242" ht="13.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</row>
    <row r="243" ht="13.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</row>
    <row r="244" ht="13.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</row>
    <row r="245" ht="13.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</row>
    <row r="246" ht="13.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</row>
    <row r="247" ht="13.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</row>
    <row r="248" ht="13.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</row>
    <row r="249" ht="13.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</row>
    <row r="250" ht="13.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</row>
    <row r="251" ht="13.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</row>
    <row r="252" ht="13.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</row>
    <row r="253" ht="13.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</row>
    <row r="254" ht="13.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</row>
    <row r="255" ht="13.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</row>
    <row r="256" ht="13.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</row>
    <row r="257" ht="13.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</row>
    <row r="258" ht="13.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</row>
    <row r="259" ht="13.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</row>
    <row r="260" ht="13.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</row>
    <row r="261" ht="13.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</row>
    <row r="262" ht="13.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</row>
    <row r="263" ht="13.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</row>
    <row r="264" ht="13.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</row>
    <row r="265" ht="13.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</row>
    <row r="266" ht="13.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</row>
    <row r="267" ht="13.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</row>
    <row r="268" ht="13.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</row>
    <row r="269" ht="13.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</row>
    <row r="270" ht="13.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</row>
    <row r="271" ht="13.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</row>
    <row r="272" ht="13.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</row>
    <row r="273" ht="13.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</row>
    <row r="274" ht="13.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</row>
    <row r="275" ht="13.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</row>
    <row r="276" ht="13.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</row>
    <row r="277" ht="13.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</row>
    <row r="278" ht="13.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</row>
    <row r="279" ht="13.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</row>
    <row r="280" ht="13.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</row>
    <row r="281" ht="13.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</row>
    <row r="282" ht="13.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</row>
    <row r="283" ht="13.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</row>
    <row r="284" ht="13.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</row>
    <row r="285" ht="13.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</row>
    <row r="286" ht="13.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</row>
    <row r="287" ht="13.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</row>
    <row r="288" ht="13.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</row>
    <row r="289" ht="13.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</row>
    <row r="290" ht="13.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</row>
    <row r="291" ht="13.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</row>
    <row r="292" ht="13.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</row>
    <row r="293" ht="13.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</row>
    <row r="294" ht="13.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</row>
    <row r="295" ht="13.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</row>
    <row r="296" ht="13.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</row>
    <row r="1001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</row>
    <row r="1002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</row>
    <row r="1003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</row>
    <row r="100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</row>
    <row r="1005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</row>
    <row r="1006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</row>
  </sheetData>
  <mergeCells count="48">
    <mergeCell ref="A1:AI2"/>
    <mergeCell ref="A5:AI5"/>
    <mergeCell ref="B7:E7"/>
    <mergeCell ref="Q7:T7"/>
    <mergeCell ref="A10:H10"/>
    <mergeCell ref="P10:W10"/>
    <mergeCell ref="P14:W14"/>
    <mergeCell ref="A14:H14"/>
    <mergeCell ref="A18:H18"/>
    <mergeCell ref="P18:W18"/>
    <mergeCell ref="AE21:AI21"/>
    <mergeCell ref="A22:H22"/>
    <mergeCell ref="P22:W22"/>
    <mergeCell ref="AE22:AI22"/>
    <mergeCell ref="A26:H26"/>
    <mergeCell ref="P26:W26"/>
    <mergeCell ref="A30:H30"/>
    <mergeCell ref="P30:W30"/>
    <mergeCell ref="A34:H34"/>
    <mergeCell ref="P34:W34"/>
    <mergeCell ref="A38:H38"/>
    <mergeCell ref="A47:AI47"/>
    <mergeCell ref="B49:E49"/>
    <mergeCell ref="Q49:T49"/>
    <mergeCell ref="A52:H52"/>
    <mergeCell ref="P52:W52"/>
    <mergeCell ref="A56:H56"/>
    <mergeCell ref="P56:W56"/>
    <mergeCell ref="A60:H60"/>
    <mergeCell ref="P60:W60"/>
    <mergeCell ref="AE63:AI63"/>
    <mergeCell ref="A64:H64"/>
    <mergeCell ref="P64:W64"/>
    <mergeCell ref="AE64:AI64"/>
    <mergeCell ref="P68:W68"/>
    <mergeCell ref="Q85:T85"/>
    <mergeCell ref="P88:W88"/>
    <mergeCell ref="P91:W91"/>
    <mergeCell ref="P92:W92"/>
    <mergeCell ref="P95:W95"/>
    <mergeCell ref="P96:W96"/>
    <mergeCell ref="A68:H68"/>
    <mergeCell ref="A72:H72"/>
    <mergeCell ref="P72:W72"/>
    <mergeCell ref="A76:H76"/>
    <mergeCell ref="P76:W76"/>
    <mergeCell ref="A80:H80"/>
    <mergeCell ref="P83:W83"/>
  </mergeCells>
  <printOptions/>
  <pageMargins bottom="1.0" footer="0.0" header="0.0" left="0.75" right="0.75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5.75"/>
    <col customWidth="1" min="2" max="2" width="7.0"/>
    <col customWidth="1" hidden="1" min="3" max="3" width="6.13"/>
    <col customWidth="1" min="4" max="4" width="1.75"/>
    <col customWidth="1" min="5" max="5" width="7.0"/>
    <col customWidth="1" hidden="1" min="6" max="6" width="6.13"/>
    <col customWidth="1" min="7" max="7" width="1.75"/>
    <col customWidth="1" min="8" max="8" width="7.0"/>
    <col customWidth="1" hidden="1" min="9" max="9" width="6.13"/>
    <col customWidth="1" hidden="1" min="10" max="10" width="7.63"/>
    <col customWidth="1" hidden="1" min="11" max="11" width="7.38"/>
    <col customWidth="1" hidden="1" min="12" max="12" width="11.38"/>
    <col customWidth="1" hidden="1" min="13" max="13" width="8.0"/>
    <col customWidth="1" hidden="1" min="14" max="14" width="6.13"/>
    <col customWidth="1" min="15" max="15" width="8.63"/>
    <col customWidth="1" min="16" max="16" width="45.75"/>
    <col customWidth="1" min="17" max="17" width="7.0"/>
    <col customWidth="1" hidden="1" min="18" max="18" width="6.13"/>
    <col customWidth="1" min="19" max="19" width="1.75"/>
    <col customWidth="1" min="20" max="20" width="7.0"/>
    <col customWidth="1" hidden="1" min="21" max="21" width="6.13"/>
    <col customWidth="1" min="22" max="22" width="1.75"/>
    <col customWidth="1" min="23" max="23" width="7.0"/>
    <col customWidth="1" hidden="1" min="24" max="24" width="6.13"/>
    <col customWidth="1" hidden="1" min="25" max="25" width="7.63"/>
    <col customWidth="1" hidden="1" min="26" max="26" width="7.38"/>
    <col customWidth="1" hidden="1" min="27" max="27" width="11.38"/>
    <col customWidth="1" hidden="1" min="28" max="28" width="8.0"/>
    <col customWidth="1" hidden="1" min="29" max="29" width="6.13"/>
    <col customWidth="1" min="30" max="30" width="8.63"/>
    <col customWidth="1" min="31" max="31" width="45.63"/>
    <col customWidth="1" min="32" max="32" width="10.0"/>
    <col customWidth="1" min="33" max="35" width="8.63"/>
    <col customWidth="1" hidden="1" min="36" max="36" width="9.38"/>
    <col customWidth="1" hidden="1" min="37" max="37" width="8.0"/>
    <col customWidth="1" hidden="1" min="38" max="38" width="41.13"/>
  </cols>
  <sheetData>
    <row r="1" ht="21.0" customHeight="1">
      <c r="A1" s="22" t="s">
        <v>0</v>
      </c>
      <c r="AJ1" s="6"/>
      <c r="AK1" s="6"/>
      <c r="AL1" s="6"/>
    </row>
    <row r="2" ht="21.0" customHeight="1">
      <c r="AJ2" s="6"/>
      <c r="AK2" s="6"/>
      <c r="AL2" s="6"/>
    </row>
    <row r="3" ht="15.0" customHeight="1">
      <c r="A3" s="91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</row>
    <row r="4" ht="15.0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</row>
    <row r="5">
      <c r="A5" s="92" t="s">
        <v>85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6"/>
      <c r="AJ5" s="27"/>
      <c r="AK5" s="27"/>
      <c r="AL5" s="27"/>
    </row>
    <row r="6" ht="15.0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</row>
    <row r="7">
      <c r="A7" s="93" t="s">
        <v>58</v>
      </c>
      <c r="B7" s="94" t="s">
        <v>59</v>
      </c>
      <c r="C7" s="30"/>
      <c r="D7" s="30"/>
      <c r="E7" s="31"/>
      <c r="F7" s="95"/>
      <c r="G7" s="64"/>
      <c r="H7" s="93" t="s">
        <v>60</v>
      </c>
      <c r="I7" s="34"/>
      <c r="J7" s="34"/>
      <c r="K7" s="34"/>
      <c r="L7" s="34"/>
      <c r="M7" s="35"/>
      <c r="N7" s="35"/>
      <c r="O7" s="35"/>
      <c r="P7" s="93" t="s">
        <v>58</v>
      </c>
      <c r="Q7" s="94" t="s">
        <v>59</v>
      </c>
      <c r="R7" s="30"/>
      <c r="S7" s="30"/>
      <c r="T7" s="31"/>
      <c r="U7" s="95"/>
      <c r="V7" s="64"/>
      <c r="W7" s="93" t="s">
        <v>60</v>
      </c>
      <c r="X7" s="34"/>
      <c r="Y7" s="35"/>
      <c r="Z7" s="35"/>
      <c r="AA7" s="35"/>
      <c r="AB7" s="35"/>
      <c r="AC7" s="35"/>
      <c r="AD7" s="35"/>
      <c r="AE7" s="93" t="s">
        <v>61</v>
      </c>
      <c r="AF7" s="93" t="s">
        <v>62</v>
      </c>
      <c r="AG7" s="93" t="s">
        <v>63</v>
      </c>
      <c r="AH7" s="93" t="s">
        <v>64</v>
      </c>
      <c r="AI7" s="93" t="s">
        <v>65</v>
      </c>
      <c r="AJ7" s="36"/>
      <c r="AK7" s="36"/>
      <c r="AL7" s="27"/>
    </row>
    <row r="8" hidden="1">
      <c r="A8" s="27"/>
      <c r="B8" s="37" t="s">
        <v>66</v>
      </c>
      <c r="C8" s="37" t="s">
        <v>67</v>
      </c>
      <c r="D8" s="37"/>
      <c r="E8" s="37" t="s">
        <v>66</v>
      </c>
      <c r="F8" s="37" t="s">
        <v>68</v>
      </c>
      <c r="G8" s="37"/>
      <c r="H8" s="37" t="s">
        <v>66</v>
      </c>
      <c r="I8" s="37" t="s">
        <v>69</v>
      </c>
      <c r="J8" s="37" t="s">
        <v>70</v>
      </c>
      <c r="K8" s="37" t="s">
        <v>71</v>
      </c>
      <c r="L8" s="37" t="s">
        <v>72</v>
      </c>
      <c r="M8" s="37" t="s">
        <v>73</v>
      </c>
      <c r="N8" s="37" t="s">
        <v>74</v>
      </c>
      <c r="O8" s="27"/>
      <c r="P8" s="27"/>
      <c r="Q8" s="37" t="s">
        <v>66</v>
      </c>
      <c r="R8" s="37" t="s">
        <v>67</v>
      </c>
      <c r="S8" s="37"/>
      <c r="T8" s="37" t="s">
        <v>66</v>
      </c>
      <c r="U8" s="37" t="s">
        <v>68</v>
      </c>
      <c r="V8" s="37"/>
      <c r="W8" s="37" t="s">
        <v>66</v>
      </c>
      <c r="X8" s="37" t="s">
        <v>69</v>
      </c>
      <c r="Y8" s="37" t="s">
        <v>70</v>
      </c>
      <c r="Z8" s="37" t="s">
        <v>71</v>
      </c>
      <c r="AA8" s="37" t="s">
        <v>72</v>
      </c>
      <c r="AB8" s="37" t="s">
        <v>73</v>
      </c>
      <c r="AC8" s="37" t="s">
        <v>74</v>
      </c>
      <c r="AD8" s="27"/>
      <c r="AE8" s="36"/>
      <c r="AF8" s="36"/>
      <c r="AG8" s="36"/>
      <c r="AH8" s="36"/>
      <c r="AI8" s="36"/>
      <c r="AJ8" s="37" t="s">
        <v>75</v>
      </c>
      <c r="AK8" s="39" t="s">
        <v>76</v>
      </c>
      <c r="AL8" s="40" t="s">
        <v>77</v>
      </c>
    </row>
    <row r="9" ht="15.0" customHeight="1">
      <c r="A9" s="41" t="str">
        <f>AE9</f>
        <v>Tobias Kristensen</v>
      </c>
      <c r="B9" s="42">
        <v>1.0</v>
      </c>
      <c r="C9" s="43">
        <f>IF(B9&gt;B11,1,0)</f>
        <v>0</v>
      </c>
      <c r="D9" s="44"/>
      <c r="E9" s="42">
        <v>4.0</v>
      </c>
      <c r="F9" s="43">
        <f>IF(E9&gt;E11,1,0)</f>
        <v>0</v>
      </c>
      <c r="G9" s="44"/>
      <c r="H9" s="45"/>
      <c r="I9" s="27">
        <f>IF(H9&gt;H11,1,0)</f>
        <v>0</v>
      </c>
      <c r="J9" s="27">
        <f>IF(B9="",0,1)</f>
        <v>1</v>
      </c>
      <c r="K9" s="27">
        <f>IF(C9+F9=2,3,IF(C9+F9=1,1,0))</f>
        <v>0</v>
      </c>
      <c r="L9" s="27">
        <f>IF(K9=3,3,IF(I9+K9=2,2,IF(K9=1,1,0)))</f>
        <v>0</v>
      </c>
      <c r="M9" s="27">
        <f>B9+E9</f>
        <v>5</v>
      </c>
      <c r="N9" s="27">
        <f>C9+F9+I9</f>
        <v>0</v>
      </c>
      <c r="O9" s="27"/>
      <c r="P9" s="41" t="str">
        <f>AE9</f>
        <v>Tobias Kristensen</v>
      </c>
      <c r="Q9" s="42">
        <v>4.0</v>
      </c>
      <c r="R9" s="43">
        <f>IF(Q9&gt;Q11,1,0)</f>
        <v>0</v>
      </c>
      <c r="S9" s="44"/>
      <c r="T9" s="42">
        <v>0.0</v>
      </c>
      <c r="U9" s="43">
        <f>IF(T9&gt;T11,1,0)</f>
        <v>0</v>
      </c>
      <c r="V9" s="44"/>
      <c r="W9" s="45"/>
      <c r="X9" s="27">
        <f>IF(W9&gt;W11,1,0)</f>
        <v>0</v>
      </c>
      <c r="Y9" s="27">
        <f>IF(Q9="",0,1)</f>
        <v>1</v>
      </c>
      <c r="Z9" s="27">
        <f>IF(R9+U9=2,3,IF(R9+U9=1,1,0))</f>
        <v>0</v>
      </c>
      <c r="AA9" s="27">
        <f>IF(Z9=3,3,IF(X9+Z9=2,2,IF(Z9=1,1,0)))</f>
        <v>0</v>
      </c>
      <c r="AB9" s="27">
        <f>Q9+T9</f>
        <v>4</v>
      </c>
      <c r="AC9" s="27">
        <f>R9+U9+X9</f>
        <v>0</v>
      </c>
      <c r="AD9" s="27"/>
      <c r="AE9" s="96" t="str">
        <f>'Players - Men'!B14</f>
        <v>Tobias Kristensen</v>
      </c>
      <c r="AF9" s="47">
        <f>J9+Y9+J13+Y13+J17</f>
        <v>5</v>
      </c>
      <c r="AG9" s="47">
        <f t="shared" ref="AG9:AI9" si="1">L9+AA9+L13+AA13+L17</f>
        <v>1</v>
      </c>
      <c r="AH9" s="47">
        <f t="shared" si="1"/>
        <v>32</v>
      </c>
      <c r="AI9" s="48">
        <f t="shared" si="1"/>
        <v>1</v>
      </c>
      <c r="AJ9" s="27">
        <f>MAX(AG9:AG19)</f>
        <v>13</v>
      </c>
      <c r="AK9" s="27">
        <f>SUM(AF9:AF19)</f>
        <v>30</v>
      </c>
      <c r="AL9" s="27" t="str">
        <f>IF(AG9=$AJ$9,AE9,IF(AG11=$AJ$9,AE11,IF(AG13=$AJ$9,AE13,IF(AG15=$AJ$9,AE15,IF(AG17=$AJ$9,AE17,IF(AG19=$AJ$9,AE19,""))))))</f>
        <v>Justin Graeme Christie</v>
      </c>
    </row>
    <row r="10" ht="15.0" customHeight="1">
      <c r="A10" s="49" t="s">
        <v>78</v>
      </c>
      <c r="H10" s="50"/>
      <c r="I10" s="51"/>
      <c r="J10" s="27"/>
      <c r="K10" s="27"/>
      <c r="L10" s="27"/>
      <c r="M10" s="27"/>
      <c r="N10" s="27"/>
      <c r="O10" s="27"/>
      <c r="P10" s="97" t="s">
        <v>86</v>
      </c>
      <c r="W10" s="50"/>
      <c r="X10" s="51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36"/>
      <c r="AL10" s="27"/>
    </row>
    <row r="11" ht="15.0" customHeight="1">
      <c r="A11" s="52" t="str">
        <f>AE11</f>
        <v>Kristen Cachia</v>
      </c>
      <c r="B11" s="42">
        <v>6.0</v>
      </c>
      <c r="C11" s="53">
        <f>IF(B11&gt;B9,1,0)</f>
        <v>1</v>
      </c>
      <c r="D11" s="54"/>
      <c r="E11" s="42">
        <v>6.0</v>
      </c>
      <c r="F11" s="53">
        <f>IF(E11&gt;E9,1,0)</f>
        <v>1</v>
      </c>
      <c r="G11" s="54"/>
      <c r="H11" s="45"/>
      <c r="I11" s="27">
        <f>IF(H11&gt;H9,1,0)</f>
        <v>0</v>
      </c>
      <c r="J11" s="27">
        <f>IF(B11="",0,1)</f>
        <v>1</v>
      </c>
      <c r="K11" s="27">
        <f>IF(C11+F11=2,3,IF(C11+F11=1,1,0))</f>
        <v>3</v>
      </c>
      <c r="L11" s="27">
        <f>IF(K11=3,3,IF(I11+K11=2,2,IF(K11=1,1,0)))</f>
        <v>3</v>
      </c>
      <c r="M11" s="27">
        <f>B11+E11</f>
        <v>12</v>
      </c>
      <c r="N11" s="27">
        <f>C11+F11+I11</f>
        <v>2</v>
      </c>
      <c r="O11" s="27"/>
      <c r="P11" s="52" t="str">
        <f>AE13</f>
        <v>Justin Graeme Christie</v>
      </c>
      <c r="Q11" s="42">
        <v>6.0</v>
      </c>
      <c r="R11" s="53">
        <f>IF(Q11&gt;Q9,1,0)</f>
        <v>1</v>
      </c>
      <c r="S11" s="54"/>
      <c r="T11" s="42">
        <v>6.0</v>
      </c>
      <c r="U11" s="53">
        <f>IF(T11&gt;T9,1,0)</f>
        <v>1</v>
      </c>
      <c r="V11" s="54"/>
      <c r="W11" s="45"/>
      <c r="X11" s="27">
        <f>IF(W11&gt;W9,1,0)</f>
        <v>0</v>
      </c>
      <c r="Y11" s="27">
        <f>IF(Q11="",0,1)</f>
        <v>1</v>
      </c>
      <c r="Z11" s="27">
        <f>IF(R11+U11=2,3,IF(R11+U11=1,1,0))</f>
        <v>3</v>
      </c>
      <c r="AA11" s="27">
        <f>IF(Z11=3,3,IF(X11+Z11=2,2,IF(Z11=1,1,0)))</f>
        <v>3</v>
      </c>
      <c r="AB11" s="27">
        <f>Q11+T11</f>
        <v>12</v>
      </c>
      <c r="AC11" s="27">
        <f>R11+U11+X11</f>
        <v>2</v>
      </c>
      <c r="AD11" s="27"/>
      <c r="AE11" s="96" t="str">
        <f>'Players - Men'!B15</f>
        <v>Kristen Cachia</v>
      </c>
      <c r="AF11" s="47">
        <f>J11+Y25+J25+Y21+J21</f>
        <v>5</v>
      </c>
      <c r="AG11" s="47">
        <f t="shared" ref="AG11:AI11" si="2">L11+AA25+L25+AA21+L21</f>
        <v>9</v>
      </c>
      <c r="AH11" s="47">
        <f t="shared" si="2"/>
        <v>50</v>
      </c>
      <c r="AI11" s="48">
        <f t="shared" si="2"/>
        <v>6</v>
      </c>
      <c r="AJ11" s="36"/>
      <c r="AK11" s="36"/>
      <c r="AL11" s="27"/>
    </row>
    <row r="12" ht="15.0" customHeight="1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36"/>
      <c r="AG12" s="36"/>
      <c r="AH12" s="36"/>
      <c r="AI12" s="36"/>
      <c r="AJ12" s="36"/>
      <c r="AK12" s="36"/>
      <c r="AL12" s="27"/>
    </row>
    <row r="13" ht="15.0" customHeight="1">
      <c r="A13" s="41" t="str">
        <f>AE9</f>
        <v>Tobias Kristensen</v>
      </c>
      <c r="B13" s="42">
        <v>4.0</v>
      </c>
      <c r="C13" s="43">
        <f>IF(B13&gt;B15,1,0)</f>
        <v>0</v>
      </c>
      <c r="D13" s="44"/>
      <c r="E13" s="42">
        <v>3.0</v>
      </c>
      <c r="F13" s="43">
        <f>IF(E13&gt;E15,1,0)</f>
        <v>0</v>
      </c>
      <c r="G13" s="44"/>
      <c r="H13" s="45"/>
      <c r="I13" s="27">
        <f>IF(H13&gt;H15,1,0)</f>
        <v>0</v>
      </c>
      <c r="J13" s="27">
        <f>IF(B13="",0,1)</f>
        <v>1</v>
      </c>
      <c r="K13" s="27">
        <f>IF(C13+F13=2,3,IF(C13+F13=1,1,0))</f>
        <v>0</v>
      </c>
      <c r="L13" s="27">
        <f>IF(K13=3,3,IF(I13+K13=2,2,IF(K13=1,1,0)))</f>
        <v>0</v>
      </c>
      <c r="M13" s="27">
        <f>B13+E13</f>
        <v>7</v>
      </c>
      <c r="N13" s="27">
        <f>C13+F13+I13</f>
        <v>0</v>
      </c>
      <c r="O13" s="27"/>
      <c r="P13" s="41" t="str">
        <f>AE9</f>
        <v>Tobias Kristensen</v>
      </c>
      <c r="Q13" s="42">
        <v>1.0</v>
      </c>
      <c r="R13" s="43">
        <f>IF(Q13&gt;Q15,1,0)</f>
        <v>0</v>
      </c>
      <c r="S13" s="44"/>
      <c r="T13" s="42">
        <v>6.0</v>
      </c>
      <c r="U13" s="43">
        <f>IF(T13&gt;T15,1,0)</f>
        <v>1</v>
      </c>
      <c r="V13" s="44"/>
      <c r="W13" s="42">
        <v>7.0</v>
      </c>
      <c r="X13" s="27">
        <f>IF(W13&gt;W15,1,0)</f>
        <v>0</v>
      </c>
      <c r="Y13" s="27">
        <f>IF(Q13="",0,1)</f>
        <v>1</v>
      </c>
      <c r="Z13" s="27">
        <f>IF(R13+U13=2,3,IF(R13+U13=1,1,0))</f>
        <v>1</v>
      </c>
      <c r="AA13" s="27">
        <f>IF(Z13=3,3,IF(X13+Z13=2,2,IF(Z13=1,1,0)))</f>
        <v>1</v>
      </c>
      <c r="AB13" s="27">
        <f>Q13+T13</f>
        <v>7</v>
      </c>
      <c r="AC13" s="27">
        <f>R13+U13+X13</f>
        <v>1</v>
      </c>
      <c r="AD13" s="27"/>
      <c r="AE13" s="96" t="str">
        <f>'Players - Men'!B16</f>
        <v>Justin Graeme Christie</v>
      </c>
      <c r="AF13" s="47">
        <f>Y29+Y11+Y33+J33+J23</f>
        <v>5</v>
      </c>
      <c r="AG13" s="47">
        <f t="shared" ref="AG13:AI13" si="3">AA29+AA11+AA33+L33+L23</f>
        <v>13</v>
      </c>
      <c r="AH13" s="47">
        <f t="shared" si="3"/>
        <v>57</v>
      </c>
      <c r="AI13" s="48">
        <f t="shared" si="3"/>
        <v>9</v>
      </c>
      <c r="AJ13" s="36"/>
      <c r="AK13" s="36"/>
      <c r="AL13" s="27"/>
    </row>
    <row r="14" ht="15.0" customHeight="1">
      <c r="A14" s="49" t="s">
        <v>78</v>
      </c>
      <c r="H14" s="50"/>
      <c r="I14" s="51"/>
      <c r="J14" s="27"/>
      <c r="K14" s="27"/>
      <c r="L14" s="27"/>
      <c r="M14" s="27"/>
      <c r="N14" s="27"/>
      <c r="O14" s="27"/>
      <c r="P14" s="49" t="s">
        <v>78</v>
      </c>
      <c r="W14" s="50"/>
      <c r="X14" s="51"/>
      <c r="Y14" s="27"/>
      <c r="Z14" s="27"/>
      <c r="AA14" s="27"/>
      <c r="AB14" s="27"/>
      <c r="AC14" s="27"/>
      <c r="AD14" s="27"/>
      <c r="AE14" s="27"/>
      <c r="AF14" s="36"/>
      <c r="AG14" s="36"/>
      <c r="AH14" s="36"/>
      <c r="AI14" s="36"/>
      <c r="AJ14" s="36"/>
      <c r="AK14" s="36"/>
      <c r="AL14" s="27"/>
    </row>
    <row r="15" ht="15.0" customHeight="1">
      <c r="A15" s="52" t="str">
        <f>AE15</f>
        <v>Emman Xuereb</v>
      </c>
      <c r="B15" s="42">
        <v>6.0</v>
      </c>
      <c r="C15" s="53">
        <f>IF(B15&gt;B13,1,0)</f>
        <v>1</v>
      </c>
      <c r="D15" s="54"/>
      <c r="E15" s="42">
        <v>6.0</v>
      </c>
      <c r="F15" s="53">
        <f>IF(E15&gt;E13,1,0)</f>
        <v>1</v>
      </c>
      <c r="G15" s="54"/>
      <c r="H15" s="45"/>
      <c r="I15" s="27">
        <f>IF(H15&gt;H13,1,0)</f>
        <v>0</v>
      </c>
      <c r="J15" s="27">
        <f>IF(B15="",0,1)</f>
        <v>1</v>
      </c>
      <c r="K15" s="27">
        <f>IF(C15+F15=2,3,IF(C15+F15=1,1,0))</f>
        <v>3</v>
      </c>
      <c r="L15" s="27">
        <f>IF(K15=3,3,IF(I15+K15=2,2,IF(K15=1,1,0)))</f>
        <v>3</v>
      </c>
      <c r="M15" s="27">
        <f>B15+E15</f>
        <v>12</v>
      </c>
      <c r="N15" s="27">
        <f>C15+F15+I15</f>
        <v>2</v>
      </c>
      <c r="O15" s="27"/>
      <c r="P15" s="52" t="str">
        <f>AE17</f>
        <v>Ivan Cassar</v>
      </c>
      <c r="Q15" s="42">
        <v>6.0</v>
      </c>
      <c r="R15" s="53">
        <f>IF(Q15&gt;Q13,1,0)</f>
        <v>1</v>
      </c>
      <c r="S15" s="54"/>
      <c r="T15" s="42">
        <v>1.0</v>
      </c>
      <c r="U15" s="53">
        <f>IF(T15&gt;T13,1,0)</f>
        <v>0</v>
      </c>
      <c r="V15" s="54"/>
      <c r="W15" s="42">
        <v>10.0</v>
      </c>
      <c r="X15" s="27">
        <f>IF(W15&gt;W13,1,0)</f>
        <v>1</v>
      </c>
      <c r="Y15" s="27">
        <f>IF(Q15="",0,1)</f>
        <v>1</v>
      </c>
      <c r="Z15" s="27">
        <f>IF(R15+U15=2,3,IF(R15+U15=1,1,0))</f>
        <v>1</v>
      </c>
      <c r="AA15" s="27">
        <f>IF(Z15=3,3,IF(X15+Z15=2,2,IF(Z15=1,1,0)))</f>
        <v>2</v>
      </c>
      <c r="AB15" s="27">
        <f>Q15+T15</f>
        <v>7</v>
      </c>
      <c r="AC15" s="27">
        <f>R15+U15+X15</f>
        <v>2</v>
      </c>
      <c r="AD15" s="27"/>
      <c r="AE15" s="96" t="str">
        <f>'Players - Men'!B17</f>
        <v>Emman Xuereb</v>
      </c>
      <c r="AF15" s="47">
        <f>Y31+J37+J15+Y23+J29</f>
        <v>5</v>
      </c>
      <c r="AG15" s="47">
        <f t="shared" ref="AG15:AI15" si="4">AA31+L37+L15+AA23+L29</f>
        <v>13</v>
      </c>
      <c r="AH15" s="47">
        <f t="shared" si="4"/>
        <v>59</v>
      </c>
      <c r="AI15" s="48">
        <f t="shared" si="4"/>
        <v>10</v>
      </c>
      <c r="AJ15" s="36"/>
      <c r="AK15" s="36"/>
      <c r="AL15" s="27"/>
    </row>
    <row r="16" ht="15.0" customHeight="1">
      <c r="A16" s="27"/>
      <c r="B16" s="36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36"/>
      <c r="AG16" s="36"/>
      <c r="AH16" s="36"/>
      <c r="AI16" s="36"/>
      <c r="AJ16" s="36"/>
      <c r="AK16" s="36"/>
      <c r="AL16" s="27"/>
    </row>
    <row r="17" ht="15.0" customHeight="1">
      <c r="A17" s="41" t="str">
        <f>AE9</f>
        <v>Tobias Kristensen</v>
      </c>
      <c r="B17" s="42">
        <v>6.0</v>
      </c>
      <c r="C17" s="43">
        <f>IF(B17&gt;B19,1,0)</f>
        <v>0</v>
      </c>
      <c r="D17" s="44"/>
      <c r="E17" s="42">
        <v>3.0</v>
      </c>
      <c r="F17" s="43">
        <f>IF(E17&gt;E19,1,0)</f>
        <v>0</v>
      </c>
      <c r="G17" s="44"/>
      <c r="H17" s="45"/>
      <c r="I17" s="27">
        <f>IF(H17&gt;H19,1,0)</f>
        <v>0</v>
      </c>
      <c r="J17" s="27">
        <f>IF(B17="",0,1)</f>
        <v>1</v>
      </c>
      <c r="K17" s="27">
        <f>IF(C17+F17=2,3,IF(C17+F17=1,1,0))</f>
        <v>0</v>
      </c>
      <c r="L17" s="27">
        <f>IF(K17=3,3,IF(I17+K17=2,2,IF(K17=1,1,0)))</f>
        <v>0</v>
      </c>
      <c r="M17" s="27">
        <f>B17+E17</f>
        <v>9</v>
      </c>
      <c r="N17" s="27">
        <f>C17+F17+I17</f>
        <v>0</v>
      </c>
      <c r="O17" s="27"/>
      <c r="P17" s="41" t="str">
        <f>AE17</f>
        <v>Ivan Cassar</v>
      </c>
      <c r="Q17" s="42">
        <v>4.0</v>
      </c>
      <c r="R17" s="43">
        <f>IF(Q17&gt;Q19,1,0)</f>
        <v>0</v>
      </c>
      <c r="S17" s="44"/>
      <c r="T17" s="42">
        <v>2.0</v>
      </c>
      <c r="U17" s="43">
        <f>IF(T17&gt;T19,1,0)</f>
        <v>0</v>
      </c>
      <c r="V17" s="44"/>
      <c r="W17" s="45"/>
      <c r="X17" s="27">
        <f>IF(W17&gt;W19,1,0)</f>
        <v>0</v>
      </c>
      <c r="Y17" s="27">
        <f>IF(Q17="",0,1)</f>
        <v>1</v>
      </c>
      <c r="Z17" s="27">
        <f>IF(R17+U17=2,3,IF(R17+U17=1,1,0))</f>
        <v>0</v>
      </c>
      <c r="AA17" s="27">
        <f>IF(Z17=3,3,IF(X17+Z17=2,2,IF(Z17=1,1,0)))</f>
        <v>0</v>
      </c>
      <c r="AB17" s="27">
        <f>Q17+T17</f>
        <v>6</v>
      </c>
      <c r="AC17" s="27">
        <f>R17+U17+X17</f>
        <v>0</v>
      </c>
      <c r="AD17" s="27"/>
      <c r="AE17" s="96" t="str">
        <f>'Players - Men'!B18</f>
        <v>Ivan Cassar</v>
      </c>
      <c r="AF17" s="47">
        <f>Y17+J39+J27+Y15+J35</f>
        <v>5</v>
      </c>
      <c r="AG17" s="47">
        <f t="shared" ref="AG17:AI17" si="5">AA17+L39+L27+AA15+L35</f>
        <v>2</v>
      </c>
      <c r="AH17" s="47">
        <f t="shared" si="5"/>
        <v>23</v>
      </c>
      <c r="AI17" s="48">
        <f t="shared" si="5"/>
        <v>2</v>
      </c>
      <c r="AJ17" s="36"/>
      <c r="AK17" s="36"/>
      <c r="AL17" s="27"/>
    </row>
    <row r="18" ht="15.0" customHeight="1">
      <c r="A18" s="49" t="s">
        <v>78</v>
      </c>
      <c r="H18" s="50"/>
      <c r="I18" s="51"/>
      <c r="J18" s="27"/>
      <c r="K18" s="27"/>
      <c r="L18" s="27"/>
      <c r="M18" s="27"/>
      <c r="N18" s="27"/>
      <c r="O18" s="27"/>
      <c r="P18" s="49" t="s">
        <v>78</v>
      </c>
      <c r="W18" s="50"/>
      <c r="X18" s="51"/>
      <c r="Y18" s="27"/>
      <c r="Z18" s="27"/>
      <c r="AA18" s="27"/>
      <c r="AB18" s="27"/>
      <c r="AC18" s="27"/>
      <c r="AD18" s="27"/>
      <c r="AE18" s="27"/>
      <c r="AF18" s="36"/>
      <c r="AG18" s="36"/>
      <c r="AH18" s="36"/>
      <c r="AI18" s="36"/>
      <c r="AJ18" s="36"/>
      <c r="AK18" s="36"/>
      <c r="AL18" s="27"/>
    </row>
    <row r="19" ht="15.0" customHeight="1">
      <c r="A19" s="52" t="str">
        <f>AE19</f>
        <v>Kyle Magro</v>
      </c>
      <c r="B19" s="42">
        <v>7.0</v>
      </c>
      <c r="C19" s="53">
        <f>IF(B19&gt;B17,1,0)</f>
        <v>1</v>
      </c>
      <c r="D19" s="54"/>
      <c r="E19" s="42">
        <v>6.0</v>
      </c>
      <c r="F19" s="53">
        <f>IF(E19&gt;E17,1,0)</f>
        <v>1</v>
      </c>
      <c r="G19" s="54"/>
      <c r="H19" s="45"/>
      <c r="I19" s="27">
        <f>IF(H19&gt;H17,1,0)</f>
        <v>0</v>
      </c>
      <c r="J19" s="27">
        <f>IF(B19="",0,1)</f>
        <v>1</v>
      </c>
      <c r="K19" s="27">
        <f>IF(C19+F19=2,3,IF(C19+F19=1,1,0))</f>
        <v>3</v>
      </c>
      <c r="L19" s="27">
        <f>IF(K19=3,3,IF(I19+K19=2,2,IF(K19=1,1,0)))</f>
        <v>3</v>
      </c>
      <c r="M19" s="27">
        <f>B19+E19</f>
        <v>13</v>
      </c>
      <c r="N19" s="27">
        <f>C19+F19+I19</f>
        <v>2</v>
      </c>
      <c r="O19" s="27"/>
      <c r="P19" s="52" t="str">
        <f>AE19</f>
        <v>Kyle Magro</v>
      </c>
      <c r="Q19" s="42">
        <v>6.0</v>
      </c>
      <c r="R19" s="53">
        <f>IF(Q19&gt;Q17,1,0)</f>
        <v>1</v>
      </c>
      <c r="S19" s="54"/>
      <c r="T19" s="42">
        <v>6.0</v>
      </c>
      <c r="U19" s="53">
        <f>IF(T19&gt;T17,1,0)</f>
        <v>1</v>
      </c>
      <c r="V19" s="54"/>
      <c r="W19" s="45"/>
      <c r="X19" s="27">
        <f>IF(W19&gt;W17,1,0)</f>
        <v>0</v>
      </c>
      <c r="Y19" s="27">
        <f>IF(Q19="",0,1)</f>
        <v>1</v>
      </c>
      <c r="Z19" s="27">
        <f>IF(R19+U19=2,3,IF(R19+U19=1,1,0))</f>
        <v>3</v>
      </c>
      <c r="AA19" s="27">
        <f>IF(Z19=3,3,IF(X19+Z19=2,2,IF(Z19=1,1,0)))</f>
        <v>3</v>
      </c>
      <c r="AB19" s="27">
        <f>Q19+T19</f>
        <v>12</v>
      </c>
      <c r="AC19" s="27">
        <f>R19+U19+X19</f>
        <v>2</v>
      </c>
      <c r="AD19" s="27"/>
      <c r="AE19" s="96" t="str">
        <f>'Players - Men'!B19</f>
        <v>Kyle Magro</v>
      </c>
      <c r="AF19" s="47">
        <f>Y19+Y27+Y35+J19+J31</f>
        <v>5</v>
      </c>
      <c r="AG19" s="47">
        <f>AA19+AA35+L31+AA27+L19</f>
        <v>7</v>
      </c>
      <c r="AH19" s="47">
        <f t="shared" ref="AH19:AI19" si="6">AB19+AB27+AB35+M19+M31</f>
        <v>46</v>
      </c>
      <c r="AI19" s="48">
        <f t="shared" si="6"/>
        <v>5</v>
      </c>
      <c r="AJ19" s="27"/>
      <c r="AK19" s="36"/>
      <c r="AL19" s="27"/>
    </row>
    <row r="20" ht="15.0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</row>
    <row r="21" ht="15.0" customHeight="1">
      <c r="A21" s="41" t="str">
        <f>AE11</f>
        <v>Kristen Cachia</v>
      </c>
      <c r="B21" s="42">
        <v>3.0</v>
      </c>
      <c r="C21" s="43">
        <f>IF(B21&gt;B23,1,0)</f>
        <v>0</v>
      </c>
      <c r="D21" s="44"/>
      <c r="E21" s="42">
        <v>4.0</v>
      </c>
      <c r="F21" s="43">
        <f>IF(E21&gt;E23,1,0)</f>
        <v>0</v>
      </c>
      <c r="G21" s="44"/>
      <c r="H21" s="45"/>
      <c r="I21" s="27">
        <f>IF(H21&gt;H23,1,0)</f>
        <v>0</v>
      </c>
      <c r="J21" s="27">
        <f>IF(B21="",0,1)</f>
        <v>1</v>
      </c>
      <c r="K21" s="27">
        <f>IF(C21+F21=2,3,IF(C21+F21=1,1,0))</f>
        <v>0</v>
      </c>
      <c r="L21" s="27">
        <f>IF(K21=3,3,IF(I21+K21=2,2,IF(K21=1,1,0)))</f>
        <v>0</v>
      </c>
      <c r="M21" s="27">
        <f>B21+E21</f>
        <v>7</v>
      </c>
      <c r="N21" s="27">
        <f>C21+F21+I21</f>
        <v>0</v>
      </c>
      <c r="O21" s="27"/>
      <c r="P21" s="41" t="str">
        <f>AE11</f>
        <v>Kristen Cachia</v>
      </c>
      <c r="Q21" s="42">
        <v>3.0</v>
      </c>
      <c r="R21" s="43">
        <f>IF(Q21&gt;Q23,1,0)</f>
        <v>0</v>
      </c>
      <c r="S21" s="44"/>
      <c r="T21" s="42">
        <v>3.0</v>
      </c>
      <c r="U21" s="43">
        <f>IF(T21&gt;T23,1,0)</f>
        <v>0</v>
      </c>
      <c r="V21" s="44"/>
      <c r="W21" s="45"/>
      <c r="X21" s="27">
        <f>IF(W21&gt;W23,1,0)</f>
        <v>0</v>
      </c>
      <c r="Y21" s="27">
        <f>IF(Q21="",0,1)</f>
        <v>1</v>
      </c>
      <c r="Z21" s="27">
        <f>IF(R21+U21=2,3,IF(R21+U21=1,1,0))</f>
        <v>0</v>
      </c>
      <c r="AA21" s="27">
        <f>IF(Z21=3,3,IF(X21+Z21=2,2,IF(Z21=1,1,0)))</f>
        <v>0</v>
      </c>
      <c r="AB21" s="27">
        <f>Q21+T21</f>
        <v>6</v>
      </c>
      <c r="AC21" s="27">
        <f>R21+U21+X21</f>
        <v>0</v>
      </c>
      <c r="AD21" s="27"/>
      <c r="AE21" s="98" t="s">
        <v>79</v>
      </c>
      <c r="AF21" s="30"/>
      <c r="AG21" s="30"/>
      <c r="AH21" s="30"/>
      <c r="AI21" s="31"/>
      <c r="AJ21" s="27"/>
      <c r="AK21" s="27"/>
      <c r="AL21" s="27"/>
    </row>
    <row r="22" ht="15.0" customHeight="1">
      <c r="A22" s="49" t="s">
        <v>78</v>
      </c>
      <c r="H22" s="50"/>
      <c r="I22" s="51"/>
      <c r="J22" s="27"/>
      <c r="K22" s="27"/>
      <c r="L22" s="27"/>
      <c r="M22" s="27"/>
      <c r="N22" s="27"/>
      <c r="O22" s="27"/>
      <c r="P22" s="49" t="s">
        <v>78</v>
      </c>
      <c r="W22" s="50"/>
      <c r="X22" s="51"/>
      <c r="Y22" s="27"/>
      <c r="Z22" s="27"/>
      <c r="AA22" s="27"/>
      <c r="AB22" s="27"/>
      <c r="AC22" s="27"/>
      <c r="AD22" s="27"/>
      <c r="AE22" s="57" t="s">
        <v>23</v>
      </c>
      <c r="AF22" s="30"/>
      <c r="AG22" s="30"/>
      <c r="AH22" s="30"/>
      <c r="AI22" s="31"/>
      <c r="AJ22" s="27"/>
      <c r="AK22" s="27"/>
      <c r="AL22" s="27"/>
    </row>
    <row r="23" ht="15.0" customHeight="1">
      <c r="A23" s="52" t="str">
        <f>AE13</f>
        <v>Justin Graeme Christie</v>
      </c>
      <c r="B23" s="42">
        <v>6.0</v>
      </c>
      <c r="C23" s="53">
        <f>IF(B23&gt;B21,1,0)</f>
        <v>1</v>
      </c>
      <c r="D23" s="54"/>
      <c r="E23" s="42">
        <v>6.0</v>
      </c>
      <c r="F23" s="53">
        <f>IF(E23&gt;E21,1,0)</f>
        <v>1</v>
      </c>
      <c r="G23" s="54"/>
      <c r="H23" s="45"/>
      <c r="I23" s="27">
        <f>IF(H23&gt;H21,1,0)</f>
        <v>0</v>
      </c>
      <c r="J23" s="27">
        <f>IF(B23="",0,1)</f>
        <v>1</v>
      </c>
      <c r="K23" s="27">
        <f>IF(C23+F23=2,3,IF(C23+F23=1,1,0))</f>
        <v>3</v>
      </c>
      <c r="L23" s="27">
        <f>IF(K23=3,3,IF(I23+K23=2,2,IF(K23=1,1,0)))</f>
        <v>3</v>
      </c>
      <c r="M23" s="27">
        <f>B23+E23</f>
        <v>12</v>
      </c>
      <c r="N23" s="27">
        <f>C23+F23+I23</f>
        <v>2</v>
      </c>
      <c r="O23" s="27"/>
      <c r="P23" s="52" t="str">
        <f>AE15</f>
        <v>Emman Xuereb</v>
      </c>
      <c r="Q23" s="42">
        <v>6.0</v>
      </c>
      <c r="R23" s="53">
        <f>IF(Q23&gt;Q21,1,0)</f>
        <v>1</v>
      </c>
      <c r="S23" s="54"/>
      <c r="T23" s="42">
        <v>6.0</v>
      </c>
      <c r="U23" s="53">
        <f>IF(T23&gt;T21,1,0)</f>
        <v>1</v>
      </c>
      <c r="V23" s="54"/>
      <c r="W23" s="45"/>
      <c r="X23" s="27">
        <f>IF(W23&gt;W21,1,0)</f>
        <v>0</v>
      </c>
      <c r="Y23" s="27">
        <f>IF(Q23="",0,1)</f>
        <v>1</v>
      </c>
      <c r="Z23" s="27">
        <f>IF(R23+U23=2,3,IF(R23+U23=1,1,0))</f>
        <v>3</v>
      </c>
      <c r="AA23" s="27">
        <f>IF(Z23=3,3,IF(X23+Z23=2,2,IF(Z23=1,1,0)))</f>
        <v>3</v>
      </c>
      <c r="AB23" s="27">
        <f>Q23+T23</f>
        <v>12</v>
      </c>
      <c r="AC23" s="27">
        <f>R23+U23+X23</f>
        <v>2</v>
      </c>
      <c r="AD23" s="27"/>
      <c r="AE23" s="27"/>
      <c r="AF23" s="27"/>
      <c r="AG23" s="27"/>
      <c r="AH23" s="27"/>
      <c r="AI23" s="27"/>
      <c r="AJ23" s="27"/>
      <c r="AK23" s="27"/>
      <c r="AL23" s="27"/>
    </row>
    <row r="24" ht="15.0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</row>
    <row r="25" ht="15.0" customHeight="1">
      <c r="A25" s="41" t="str">
        <f>AE11</f>
        <v>Kristen Cachia</v>
      </c>
      <c r="B25" s="42">
        <v>6.0</v>
      </c>
      <c r="C25" s="43">
        <f>IF(B25&gt;B27,1,0)</f>
        <v>1</v>
      </c>
      <c r="D25" s="44"/>
      <c r="E25" s="42">
        <v>7.0</v>
      </c>
      <c r="F25" s="43">
        <f>IF(E25&gt;E27,1,0)</f>
        <v>1</v>
      </c>
      <c r="G25" s="44"/>
      <c r="H25" s="45"/>
      <c r="I25" s="27">
        <f>IF(H25&gt;H27,1,0)</f>
        <v>0</v>
      </c>
      <c r="J25" s="27">
        <f>IF(B25="",0,1)</f>
        <v>1</v>
      </c>
      <c r="K25" s="27">
        <f>IF(C25+F25=2,3,IF(C25+F25=1,1,0))</f>
        <v>3</v>
      </c>
      <c r="L25" s="27">
        <f>IF(K25=3,3,IF(I25+K25=2,2,IF(K25=1,1,0)))</f>
        <v>3</v>
      </c>
      <c r="M25" s="27">
        <f>B25+E25</f>
        <v>13</v>
      </c>
      <c r="N25" s="27">
        <f>C25+F25+I25</f>
        <v>2</v>
      </c>
      <c r="O25" s="27"/>
      <c r="P25" s="41" t="str">
        <f>AE11</f>
        <v>Kristen Cachia</v>
      </c>
      <c r="Q25" s="42">
        <v>6.0</v>
      </c>
      <c r="R25" s="43">
        <f>IF(Q25&gt;Q27,1,0)</f>
        <v>1</v>
      </c>
      <c r="S25" s="44"/>
      <c r="T25" s="42">
        <v>6.0</v>
      </c>
      <c r="U25" s="43">
        <f>IF(T25&gt;T27,1,0)</f>
        <v>1</v>
      </c>
      <c r="V25" s="44"/>
      <c r="W25" s="45"/>
      <c r="X25" s="27">
        <f>IF(W25&gt;W27,1,0)</f>
        <v>0</v>
      </c>
      <c r="Y25" s="27">
        <f>IF(Q25="",0,1)</f>
        <v>1</v>
      </c>
      <c r="Z25" s="27">
        <f>IF(R25+U25=2,3,IF(R25+U25=1,1,0))</f>
        <v>3</v>
      </c>
      <c r="AA25" s="27">
        <f>IF(Z25=3,3,IF(X25+Z25=2,2,IF(Z25=1,1,0)))</f>
        <v>3</v>
      </c>
      <c r="AB25" s="27">
        <f>Q25+T25</f>
        <v>12</v>
      </c>
      <c r="AC25" s="27">
        <f>R25+U25+X25</f>
        <v>2</v>
      </c>
      <c r="AD25" s="27"/>
      <c r="AE25" s="27"/>
      <c r="AF25" s="27"/>
      <c r="AG25" s="27"/>
      <c r="AH25" s="27"/>
      <c r="AI25" s="27"/>
      <c r="AJ25" s="27"/>
      <c r="AK25" s="27"/>
      <c r="AL25" s="27"/>
    </row>
    <row r="26" ht="15.0" customHeight="1">
      <c r="A26" s="49" t="s">
        <v>78</v>
      </c>
      <c r="H26" s="50"/>
      <c r="I26" s="51"/>
      <c r="J26" s="27"/>
      <c r="K26" s="27"/>
      <c r="L26" s="27"/>
      <c r="M26" s="27"/>
      <c r="N26" s="27"/>
      <c r="O26" s="27"/>
      <c r="P26" s="49" t="s">
        <v>78</v>
      </c>
      <c r="W26" s="50"/>
      <c r="X26" s="51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</row>
    <row r="27" ht="15.0" customHeight="1">
      <c r="A27" s="52" t="str">
        <f>AE17</f>
        <v>Ivan Cassar</v>
      </c>
      <c r="B27" s="42">
        <v>1.0</v>
      </c>
      <c r="C27" s="53">
        <f>IF(B27&gt;B25,1,0)</f>
        <v>0</v>
      </c>
      <c r="D27" s="54"/>
      <c r="E27" s="42">
        <v>5.0</v>
      </c>
      <c r="F27" s="53">
        <f>IF(E27&gt;E25,1,0)</f>
        <v>0</v>
      </c>
      <c r="G27" s="54"/>
      <c r="H27" s="45"/>
      <c r="I27" s="27">
        <f>IF(H27&gt;H25,1,0)</f>
        <v>0</v>
      </c>
      <c r="J27" s="27">
        <f>IF(B27="",0,1)</f>
        <v>1</v>
      </c>
      <c r="K27" s="27">
        <f>IF(C27+F27=2,3,IF(C27+F27=1,1,0))</f>
        <v>0</v>
      </c>
      <c r="L27" s="27">
        <f>IF(K27=3,3,IF(I27+K27=2,2,IF(K27=1,1,0)))</f>
        <v>0</v>
      </c>
      <c r="M27" s="27">
        <f>B27+E27</f>
        <v>6</v>
      </c>
      <c r="N27" s="27">
        <f>C27+F27+I27</f>
        <v>0</v>
      </c>
      <c r="O27" s="27"/>
      <c r="P27" s="52" t="str">
        <f>AE19</f>
        <v>Kyle Magro</v>
      </c>
      <c r="Q27" s="42">
        <v>2.0</v>
      </c>
      <c r="R27" s="53">
        <f>IF(Q27&gt;Q25,1,0)</f>
        <v>0</v>
      </c>
      <c r="S27" s="54"/>
      <c r="T27" s="42">
        <v>2.0</v>
      </c>
      <c r="U27" s="53">
        <f>IF(T27&gt;T25,1,0)</f>
        <v>0</v>
      </c>
      <c r="V27" s="54"/>
      <c r="W27" s="45"/>
      <c r="X27" s="27">
        <f>IF(W27&gt;W25,1,0)</f>
        <v>0</v>
      </c>
      <c r="Y27" s="27">
        <f>IF(Q27="",0,1)</f>
        <v>1</v>
      </c>
      <c r="Z27" s="27">
        <f>IF(R27+U27=2,3,IF(R27+U27=1,1,0))</f>
        <v>0</v>
      </c>
      <c r="AA27" s="27">
        <f>IF(Z27=3,3,IF(X27+Z27=2,2,IF(Z27=1,1,0)))</f>
        <v>0</v>
      </c>
      <c r="AB27" s="27">
        <f>Q27+T27</f>
        <v>4</v>
      </c>
      <c r="AC27" s="27">
        <f>R27+U27+X27</f>
        <v>0</v>
      </c>
      <c r="AD27" s="27"/>
      <c r="AE27" s="27"/>
      <c r="AF27" s="27"/>
      <c r="AG27" s="27"/>
      <c r="AH27" s="27"/>
      <c r="AI27" s="27"/>
      <c r="AJ27" s="27"/>
      <c r="AK27" s="27"/>
      <c r="AL27" s="27"/>
    </row>
    <row r="28" ht="15.0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36"/>
      <c r="AI28" s="27"/>
      <c r="AJ28" s="27"/>
      <c r="AK28" s="27"/>
      <c r="AL28" s="27"/>
    </row>
    <row r="29" ht="15.0" customHeight="1">
      <c r="A29" s="41" t="str">
        <f>AE15</f>
        <v>Emman Xuereb</v>
      </c>
      <c r="B29" s="42">
        <v>4.0</v>
      </c>
      <c r="C29" s="43">
        <f>IF(B29&gt;B31,1,0)</f>
        <v>0</v>
      </c>
      <c r="D29" s="44"/>
      <c r="E29" s="42">
        <v>7.0</v>
      </c>
      <c r="F29" s="43">
        <f>IF(E29&gt;E31,1,0)</f>
        <v>1</v>
      </c>
      <c r="G29" s="44"/>
      <c r="H29" s="42">
        <v>10.0</v>
      </c>
      <c r="I29" s="27">
        <f>IF(H29&gt;H31,1,0)</f>
        <v>1</v>
      </c>
      <c r="J29" s="27">
        <f>IF(B29="",0,1)</f>
        <v>1</v>
      </c>
      <c r="K29" s="27">
        <f>IF(C29+F29=2,3,IF(C29+F29=1,1,0))</f>
        <v>1</v>
      </c>
      <c r="L29" s="27">
        <f>IF(K29=3,3,IF(I29+K29=2,2,IF(K29=1,1,0)))</f>
        <v>2</v>
      </c>
      <c r="M29" s="27">
        <f>B29+E29</f>
        <v>11</v>
      </c>
      <c r="N29" s="27">
        <f>C29+F29+I29</f>
        <v>2</v>
      </c>
      <c r="O29" s="27"/>
      <c r="P29" s="41" t="str">
        <f>AE13</f>
        <v>Justin Graeme Christie</v>
      </c>
      <c r="Q29" s="42">
        <v>2.0</v>
      </c>
      <c r="R29" s="43">
        <f>IF(Q29&gt;Q31,1,0)</f>
        <v>0</v>
      </c>
      <c r="S29" s="44"/>
      <c r="T29" s="42">
        <v>7.0</v>
      </c>
      <c r="U29" s="43">
        <f>IF(T29&gt;T31,1,0)</f>
        <v>1</v>
      </c>
      <c r="V29" s="44"/>
      <c r="W29" s="42">
        <v>6.0</v>
      </c>
      <c r="X29" s="27">
        <f>IF(W29&gt;W31,1,0)</f>
        <v>0</v>
      </c>
      <c r="Y29" s="27">
        <f>IF(Q29="",0,1)</f>
        <v>1</v>
      </c>
      <c r="Z29" s="27">
        <f>IF(R29+U29=2,3,IF(R29+U29=1,1,0))</f>
        <v>1</v>
      </c>
      <c r="AA29" s="27">
        <f>IF(Z29=3,3,IF(X29+Z29=2,2,IF(Z29=1,1,0)))</f>
        <v>1</v>
      </c>
      <c r="AB29" s="27">
        <f>Q29+T29</f>
        <v>9</v>
      </c>
      <c r="AC29" s="27">
        <f>R29+U29+X29</f>
        <v>1</v>
      </c>
      <c r="AD29" s="27"/>
      <c r="AE29" s="27"/>
      <c r="AF29" s="27"/>
      <c r="AG29" s="27"/>
      <c r="AH29" s="27"/>
      <c r="AI29" s="27"/>
      <c r="AJ29" s="27"/>
      <c r="AK29" s="27"/>
      <c r="AL29" s="27"/>
    </row>
    <row r="30" ht="15.0" customHeight="1">
      <c r="A30" s="49" t="s">
        <v>78</v>
      </c>
      <c r="H30" s="50"/>
      <c r="I30" s="51"/>
      <c r="J30" s="27"/>
      <c r="K30" s="27"/>
      <c r="L30" s="27"/>
      <c r="M30" s="27"/>
      <c r="N30" s="27"/>
      <c r="O30" s="27"/>
      <c r="P30" s="49" t="s">
        <v>78</v>
      </c>
      <c r="W30" s="50"/>
      <c r="X30" s="51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58"/>
      <c r="AL30" s="27"/>
    </row>
    <row r="31" ht="15.0" customHeight="1">
      <c r="A31" s="52" t="str">
        <f>AE19</f>
        <v>Kyle Magro</v>
      </c>
      <c r="B31" s="42">
        <v>6.0</v>
      </c>
      <c r="C31" s="53">
        <f>IF(B31&gt;B29,1,0)</f>
        <v>1</v>
      </c>
      <c r="D31" s="54"/>
      <c r="E31" s="42">
        <v>6.0</v>
      </c>
      <c r="F31" s="53">
        <f>IF(E31&gt;E29,1,0)</f>
        <v>0</v>
      </c>
      <c r="G31" s="54"/>
      <c r="H31" s="42">
        <v>7.0</v>
      </c>
      <c r="I31" s="27">
        <f>IF(H31&gt;H29,1,0)</f>
        <v>0</v>
      </c>
      <c r="J31" s="27">
        <f>IF(B31="",0,1)</f>
        <v>1</v>
      </c>
      <c r="K31" s="27">
        <f>IF(C31+F31=2,3,IF(C31+F31=1,1,0))</f>
        <v>1</v>
      </c>
      <c r="L31" s="27">
        <f>IF(K31=3,3,IF(I31+K31=2,2,IF(K31=1,1,0)))</f>
        <v>1</v>
      </c>
      <c r="M31" s="27">
        <f>B31+E31</f>
        <v>12</v>
      </c>
      <c r="N31" s="27">
        <f>C31+F31+I31</f>
        <v>1</v>
      </c>
      <c r="O31" s="27"/>
      <c r="P31" s="52" t="str">
        <f>AE15</f>
        <v>Emman Xuereb</v>
      </c>
      <c r="Q31" s="42">
        <v>6.0</v>
      </c>
      <c r="R31" s="53">
        <f>IF(Q31&gt;Q29,1,0)</f>
        <v>1</v>
      </c>
      <c r="S31" s="54"/>
      <c r="T31" s="42">
        <v>6.0</v>
      </c>
      <c r="U31" s="53">
        <f>IF(T31&gt;T29,1,0)</f>
        <v>0</v>
      </c>
      <c r="V31" s="54"/>
      <c r="W31" s="42">
        <v>10.0</v>
      </c>
      <c r="X31" s="27">
        <f>IF(W31&gt;W29,1,0)</f>
        <v>1</v>
      </c>
      <c r="Y31" s="27">
        <f>IF(Q31="",0,1)</f>
        <v>1</v>
      </c>
      <c r="Z31" s="27">
        <f>IF(R31+U31=2,3,IF(R31+U31=1,1,0))</f>
        <v>1</v>
      </c>
      <c r="AA31" s="27">
        <f>IF(Z31=3,3,IF(X31+Z31=2,2,IF(Z31=1,1,0)))</f>
        <v>2</v>
      </c>
      <c r="AB31" s="27">
        <f>Q31+T31</f>
        <v>12</v>
      </c>
      <c r="AC31" s="27">
        <f>R31+U31+X31</f>
        <v>2</v>
      </c>
      <c r="AD31" s="27"/>
      <c r="AE31" s="27"/>
      <c r="AF31" s="27"/>
      <c r="AG31" s="27"/>
      <c r="AH31" s="27"/>
      <c r="AI31" s="27"/>
      <c r="AJ31" s="27"/>
      <c r="AK31" s="27"/>
      <c r="AL31" s="27"/>
    </row>
    <row r="32" ht="15.0" customHeight="1">
      <c r="A32" s="27"/>
      <c r="B32" s="27"/>
      <c r="C32" s="27"/>
      <c r="D32" s="27"/>
      <c r="E32" s="36"/>
      <c r="F32" s="27"/>
      <c r="G32" s="27"/>
      <c r="H32" s="36"/>
      <c r="I32" s="27"/>
      <c r="J32" s="36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36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58"/>
      <c r="AL32" s="27"/>
    </row>
    <row r="33" ht="15.0" customHeight="1">
      <c r="A33" s="41" t="str">
        <f>AE13</f>
        <v>Justin Graeme Christie</v>
      </c>
      <c r="B33" s="42">
        <v>6.0</v>
      </c>
      <c r="C33" s="43">
        <f>IF(B33&gt;B35,1,0)</f>
        <v>1</v>
      </c>
      <c r="D33" s="44"/>
      <c r="E33" s="42">
        <v>6.0</v>
      </c>
      <c r="F33" s="43">
        <f>IF(E33&gt;E35,1,0)</f>
        <v>1</v>
      </c>
      <c r="G33" s="44"/>
      <c r="H33" s="45"/>
      <c r="I33" s="27">
        <f>IF(H33&gt;H35,1,0)</f>
        <v>0</v>
      </c>
      <c r="J33" s="27">
        <f>IF(B33="",0,1)</f>
        <v>1</v>
      </c>
      <c r="K33" s="27">
        <f>IF(C33+F33=2,3,IF(C33+F33=1,1,0))</f>
        <v>3</v>
      </c>
      <c r="L33" s="27">
        <f>IF(K33=3,3,IF(I33+K33=2,2,IF(K33=1,1,0)))</f>
        <v>3</v>
      </c>
      <c r="M33" s="27">
        <f>B33+E33</f>
        <v>12</v>
      </c>
      <c r="N33" s="27">
        <f>C33+F33+I33</f>
        <v>2</v>
      </c>
      <c r="O33" s="27"/>
      <c r="P33" s="41" t="str">
        <f>AE13</f>
        <v>Justin Graeme Christie</v>
      </c>
      <c r="Q33" s="42">
        <v>6.0</v>
      </c>
      <c r="R33" s="43">
        <f>IF(Q33&gt;Q35,1,0)</f>
        <v>1</v>
      </c>
      <c r="S33" s="44"/>
      <c r="T33" s="42">
        <v>6.0</v>
      </c>
      <c r="U33" s="43">
        <f>IF(T33&gt;T35,1,0)</f>
        <v>1</v>
      </c>
      <c r="V33" s="44"/>
      <c r="W33" s="45"/>
      <c r="X33" s="27">
        <f>IF(W33&gt;W35,1,0)</f>
        <v>0</v>
      </c>
      <c r="Y33" s="27">
        <f>IF(Q33="",0,1)</f>
        <v>1</v>
      </c>
      <c r="Z33" s="27">
        <f>IF(R33+U33=2,3,IF(R33+U33=1,1,0))</f>
        <v>3</v>
      </c>
      <c r="AA33" s="27">
        <f>IF(Z33=3,3,IF(X33+Z33=2,2,IF(Z33=1,1,0)))</f>
        <v>3</v>
      </c>
      <c r="AB33" s="27">
        <f>Q33+T33</f>
        <v>12</v>
      </c>
      <c r="AC33" s="27">
        <f>R33+U33+X33</f>
        <v>2</v>
      </c>
      <c r="AD33" s="27"/>
      <c r="AE33" s="27"/>
      <c r="AF33" s="27"/>
      <c r="AG33" s="27"/>
      <c r="AH33" s="27"/>
      <c r="AI33" s="27"/>
      <c r="AJ33" s="27"/>
      <c r="AK33" s="27"/>
      <c r="AL33" s="27"/>
    </row>
    <row r="34" ht="15.0" customHeight="1">
      <c r="A34" s="49" t="s">
        <v>78</v>
      </c>
      <c r="H34" s="50"/>
      <c r="I34" s="51"/>
      <c r="J34" s="27"/>
      <c r="K34" s="27"/>
      <c r="L34" s="27"/>
      <c r="M34" s="27"/>
      <c r="N34" s="27"/>
      <c r="O34" s="27"/>
      <c r="P34" s="49" t="s">
        <v>78</v>
      </c>
      <c r="W34" s="50"/>
      <c r="X34" s="51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</row>
    <row r="35" ht="15.0" customHeight="1">
      <c r="A35" s="52" t="str">
        <f>AE17</f>
        <v>Ivan Cassar</v>
      </c>
      <c r="B35" s="42">
        <v>0.0</v>
      </c>
      <c r="C35" s="53">
        <f>IF(B35&gt;B33,1,0)</f>
        <v>0</v>
      </c>
      <c r="D35" s="54"/>
      <c r="E35" s="42">
        <v>0.0</v>
      </c>
      <c r="F35" s="53">
        <f>IF(E35&gt;E33,1,0)</f>
        <v>0</v>
      </c>
      <c r="G35" s="54"/>
      <c r="H35" s="45"/>
      <c r="I35" s="27">
        <f>IF(H35&gt;H33,1,0)</f>
        <v>0</v>
      </c>
      <c r="J35" s="27">
        <f>IF(B35="",0,1)</f>
        <v>1</v>
      </c>
      <c r="K35" s="27">
        <f>IF(C35+F35=2,3,IF(C35+F35=1,1,0))</f>
        <v>0</v>
      </c>
      <c r="L35" s="27">
        <f>IF(K35=3,3,IF(I35+K35=2,2,IF(K35=1,1,0)))</f>
        <v>0</v>
      </c>
      <c r="M35" s="27">
        <f>B35+E35</f>
        <v>0</v>
      </c>
      <c r="N35" s="27">
        <f>C35+F35+I35</f>
        <v>0</v>
      </c>
      <c r="O35" s="27"/>
      <c r="P35" s="52" t="str">
        <f>AE19</f>
        <v>Kyle Magro</v>
      </c>
      <c r="Q35" s="42">
        <v>3.0</v>
      </c>
      <c r="R35" s="53">
        <f>IF(Q35&gt;Q33,1,0)</f>
        <v>0</v>
      </c>
      <c r="S35" s="54"/>
      <c r="T35" s="42">
        <v>2.0</v>
      </c>
      <c r="U35" s="53">
        <f>IF(T35&gt;T33,1,0)</f>
        <v>0</v>
      </c>
      <c r="V35" s="54"/>
      <c r="W35" s="45"/>
      <c r="X35" s="27">
        <f>IF(W35&gt;W33,1,0)</f>
        <v>0</v>
      </c>
      <c r="Y35" s="27">
        <f>IF(Q35="",0,1)</f>
        <v>1</v>
      </c>
      <c r="Z35" s="27">
        <f>IF(R35+U35=2,3,IF(R35+U35=1,1,0))</f>
        <v>0</v>
      </c>
      <c r="AA35" s="27">
        <f>IF(Z35=3,3,IF(X35+Z35=2,2,IF(Z35=1,1,0)))</f>
        <v>0</v>
      </c>
      <c r="AB35" s="27">
        <f>Q35+T35</f>
        <v>5</v>
      </c>
      <c r="AC35" s="27">
        <f>R35+U35+X35</f>
        <v>0</v>
      </c>
      <c r="AD35" s="27"/>
      <c r="AE35" s="27"/>
      <c r="AF35" s="27"/>
      <c r="AG35" s="27"/>
      <c r="AH35" s="27"/>
      <c r="AI35" s="27"/>
      <c r="AJ35" s="27"/>
      <c r="AK35" s="27"/>
      <c r="AL35" s="27"/>
    </row>
    <row r="36" ht="15.0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36"/>
      <c r="AI36" s="27"/>
      <c r="AJ36" s="27"/>
      <c r="AK36" s="27"/>
      <c r="AL36" s="27"/>
    </row>
    <row r="37" ht="15.0" customHeight="1">
      <c r="A37" s="41" t="str">
        <f>AE15</f>
        <v>Emman Xuereb</v>
      </c>
      <c r="B37" s="42">
        <v>6.0</v>
      </c>
      <c r="C37" s="43">
        <f>IF(B37&gt;B39,1,0)</f>
        <v>1</v>
      </c>
      <c r="D37" s="44"/>
      <c r="E37" s="42">
        <v>6.0</v>
      </c>
      <c r="F37" s="43">
        <f>IF(E37&gt;E39,1,0)</f>
        <v>1</v>
      </c>
      <c r="G37" s="44"/>
      <c r="H37" s="45"/>
      <c r="I37" s="27">
        <f>IF(H37&gt;H39,1,0)</f>
        <v>0</v>
      </c>
      <c r="J37" s="27">
        <f>IF(B37="",0,1)</f>
        <v>1</v>
      </c>
      <c r="K37" s="27">
        <f>IF(C37+F37=2,3,IF(C37+F37=1,1,0))</f>
        <v>3</v>
      </c>
      <c r="L37" s="27">
        <f>IF(K37=3,3,IF(I37+K37=2,2,IF(K37=1,1,0)))</f>
        <v>3</v>
      </c>
      <c r="M37" s="27">
        <f>B37+E37</f>
        <v>12</v>
      </c>
      <c r="N37" s="27">
        <f>C37+F37+I37</f>
        <v>2</v>
      </c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</row>
    <row r="38" ht="15.0" customHeight="1">
      <c r="A38" s="49" t="s">
        <v>78</v>
      </c>
      <c r="H38" s="50"/>
      <c r="I38" s="51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59"/>
      <c r="AK38" s="27"/>
      <c r="AL38" s="27"/>
    </row>
    <row r="39" ht="15.0" customHeight="1">
      <c r="A39" s="52" t="str">
        <f>AE17</f>
        <v>Ivan Cassar</v>
      </c>
      <c r="B39" s="42">
        <v>0.0</v>
      </c>
      <c r="C39" s="53">
        <f>IF(B39&gt;B37,1,0)</f>
        <v>0</v>
      </c>
      <c r="D39" s="54"/>
      <c r="E39" s="42">
        <v>4.0</v>
      </c>
      <c r="F39" s="53">
        <f>IF(E39&gt;E37,1,0)</f>
        <v>0</v>
      </c>
      <c r="G39" s="54"/>
      <c r="H39" s="45"/>
      <c r="I39" s="27">
        <f>IF(H39&gt;H37,1,0)</f>
        <v>0</v>
      </c>
      <c r="J39" s="27">
        <f>IF(B39="",0,1)</f>
        <v>1</v>
      </c>
      <c r="K39" s="27">
        <f>IF(C39+F39=2,3,IF(C39+F39=1,1,0))</f>
        <v>0</v>
      </c>
      <c r="L39" s="27">
        <f>IF(K39=3,3,IF(I39+K39=2,2,IF(K39=1,1,0)))</f>
        <v>0</v>
      </c>
      <c r="M39" s="27">
        <f>B39+E39</f>
        <v>4</v>
      </c>
      <c r="N39" s="27">
        <f>C39+F39+I39</f>
        <v>0</v>
      </c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</row>
    <row r="40" ht="15.0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</row>
    <row r="41">
      <c r="A41" s="99" t="s">
        <v>87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6"/>
      <c r="AJ41" s="27"/>
      <c r="AK41" s="27"/>
      <c r="AL41" s="27"/>
    </row>
    <row r="42" ht="15.0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</row>
    <row r="43">
      <c r="A43" s="100" t="s">
        <v>58</v>
      </c>
      <c r="B43" s="101" t="s">
        <v>59</v>
      </c>
      <c r="C43" s="30"/>
      <c r="D43" s="30"/>
      <c r="E43" s="31"/>
      <c r="F43" s="65"/>
      <c r="G43" s="64"/>
      <c r="H43" s="100" t="s">
        <v>60</v>
      </c>
      <c r="I43" s="34"/>
      <c r="J43" s="34"/>
      <c r="K43" s="34"/>
      <c r="L43" s="34"/>
      <c r="M43" s="35"/>
      <c r="N43" s="35"/>
      <c r="O43" s="35"/>
      <c r="P43" s="100" t="s">
        <v>58</v>
      </c>
      <c r="Q43" s="101" t="s">
        <v>59</v>
      </c>
      <c r="R43" s="30"/>
      <c r="S43" s="30"/>
      <c r="T43" s="31"/>
      <c r="U43" s="65"/>
      <c r="V43" s="64"/>
      <c r="W43" s="100" t="s">
        <v>60</v>
      </c>
      <c r="X43" s="34"/>
      <c r="Y43" s="35"/>
      <c r="Z43" s="35"/>
      <c r="AA43" s="35"/>
      <c r="AB43" s="35"/>
      <c r="AC43" s="35"/>
      <c r="AD43" s="35"/>
      <c r="AE43" s="100" t="s">
        <v>61</v>
      </c>
      <c r="AF43" s="100" t="s">
        <v>62</v>
      </c>
      <c r="AG43" s="100" t="s">
        <v>63</v>
      </c>
      <c r="AH43" s="100" t="s">
        <v>64</v>
      </c>
      <c r="AI43" s="100" t="s">
        <v>65</v>
      </c>
      <c r="AJ43" s="102"/>
      <c r="AK43" s="102"/>
      <c r="AL43" s="27"/>
    </row>
    <row r="44" ht="15.75" hidden="1" customHeight="1">
      <c r="A44" s="27"/>
      <c r="B44" s="37" t="s">
        <v>66</v>
      </c>
      <c r="C44" s="37" t="s">
        <v>67</v>
      </c>
      <c r="D44" s="37"/>
      <c r="E44" s="37" t="s">
        <v>66</v>
      </c>
      <c r="F44" s="37" t="s">
        <v>68</v>
      </c>
      <c r="G44" s="37"/>
      <c r="H44" s="37" t="s">
        <v>66</v>
      </c>
      <c r="I44" s="37" t="s">
        <v>69</v>
      </c>
      <c r="J44" s="37" t="s">
        <v>70</v>
      </c>
      <c r="K44" s="37" t="s">
        <v>71</v>
      </c>
      <c r="L44" s="37" t="s">
        <v>72</v>
      </c>
      <c r="M44" s="37" t="s">
        <v>73</v>
      </c>
      <c r="N44" s="37" t="s">
        <v>74</v>
      </c>
      <c r="O44" s="27"/>
      <c r="P44" s="27"/>
      <c r="Q44" s="37" t="s">
        <v>66</v>
      </c>
      <c r="R44" s="37" t="s">
        <v>67</v>
      </c>
      <c r="S44" s="37"/>
      <c r="T44" s="37" t="s">
        <v>66</v>
      </c>
      <c r="U44" s="37" t="s">
        <v>68</v>
      </c>
      <c r="V44" s="37"/>
      <c r="W44" s="37" t="s">
        <v>66</v>
      </c>
      <c r="X44" s="37" t="s">
        <v>69</v>
      </c>
      <c r="Y44" s="37" t="s">
        <v>70</v>
      </c>
      <c r="Z44" s="37" t="s">
        <v>71</v>
      </c>
      <c r="AA44" s="37" t="s">
        <v>72</v>
      </c>
      <c r="AB44" s="37" t="s">
        <v>73</v>
      </c>
      <c r="AC44" s="37" t="s">
        <v>74</v>
      </c>
      <c r="AD44" s="27"/>
      <c r="AE44" s="36"/>
      <c r="AF44" s="36"/>
      <c r="AG44" s="36"/>
      <c r="AH44" s="36"/>
      <c r="AI44" s="36"/>
      <c r="AJ44" s="37" t="s">
        <v>75</v>
      </c>
      <c r="AK44" s="39" t="s">
        <v>76</v>
      </c>
      <c r="AL44" s="40" t="s">
        <v>77</v>
      </c>
    </row>
    <row r="45" ht="15.0" customHeight="1">
      <c r="A45" s="41" t="str">
        <f>AE45</f>
        <v>John Mifsud</v>
      </c>
      <c r="B45" s="42">
        <v>6.0</v>
      </c>
      <c r="C45" s="43">
        <f>IF(B45&gt;B47,1,0)</f>
        <v>1</v>
      </c>
      <c r="D45" s="44"/>
      <c r="E45" s="42">
        <v>6.0</v>
      </c>
      <c r="F45" s="43">
        <f>IF(E45&gt;E47,1,0)</f>
        <v>1</v>
      </c>
      <c r="G45" s="44"/>
      <c r="H45" s="45"/>
      <c r="I45" s="27">
        <f>IF(H45&gt;H47,1,0)</f>
        <v>0</v>
      </c>
      <c r="J45" s="27">
        <f>IF(B45="",0,1)</f>
        <v>1</v>
      </c>
      <c r="K45" s="27">
        <f>IF(C45+F45=2,3,IF(C45+F45=1,1,0))</f>
        <v>3</v>
      </c>
      <c r="L45" s="27">
        <f>IF(K45=3,3,IF(I45+K45=2,2,IF(K45=1,1,0)))</f>
        <v>3</v>
      </c>
      <c r="M45" s="27">
        <f>B45+E45</f>
        <v>12</v>
      </c>
      <c r="N45" s="27">
        <f>C45+F45+I45</f>
        <v>2</v>
      </c>
      <c r="O45" s="27"/>
      <c r="P45" s="41" t="str">
        <f>AE45</f>
        <v>John Mifsud</v>
      </c>
      <c r="Q45" s="42">
        <v>6.0</v>
      </c>
      <c r="R45" s="43">
        <f>IF(Q45&gt;Q47,1,0)</f>
        <v>1</v>
      </c>
      <c r="S45" s="44"/>
      <c r="T45" s="42">
        <v>2.0</v>
      </c>
      <c r="U45" s="43">
        <f>IF(T45&gt;T47,1,0)</f>
        <v>0</v>
      </c>
      <c r="V45" s="44"/>
      <c r="W45" s="42">
        <v>10.0</v>
      </c>
      <c r="X45" s="27">
        <f>IF(W45&gt;W47,1,0)</f>
        <v>1</v>
      </c>
      <c r="Y45" s="27">
        <f>IF(Q45="",0,1)</f>
        <v>1</v>
      </c>
      <c r="Z45" s="27">
        <f>IF(R45+U45=2,3,IF(R45+U45=1,1,0))</f>
        <v>1</v>
      </c>
      <c r="AA45" s="27">
        <f>IF(Z45=3,3,IF(X45+Z45=2,2,IF(Z45=1,1,0)))</f>
        <v>2</v>
      </c>
      <c r="AB45" s="27">
        <f>Q45+T45</f>
        <v>8</v>
      </c>
      <c r="AC45" s="27">
        <f>R45+U45+X45</f>
        <v>2</v>
      </c>
      <c r="AD45" s="27"/>
      <c r="AE45" s="103" t="str">
        <f>'Players - Men'!E14</f>
        <v>John Mifsud</v>
      </c>
      <c r="AF45" s="47">
        <f>J45+Y45+J49+Y49+J53</f>
        <v>5</v>
      </c>
      <c r="AG45" s="47">
        <f t="shared" ref="AG45:AI45" si="7">L45+AA45+L49+AA49+L53</f>
        <v>11</v>
      </c>
      <c r="AH45" s="47">
        <f t="shared" si="7"/>
        <v>52</v>
      </c>
      <c r="AI45" s="48">
        <f t="shared" si="7"/>
        <v>8</v>
      </c>
      <c r="AJ45" s="27">
        <f>MAX(AG45:AG55)</f>
        <v>13</v>
      </c>
      <c r="AK45" s="27">
        <f>SUM(AF45:AF55)</f>
        <v>30</v>
      </c>
      <c r="AL45" s="27" t="str">
        <f>IF(AG45=$AJ$45,AE45,IF(AG47=$AJ$45,AE47,IF(AG49=$AJ$45,AE49,IF(AG51=$AJ$45,AE51,IF(AG53=$AJ$45,AE53,IF(AG55=$AJ$45,AE55,""))))))</f>
        <v>Liam Dixon</v>
      </c>
    </row>
    <row r="46" ht="15.0" customHeight="1">
      <c r="A46" s="49" t="s">
        <v>78</v>
      </c>
      <c r="H46" s="50"/>
      <c r="I46" s="51"/>
      <c r="J46" s="27"/>
      <c r="K46" s="27"/>
      <c r="L46" s="27"/>
      <c r="M46" s="27"/>
      <c r="N46" s="27"/>
      <c r="O46" s="27"/>
      <c r="P46" s="49" t="s">
        <v>78</v>
      </c>
      <c r="W46" s="50"/>
      <c r="X46" s="51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36"/>
      <c r="AL46" s="27"/>
    </row>
    <row r="47" ht="15.0" customHeight="1">
      <c r="A47" s="52" t="str">
        <f>AE47</f>
        <v>Roderick Spiteri</v>
      </c>
      <c r="B47" s="42">
        <v>3.0</v>
      </c>
      <c r="C47" s="53">
        <f>IF(B47&gt;B45,1,0)</f>
        <v>0</v>
      </c>
      <c r="D47" s="54"/>
      <c r="E47" s="42">
        <v>1.0</v>
      </c>
      <c r="F47" s="53">
        <f>IF(E47&gt;E45,1,0)</f>
        <v>0</v>
      </c>
      <c r="G47" s="54"/>
      <c r="H47" s="45"/>
      <c r="I47" s="27">
        <f>IF(H47&gt;H45,1,0)</f>
        <v>0</v>
      </c>
      <c r="J47" s="27">
        <f>IF(B47="",0,1)</f>
        <v>1</v>
      </c>
      <c r="K47" s="27">
        <f>IF(C47+F47=2,3,IF(C47+F47=1,1,0))</f>
        <v>0</v>
      </c>
      <c r="L47" s="27">
        <f>IF(K47=3,3,IF(I47+K47=2,2,IF(K47=1,1,0)))</f>
        <v>0</v>
      </c>
      <c r="M47" s="27">
        <f>B47+E47</f>
        <v>4</v>
      </c>
      <c r="N47" s="27">
        <f>C47+F47+I47</f>
        <v>0</v>
      </c>
      <c r="O47" s="27"/>
      <c r="P47" s="52" t="str">
        <f>AE49</f>
        <v>Jonathan Martinelli</v>
      </c>
      <c r="Q47" s="42">
        <v>3.0</v>
      </c>
      <c r="R47" s="53">
        <f>IF(Q47&gt;Q45,1,0)</f>
        <v>0</v>
      </c>
      <c r="S47" s="54"/>
      <c r="T47" s="42">
        <v>6.0</v>
      </c>
      <c r="U47" s="53">
        <f>IF(T47&gt;T45,1,0)</f>
        <v>1</v>
      </c>
      <c r="V47" s="54"/>
      <c r="W47" s="42">
        <v>8.0</v>
      </c>
      <c r="X47" s="27">
        <f>IF(W47&gt;W45,1,0)</f>
        <v>0</v>
      </c>
      <c r="Y47" s="27">
        <f>IF(Q47="",0,1)</f>
        <v>1</v>
      </c>
      <c r="Z47" s="27">
        <f>IF(R47+U47=2,3,IF(R47+U47=1,1,0))</f>
        <v>1</v>
      </c>
      <c r="AA47" s="27">
        <f>IF(Z47=3,3,IF(X47+Z47=2,2,IF(Z47=1,1,0)))</f>
        <v>1</v>
      </c>
      <c r="AB47" s="27">
        <f>Q47+T47</f>
        <v>9</v>
      </c>
      <c r="AC47" s="27">
        <f>R47+U47+X47</f>
        <v>1</v>
      </c>
      <c r="AD47" s="27"/>
      <c r="AE47" s="103" t="str">
        <f>'Players - Men'!E15</f>
        <v>Roderick Spiteri</v>
      </c>
      <c r="AF47" s="47">
        <f>J47+Y61+J61+Y57+J57</f>
        <v>5</v>
      </c>
      <c r="AG47" s="47">
        <f t="shared" ref="AG47:AI47" si="8">L47+AA61+L61+AA57+L57</f>
        <v>6</v>
      </c>
      <c r="AH47" s="47">
        <f t="shared" si="8"/>
        <v>45</v>
      </c>
      <c r="AI47" s="48">
        <f t="shared" si="8"/>
        <v>4</v>
      </c>
      <c r="AJ47" s="36"/>
      <c r="AK47" s="36"/>
      <c r="AL47" s="27"/>
    </row>
    <row r="48" ht="15.0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36"/>
      <c r="AG48" s="36"/>
      <c r="AH48" s="36"/>
      <c r="AI48" s="36"/>
      <c r="AJ48" s="36"/>
      <c r="AK48" s="36"/>
      <c r="AL48" s="27"/>
    </row>
    <row r="49" ht="15.0" customHeight="1">
      <c r="A49" s="41" t="str">
        <f>AE45</f>
        <v>John Mifsud</v>
      </c>
      <c r="B49" s="42">
        <v>6.0</v>
      </c>
      <c r="C49" s="43">
        <f>IF(B49&gt;B51,1,0)</f>
        <v>0</v>
      </c>
      <c r="D49" s="44"/>
      <c r="E49" s="42">
        <v>2.0</v>
      </c>
      <c r="F49" s="43">
        <f>IF(E49&gt;E51,1,0)</f>
        <v>0</v>
      </c>
      <c r="G49" s="44"/>
      <c r="H49" s="45"/>
      <c r="I49" s="27">
        <f>IF(H49&gt;H51,1,0)</f>
        <v>0</v>
      </c>
      <c r="J49" s="27">
        <f>IF(B49="",0,1)</f>
        <v>1</v>
      </c>
      <c r="K49" s="27">
        <f>IF(C49+F49=2,3,IF(C49+F49=1,1,0))</f>
        <v>0</v>
      </c>
      <c r="L49" s="27">
        <f>IF(K49=3,3,IF(I49+K49=2,2,IF(K49=1,1,0)))</f>
        <v>0</v>
      </c>
      <c r="M49" s="27">
        <f>B49+E49</f>
        <v>8</v>
      </c>
      <c r="N49" s="27">
        <f>C49+F49+I49</f>
        <v>0</v>
      </c>
      <c r="O49" s="27"/>
      <c r="P49" s="41" t="str">
        <f>AE45</f>
        <v>John Mifsud</v>
      </c>
      <c r="Q49" s="42">
        <v>6.0</v>
      </c>
      <c r="R49" s="43">
        <f>IF(Q49&gt;Q51,1,0)</f>
        <v>1</v>
      </c>
      <c r="S49" s="44"/>
      <c r="T49" s="42">
        <v>6.0</v>
      </c>
      <c r="U49" s="43">
        <f>IF(T49&gt;T51,1,0)</f>
        <v>1</v>
      </c>
      <c r="V49" s="44"/>
      <c r="W49" s="45"/>
      <c r="X49" s="27">
        <f>IF(W49&gt;W51,1,0)</f>
        <v>0</v>
      </c>
      <c r="Y49" s="27">
        <f>IF(Q49="",0,1)</f>
        <v>1</v>
      </c>
      <c r="Z49" s="27">
        <f>IF(R49+U49=2,3,IF(R49+U49=1,1,0))</f>
        <v>3</v>
      </c>
      <c r="AA49" s="27">
        <f>IF(Z49=3,3,IF(X49+Z49=2,2,IF(Z49=1,1,0)))</f>
        <v>3</v>
      </c>
      <c r="AB49" s="27">
        <f>Q49+T49</f>
        <v>12</v>
      </c>
      <c r="AC49" s="27">
        <f>R49+U49+X49</f>
        <v>2</v>
      </c>
      <c r="AD49" s="27"/>
      <c r="AE49" s="103" t="str">
        <f>'Players - Men'!E16</f>
        <v>Jonathan Martinelli</v>
      </c>
      <c r="AF49" s="47">
        <f>Y65+Y47+Y69+J69+J59</f>
        <v>5</v>
      </c>
      <c r="AG49" s="47">
        <f t="shared" ref="AG49:AI49" si="9">AA65+AA47+AA69+L69+L59</f>
        <v>12</v>
      </c>
      <c r="AH49" s="47">
        <f t="shared" si="9"/>
        <v>57</v>
      </c>
      <c r="AI49" s="48">
        <f t="shared" si="9"/>
        <v>9</v>
      </c>
      <c r="AJ49" s="36"/>
      <c r="AK49" s="36"/>
      <c r="AL49" s="27"/>
    </row>
    <row r="50" ht="15.0" customHeight="1">
      <c r="A50" s="49" t="s">
        <v>78</v>
      </c>
      <c r="H50" s="50"/>
      <c r="I50" s="51"/>
      <c r="J50" s="27"/>
      <c r="K50" s="27"/>
      <c r="L50" s="27"/>
      <c r="M50" s="27"/>
      <c r="N50" s="27"/>
      <c r="O50" s="27"/>
      <c r="P50" s="49" t="s">
        <v>78</v>
      </c>
      <c r="W50" s="50"/>
      <c r="X50" s="51"/>
      <c r="Y50" s="27"/>
      <c r="Z50" s="27"/>
      <c r="AA50" s="27"/>
      <c r="AB50" s="27"/>
      <c r="AC50" s="27"/>
      <c r="AD50" s="27"/>
      <c r="AE50" s="27"/>
      <c r="AF50" s="36"/>
      <c r="AG50" s="36"/>
      <c r="AH50" s="36"/>
      <c r="AI50" s="36"/>
      <c r="AJ50" s="36"/>
      <c r="AK50" s="36"/>
      <c r="AL50" s="27"/>
    </row>
    <row r="51" ht="15.0" customHeight="1">
      <c r="A51" s="52" t="str">
        <f>AE51</f>
        <v>Liam Dixon</v>
      </c>
      <c r="B51" s="42">
        <v>7.0</v>
      </c>
      <c r="C51" s="53">
        <f>IF(B51&gt;B49,1,0)</f>
        <v>1</v>
      </c>
      <c r="D51" s="54"/>
      <c r="E51" s="42">
        <v>6.0</v>
      </c>
      <c r="F51" s="53">
        <f>IF(E51&gt;E49,1,0)</f>
        <v>1</v>
      </c>
      <c r="G51" s="54"/>
      <c r="H51" s="45"/>
      <c r="I51" s="27">
        <f>IF(H51&gt;H49,1,0)</f>
        <v>0</v>
      </c>
      <c r="J51" s="27">
        <f>IF(B51="",0,1)</f>
        <v>1</v>
      </c>
      <c r="K51" s="27">
        <f>IF(C51+F51=2,3,IF(C51+F51=1,1,0))</f>
        <v>3</v>
      </c>
      <c r="L51" s="27">
        <f>IF(K51=3,3,IF(I51+K51=2,2,IF(K51=1,1,0)))</f>
        <v>3</v>
      </c>
      <c r="M51" s="27">
        <f>B51+E51</f>
        <v>13</v>
      </c>
      <c r="N51" s="27">
        <f>C51+F51+I51</f>
        <v>2</v>
      </c>
      <c r="O51" s="27"/>
      <c r="P51" s="52" t="str">
        <f>AE53</f>
        <v>Georges Meekers</v>
      </c>
      <c r="Q51" s="42">
        <v>1.0</v>
      </c>
      <c r="R51" s="53">
        <f>IF(Q51&gt;Q49,1,0)</f>
        <v>0</v>
      </c>
      <c r="S51" s="54"/>
      <c r="T51" s="42">
        <v>3.0</v>
      </c>
      <c r="U51" s="53">
        <f>IF(T51&gt;T49,1,0)</f>
        <v>0</v>
      </c>
      <c r="V51" s="54"/>
      <c r="W51" s="45"/>
      <c r="X51" s="27">
        <f>IF(W51&gt;W49,1,0)</f>
        <v>0</v>
      </c>
      <c r="Y51" s="27">
        <f>IF(Q51="",0,1)</f>
        <v>1</v>
      </c>
      <c r="Z51" s="27">
        <f>IF(R51+U51=2,3,IF(R51+U51=1,1,0))</f>
        <v>0</v>
      </c>
      <c r="AA51" s="27">
        <f>IF(Z51=3,3,IF(X51+Z51=2,2,IF(Z51=1,1,0)))</f>
        <v>0</v>
      </c>
      <c r="AB51" s="27">
        <f>Q51+T51</f>
        <v>4</v>
      </c>
      <c r="AC51" s="27">
        <f>R51+U51+X51</f>
        <v>0</v>
      </c>
      <c r="AD51" s="27"/>
      <c r="AE51" s="103" t="str">
        <f>'Players - Men'!E17</f>
        <v>Liam Dixon</v>
      </c>
      <c r="AF51" s="47">
        <f>Y67+J73+J51+Y59+J65</f>
        <v>5</v>
      </c>
      <c r="AG51" s="47">
        <f t="shared" ref="AG51:AI51" si="10">AA67+L73+L51+AA59+L65</f>
        <v>13</v>
      </c>
      <c r="AH51" s="47">
        <f t="shared" si="10"/>
        <v>60</v>
      </c>
      <c r="AI51" s="48">
        <f t="shared" si="10"/>
        <v>9</v>
      </c>
      <c r="AJ51" s="36"/>
      <c r="AK51" s="36"/>
      <c r="AL51" s="27"/>
    </row>
    <row r="52" ht="15.0" customHeight="1">
      <c r="A52" s="27"/>
      <c r="B52" s="36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36"/>
      <c r="AG52" s="36"/>
      <c r="AH52" s="36"/>
      <c r="AI52" s="36"/>
      <c r="AJ52" s="36"/>
      <c r="AK52" s="36"/>
      <c r="AL52" s="27"/>
    </row>
    <row r="53" ht="15.0" customHeight="1">
      <c r="A53" s="41" t="str">
        <f>AE45</f>
        <v>John Mifsud</v>
      </c>
      <c r="B53" s="42">
        <v>6.0</v>
      </c>
      <c r="C53" s="43">
        <f>IF(B53&gt;B55,1,0)</f>
        <v>1</v>
      </c>
      <c r="D53" s="44"/>
      <c r="E53" s="42">
        <v>6.0</v>
      </c>
      <c r="F53" s="43">
        <f>IF(E53&gt;E55,1,0)</f>
        <v>1</v>
      </c>
      <c r="G53" s="44"/>
      <c r="H53" s="45"/>
      <c r="I53" s="27">
        <f>IF(H53&gt;H55,1,0)</f>
        <v>0</v>
      </c>
      <c r="J53" s="27">
        <f>IF(B53="",0,1)</f>
        <v>1</v>
      </c>
      <c r="K53" s="27">
        <f>IF(C53+F53=2,3,IF(C53+F53=1,1,0))</f>
        <v>3</v>
      </c>
      <c r="L53" s="27">
        <f>IF(K53=3,3,IF(I53+K53=2,2,IF(K53=1,1,0)))</f>
        <v>3</v>
      </c>
      <c r="M53" s="27">
        <f>B53+E53</f>
        <v>12</v>
      </c>
      <c r="N53" s="27">
        <f>C53+F53+I53</f>
        <v>2</v>
      </c>
      <c r="O53" s="27"/>
      <c r="P53" s="41" t="str">
        <f>AE53</f>
        <v>Georges Meekers</v>
      </c>
      <c r="Q53" s="42">
        <v>6.0</v>
      </c>
      <c r="R53" s="43">
        <f>IF(Q53&gt;Q55,1,0)</f>
        <v>1</v>
      </c>
      <c r="S53" s="44"/>
      <c r="T53" s="42">
        <v>6.0</v>
      </c>
      <c r="U53" s="43">
        <f>IF(T53&gt;T55,1,0)</f>
        <v>1</v>
      </c>
      <c r="V53" s="44"/>
      <c r="W53" s="45"/>
      <c r="X53" s="27">
        <f>IF(W53&gt;W55,1,0)</f>
        <v>0</v>
      </c>
      <c r="Y53" s="27">
        <f>IF(Q53="",0,1)</f>
        <v>1</v>
      </c>
      <c r="Z53" s="27">
        <f>IF(R53+U53=2,3,IF(R53+U53=1,1,0))</f>
        <v>3</v>
      </c>
      <c r="AA53" s="27">
        <f>IF(Z53=3,3,IF(X53+Z53=2,2,IF(Z53=1,1,0)))</f>
        <v>3</v>
      </c>
      <c r="AB53" s="27">
        <f>Q53+T53</f>
        <v>12</v>
      </c>
      <c r="AC53" s="27">
        <f>R53+U53+X53</f>
        <v>2</v>
      </c>
      <c r="AD53" s="27"/>
      <c r="AE53" s="103" t="str">
        <f>'Players - Men'!E18</f>
        <v>Georges Meekers</v>
      </c>
      <c r="AF53" s="47">
        <f>Y53+J75+J63+Y51+J71</f>
        <v>5</v>
      </c>
      <c r="AG53" s="47">
        <f t="shared" ref="AG53:AI53" si="11">AA53+L75+L63+AA51+L71</f>
        <v>3</v>
      </c>
      <c r="AH53" s="47">
        <f t="shared" si="11"/>
        <v>29</v>
      </c>
      <c r="AI53" s="48">
        <f t="shared" si="11"/>
        <v>2</v>
      </c>
      <c r="AJ53" s="36"/>
      <c r="AK53" s="36"/>
      <c r="AL53" s="27"/>
    </row>
    <row r="54" ht="15.0" customHeight="1">
      <c r="A54" s="49" t="s">
        <v>78</v>
      </c>
      <c r="H54" s="50"/>
      <c r="I54" s="51"/>
      <c r="J54" s="27"/>
      <c r="K54" s="27"/>
      <c r="L54" s="27"/>
      <c r="M54" s="27"/>
      <c r="N54" s="27"/>
      <c r="O54" s="27"/>
      <c r="P54" s="49" t="s">
        <v>78</v>
      </c>
      <c r="W54" s="50"/>
      <c r="X54" s="51"/>
      <c r="Y54" s="27"/>
      <c r="Z54" s="27"/>
      <c r="AA54" s="27"/>
      <c r="AB54" s="27"/>
      <c r="AC54" s="27"/>
      <c r="AD54" s="27"/>
      <c r="AE54" s="27"/>
      <c r="AF54" s="36"/>
      <c r="AG54" s="36"/>
      <c r="AH54" s="36"/>
      <c r="AI54" s="36"/>
      <c r="AJ54" s="36"/>
      <c r="AK54" s="36"/>
      <c r="AL54" s="27"/>
    </row>
    <row r="55" ht="15.0" customHeight="1">
      <c r="A55" s="52" t="str">
        <f>AE55</f>
        <v>Julian Bilocca</v>
      </c>
      <c r="B55" s="42">
        <v>2.0</v>
      </c>
      <c r="C55" s="53">
        <f>IF(B55&gt;B53,1,0)</f>
        <v>0</v>
      </c>
      <c r="D55" s="54"/>
      <c r="E55" s="42">
        <v>0.0</v>
      </c>
      <c r="F55" s="53">
        <f>IF(E55&gt;E53,1,0)</f>
        <v>0</v>
      </c>
      <c r="G55" s="54"/>
      <c r="H55" s="45"/>
      <c r="I55" s="27">
        <f>IF(H55&gt;H53,1,0)</f>
        <v>0</v>
      </c>
      <c r="J55" s="27">
        <f>IF(B55="",0,1)</f>
        <v>1</v>
      </c>
      <c r="K55" s="27">
        <f>IF(C55+F55=2,3,IF(C55+F55=1,1,0))</f>
        <v>0</v>
      </c>
      <c r="L55" s="27">
        <f>IF(K55=3,3,IF(I55+K55=2,2,IF(K55=1,1,0)))</f>
        <v>0</v>
      </c>
      <c r="M55" s="27">
        <f>B55+E55</f>
        <v>2</v>
      </c>
      <c r="N55" s="27">
        <f>C55+F55+I55</f>
        <v>0</v>
      </c>
      <c r="O55" s="27"/>
      <c r="P55" s="52" t="str">
        <f>AE55</f>
        <v>Julian Bilocca</v>
      </c>
      <c r="Q55" s="42">
        <v>2.0</v>
      </c>
      <c r="R55" s="53">
        <f>IF(Q55&gt;Q53,1,0)</f>
        <v>0</v>
      </c>
      <c r="S55" s="54"/>
      <c r="T55" s="42">
        <v>2.0</v>
      </c>
      <c r="U55" s="53">
        <f>IF(T55&gt;T53,1,0)</f>
        <v>0</v>
      </c>
      <c r="V55" s="54"/>
      <c r="W55" s="45"/>
      <c r="X55" s="27">
        <f>IF(W55&gt;W53,1,0)</f>
        <v>0</v>
      </c>
      <c r="Y55" s="27">
        <f>IF(Q55="",0,1)</f>
        <v>1</v>
      </c>
      <c r="Z55" s="27">
        <f>IF(R55+U55=2,3,IF(R55+U55=1,1,0))</f>
        <v>0</v>
      </c>
      <c r="AA55" s="27">
        <f>IF(Z55=3,3,IF(X55+Z55=2,2,IF(Z55=1,1,0)))</f>
        <v>0</v>
      </c>
      <c r="AB55" s="27">
        <f>Q55+T55</f>
        <v>4</v>
      </c>
      <c r="AC55" s="27">
        <f>R55+U55+X55</f>
        <v>0</v>
      </c>
      <c r="AD55" s="27"/>
      <c r="AE55" s="103" t="str">
        <f>'Players - Men'!E19</f>
        <v>Julian Bilocca</v>
      </c>
      <c r="AF55" s="47">
        <f>Y55+Y63+Y71+J55+J67</f>
        <v>5</v>
      </c>
      <c r="AG55" s="47">
        <f t="shared" ref="AG55:AI55" si="12">AA55+AA63+AA71+L55+L67</f>
        <v>0</v>
      </c>
      <c r="AH55" s="47">
        <f t="shared" si="12"/>
        <v>15</v>
      </c>
      <c r="AI55" s="48">
        <f t="shared" si="12"/>
        <v>0</v>
      </c>
      <c r="AJ55" s="27"/>
      <c r="AK55" s="36"/>
      <c r="AL55" s="27"/>
    </row>
    <row r="56" ht="15.0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</row>
    <row r="57" ht="15.0" customHeight="1">
      <c r="A57" s="41" t="str">
        <f>AE47</f>
        <v>Roderick Spiteri</v>
      </c>
      <c r="B57" s="42">
        <v>2.0</v>
      </c>
      <c r="C57" s="43">
        <f>IF(B57&gt;B59,1,0)</f>
        <v>0</v>
      </c>
      <c r="D57" s="44"/>
      <c r="E57" s="42">
        <v>6.0</v>
      </c>
      <c r="F57" s="43">
        <f>IF(E57&gt;E59,1,0)</f>
        <v>0</v>
      </c>
      <c r="G57" s="44"/>
      <c r="H57" s="45"/>
      <c r="I57" s="27">
        <f>IF(H57&gt;H59,1,0)</f>
        <v>0</v>
      </c>
      <c r="J57" s="27">
        <f>IF(B57="",0,1)</f>
        <v>1</v>
      </c>
      <c r="K57" s="27">
        <f>IF(C57+F57=2,3,IF(C57+F57=1,1,0))</f>
        <v>0</v>
      </c>
      <c r="L57" s="27">
        <f>IF(K57=3,3,IF(I57+K57=2,2,IF(K57=1,1,0)))</f>
        <v>0</v>
      </c>
      <c r="M57" s="27">
        <f>B57+E57</f>
        <v>8</v>
      </c>
      <c r="N57" s="27">
        <f>C57+F57+I57</f>
        <v>0</v>
      </c>
      <c r="O57" s="27"/>
      <c r="P57" s="41" t="str">
        <f>AE47</f>
        <v>Roderick Spiteri</v>
      </c>
      <c r="Q57" s="42">
        <v>3.0</v>
      </c>
      <c r="R57" s="43">
        <f>IF(Q57&gt;Q59,1,0)</f>
        <v>0</v>
      </c>
      <c r="S57" s="44"/>
      <c r="T57" s="42">
        <v>6.0</v>
      </c>
      <c r="U57" s="43">
        <f>IF(T57&gt;T59,1,0)</f>
        <v>0</v>
      </c>
      <c r="V57" s="44"/>
      <c r="W57" s="45"/>
      <c r="X57" s="27">
        <f>IF(W57&gt;W59,1,0)</f>
        <v>0</v>
      </c>
      <c r="Y57" s="27">
        <f>IF(Q57="",0,1)</f>
        <v>1</v>
      </c>
      <c r="Z57" s="27">
        <f>IF(R57+U57=2,3,IF(R57+U57=1,1,0))</f>
        <v>0</v>
      </c>
      <c r="AA57" s="27">
        <f>IF(Z57=3,3,IF(X57+Z57=2,2,IF(Z57=1,1,0)))</f>
        <v>0</v>
      </c>
      <c r="AB57" s="27">
        <f>Q57+T57</f>
        <v>9</v>
      </c>
      <c r="AC57" s="27">
        <f>R57+U57+X57</f>
        <v>0</v>
      </c>
      <c r="AD57" s="27"/>
      <c r="AE57" s="104" t="s">
        <v>81</v>
      </c>
      <c r="AF57" s="30"/>
      <c r="AG57" s="30"/>
      <c r="AH57" s="30"/>
      <c r="AI57" s="31"/>
      <c r="AJ57" s="27"/>
      <c r="AK57" s="27"/>
      <c r="AL57" s="27"/>
    </row>
    <row r="58" ht="15.0" customHeight="1">
      <c r="A58" s="49" t="s">
        <v>78</v>
      </c>
      <c r="H58" s="50"/>
      <c r="I58" s="51"/>
      <c r="J58" s="27"/>
      <c r="K58" s="27"/>
      <c r="L58" s="27"/>
      <c r="M58" s="27"/>
      <c r="N58" s="27"/>
      <c r="O58" s="27"/>
      <c r="P58" s="49" t="s">
        <v>78</v>
      </c>
      <c r="W58" s="50"/>
      <c r="X58" s="51"/>
      <c r="Y58" s="27"/>
      <c r="Z58" s="27"/>
      <c r="AA58" s="27"/>
      <c r="AB58" s="27"/>
      <c r="AC58" s="27"/>
      <c r="AD58" s="27"/>
      <c r="AE58" s="57" t="s">
        <v>24</v>
      </c>
      <c r="AF58" s="30"/>
      <c r="AG58" s="30"/>
      <c r="AH58" s="30"/>
      <c r="AI58" s="31"/>
      <c r="AJ58" s="27"/>
      <c r="AK58" s="27"/>
      <c r="AL58" s="27"/>
    </row>
    <row r="59" ht="15.0" customHeight="1">
      <c r="A59" s="52" t="str">
        <f>AE49</f>
        <v>Jonathan Martinelli</v>
      </c>
      <c r="B59" s="42">
        <v>6.0</v>
      </c>
      <c r="C59" s="53">
        <f>IF(B59&gt;B57,1,0)</f>
        <v>1</v>
      </c>
      <c r="D59" s="54"/>
      <c r="E59" s="42">
        <v>7.0</v>
      </c>
      <c r="F59" s="53">
        <f>IF(E59&gt;E57,1,0)</f>
        <v>1</v>
      </c>
      <c r="G59" s="54"/>
      <c r="H59" s="45"/>
      <c r="I59" s="27">
        <f>IF(H59&gt;H57,1,0)</f>
        <v>0</v>
      </c>
      <c r="J59" s="27">
        <f>IF(B59="",0,1)</f>
        <v>1</v>
      </c>
      <c r="K59" s="27">
        <f>IF(C59+F59=2,3,IF(C59+F59=1,1,0))</f>
        <v>3</v>
      </c>
      <c r="L59" s="27">
        <f>IF(K59=3,3,IF(I59+K59=2,2,IF(K59=1,1,0)))</f>
        <v>3</v>
      </c>
      <c r="M59" s="27">
        <f>B59+E59</f>
        <v>13</v>
      </c>
      <c r="N59" s="27">
        <f>C59+F59+I59</f>
        <v>2</v>
      </c>
      <c r="O59" s="27"/>
      <c r="P59" s="52" t="str">
        <f>AE51</f>
        <v>Liam Dixon</v>
      </c>
      <c r="Q59" s="42">
        <v>6.0</v>
      </c>
      <c r="R59" s="53">
        <f>IF(Q59&gt;Q57,1,0)</f>
        <v>1</v>
      </c>
      <c r="S59" s="54"/>
      <c r="T59" s="42">
        <v>7.0</v>
      </c>
      <c r="U59" s="53">
        <f>IF(T59&gt;T57,1,0)</f>
        <v>1</v>
      </c>
      <c r="V59" s="54"/>
      <c r="W59" s="45"/>
      <c r="X59" s="27">
        <f>IF(W59&gt;W57,1,0)</f>
        <v>0</v>
      </c>
      <c r="Y59" s="27">
        <f>IF(Q59="",0,1)</f>
        <v>1</v>
      </c>
      <c r="Z59" s="27">
        <f>IF(R59+U59=2,3,IF(R59+U59=1,1,0))</f>
        <v>3</v>
      </c>
      <c r="AA59" s="27">
        <f>IF(Z59=3,3,IF(X59+Z59=2,2,IF(Z59=1,1,0)))</f>
        <v>3</v>
      </c>
      <c r="AB59" s="27">
        <f>Q59+T59</f>
        <v>13</v>
      </c>
      <c r="AC59" s="27">
        <f>R59+U59+X59</f>
        <v>2</v>
      </c>
      <c r="AD59" s="27"/>
      <c r="AE59" s="27"/>
      <c r="AF59" s="27"/>
      <c r="AG59" s="27"/>
      <c r="AH59" s="27"/>
      <c r="AI59" s="27"/>
      <c r="AJ59" s="27"/>
      <c r="AK59" s="27"/>
      <c r="AL59" s="27"/>
    </row>
    <row r="60" ht="15.0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</row>
    <row r="61" ht="15.0" customHeight="1">
      <c r="A61" s="41" t="str">
        <f>AE47</f>
        <v>Roderick Spiteri</v>
      </c>
      <c r="B61" s="42">
        <v>6.0</v>
      </c>
      <c r="C61" s="43">
        <f>IF(B61&gt;B63,1,0)</f>
        <v>1</v>
      </c>
      <c r="D61" s="44"/>
      <c r="E61" s="42">
        <v>6.0</v>
      </c>
      <c r="F61" s="43">
        <f>IF(E61&gt;E63,1,0)</f>
        <v>1</v>
      </c>
      <c r="G61" s="44"/>
      <c r="H61" s="45"/>
      <c r="I61" s="27">
        <f>IF(H61&gt;H63,1,0)</f>
        <v>0</v>
      </c>
      <c r="J61" s="27">
        <f>IF(B61="",0,1)</f>
        <v>1</v>
      </c>
      <c r="K61" s="27">
        <f>IF(C61+F61=2,3,IF(C61+F61=1,1,0))</f>
        <v>3</v>
      </c>
      <c r="L61" s="27">
        <f>IF(K61=3,3,IF(I61+K61=2,2,IF(K61=1,1,0)))</f>
        <v>3</v>
      </c>
      <c r="M61" s="27">
        <f>B61+E61</f>
        <v>12</v>
      </c>
      <c r="N61" s="27">
        <f>C61+F61+I61</f>
        <v>2</v>
      </c>
      <c r="O61" s="27"/>
      <c r="P61" s="41" t="str">
        <f>AE47</f>
        <v>Roderick Spiteri</v>
      </c>
      <c r="Q61" s="42">
        <v>6.0</v>
      </c>
      <c r="R61" s="43">
        <f>IF(Q61&gt;Q63,1,0)</f>
        <v>1</v>
      </c>
      <c r="S61" s="44"/>
      <c r="T61" s="42">
        <v>6.0</v>
      </c>
      <c r="U61" s="43">
        <f>IF(T61&gt;T63,1,0)</f>
        <v>1</v>
      </c>
      <c r="V61" s="44"/>
      <c r="W61" s="45"/>
      <c r="X61" s="27">
        <f>IF(W61&gt;W63,1,0)</f>
        <v>0</v>
      </c>
      <c r="Y61" s="27">
        <f>IF(Q61="",0,1)</f>
        <v>1</v>
      </c>
      <c r="Z61" s="27">
        <f>IF(R61+U61=2,3,IF(R61+U61=1,1,0))</f>
        <v>3</v>
      </c>
      <c r="AA61" s="27">
        <f>IF(Z61=3,3,IF(X61+Z61=2,2,IF(Z61=1,1,0)))</f>
        <v>3</v>
      </c>
      <c r="AB61" s="27">
        <f>Q61+T61</f>
        <v>12</v>
      </c>
      <c r="AC61" s="27">
        <f>R61+U61+X61</f>
        <v>2</v>
      </c>
      <c r="AD61" s="27"/>
      <c r="AE61" s="27"/>
      <c r="AF61" s="27"/>
      <c r="AG61" s="27"/>
      <c r="AH61" s="27"/>
      <c r="AI61" s="27"/>
      <c r="AJ61" s="27"/>
      <c r="AK61" s="27"/>
      <c r="AL61" s="27"/>
    </row>
    <row r="62" ht="15.0" customHeight="1">
      <c r="A62" s="49" t="s">
        <v>78</v>
      </c>
      <c r="H62" s="50"/>
      <c r="I62" s="51"/>
      <c r="J62" s="27"/>
      <c r="K62" s="27"/>
      <c r="L62" s="27"/>
      <c r="M62" s="27"/>
      <c r="N62" s="27"/>
      <c r="O62" s="27"/>
      <c r="P62" s="49" t="s">
        <v>78</v>
      </c>
      <c r="W62" s="50"/>
      <c r="X62" s="51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</row>
    <row r="63" ht="15.0" customHeight="1">
      <c r="A63" s="52" t="str">
        <f>AE53</f>
        <v>Georges Meekers</v>
      </c>
      <c r="B63" s="42">
        <v>2.0</v>
      </c>
      <c r="C63" s="53">
        <f>IF(B63&gt;B61,1,0)</f>
        <v>0</v>
      </c>
      <c r="D63" s="54"/>
      <c r="E63" s="42">
        <v>3.0</v>
      </c>
      <c r="F63" s="53">
        <f>IF(E63&gt;E61,1,0)</f>
        <v>0</v>
      </c>
      <c r="G63" s="54"/>
      <c r="H63" s="45"/>
      <c r="I63" s="27">
        <f>IF(H63&gt;H61,1,0)</f>
        <v>0</v>
      </c>
      <c r="J63" s="27">
        <f>IF(B63="",0,1)</f>
        <v>1</v>
      </c>
      <c r="K63" s="27">
        <f>IF(C63+F63=2,3,IF(C63+F63=1,1,0))</f>
        <v>0</v>
      </c>
      <c r="L63" s="27">
        <f>IF(K63=3,3,IF(I63+K63=2,2,IF(K63=1,1,0)))</f>
        <v>0</v>
      </c>
      <c r="M63" s="27">
        <f>B63+E63</f>
        <v>5</v>
      </c>
      <c r="N63" s="27">
        <f>C63+F63+I63</f>
        <v>0</v>
      </c>
      <c r="O63" s="27"/>
      <c r="P63" s="52" t="str">
        <f>AE55</f>
        <v>Julian Bilocca</v>
      </c>
      <c r="Q63" s="42">
        <v>1.0</v>
      </c>
      <c r="R63" s="53">
        <f>IF(Q63&gt;Q61,1,0)</f>
        <v>0</v>
      </c>
      <c r="S63" s="54"/>
      <c r="T63" s="42">
        <v>1.0</v>
      </c>
      <c r="U63" s="53">
        <f>IF(T63&gt;T61,1,0)</f>
        <v>0</v>
      </c>
      <c r="V63" s="54"/>
      <c r="W63" s="45"/>
      <c r="X63" s="27">
        <f>IF(W63&gt;W61,1,0)</f>
        <v>0</v>
      </c>
      <c r="Y63" s="27">
        <f>IF(Q63="",0,1)</f>
        <v>1</v>
      </c>
      <c r="Z63" s="27">
        <f>IF(R63+U63=2,3,IF(R63+U63=1,1,0))</f>
        <v>0</v>
      </c>
      <c r="AA63" s="27">
        <f>IF(Z63=3,3,IF(X63+Z63=2,2,IF(Z63=1,1,0)))</f>
        <v>0</v>
      </c>
      <c r="AB63" s="27">
        <f>Q63+T63</f>
        <v>2</v>
      </c>
      <c r="AC63" s="27">
        <f>R63+U63+X63</f>
        <v>0</v>
      </c>
      <c r="AD63" s="27"/>
      <c r="AE63" s="27"/>
      <c r="AF63" s="27"/>
      <c r="AG63" s="27"/>
      <c r="AH63" s="27"/>
      <c r="AI63" s="27"/>
      <c r="AJ63" s="27"/>
      <c r="AK63" s="27"/>
      <c r="AL63" s="27"/>
    </row>
    <row r="64" ht="15.0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36"/>
      <c r="AI64" s="27"/>
      <c r="AJ64" s="27"/>
      <c r="AK64" s="27"/>
      <c r="AL64" s="27"/>
    </row>
    <row r="65" ht="15.0" customHeight="1">
      <c r="A65" s="41" t="str">
        <f>AE51</f>
        <v>Liam Dixon</v>
      </c>
      <c r="B65" s="42">
        <v>6.0</v>
      </c>
      <c r="C65" s="43">
        <f>IF(B65&gt;B67,1,0)</f>
        <v>1</v>
      </c>
      <c r="D65" s="44"/>
      <c r="E65" s="42">
        <v>6.0</v>
      </c>
      <c r="F65" s="43">
        <f>IF(E65&gt;E67,1,0)</f>
        <v>1</v>
      </c>
      <c r="G65" s="44"/>
      <c r="H65" s="45"/>
      <c r="I65" s="27">
        <f>IF(H65&gt;H67,1,0)</f>
        <v>0</v>
      </c>
      <c r="J65" s="27">
        <f>IF(B65="",0,1)</f>
        <v>1</v>
      </c>
      <c r="K65" s="27">
        <f>IF(C65+F65=2,3,IF(C65+F65=1,1,0))</f>
        <v>3</v>
      </c>
      <c r="L65" s="27">
        <f>IF(K65=3,3,IF(I65+K65=2,2,IF(K65=1,1,0)))</f>
        <v>3</v>
      </c>
      <c r="M65" s="27">
        <f>B65+E65</f>
        <v>12</v>
      </c>
      <c r="N65" s="27">
        <f>C65+F65+I65</f>
        <v>2</v>
      </c>
      <c r="O65" s="27"/>
      <c r="P65" s="41" t="str">
        <f>AE49</f>
        <v>Jonathan Martinelli</v>
      </c>
      <c r="Q65" s="42">
        <v>5.0</v>
      </c>
      <c r="R65" s="43">
        <f>IF(Q65&gt;Q67,1,0)</f>
        <v>0</v>
      </c>
      <c r="S65" s="44"/>
      <c r="T65" s="42">
        <v>6.0</v>
      </c>
      <c r="U65" s="43">
        <f>IF(T65&gt;T67,1,0)</f>
        <v>1</v>
      </c>
      <c r="V65" s="44"/>
      <c r="W65" s="42">
        <v>10.0</v>
      </c>
      <c r="X65" s="27">
        <f>IF(W65&gt;W67,1,0)</f>
        <v>1</v>
      </c>
      <c r="Y65" s="27">
        <f>IF(Q65="",0,1)</f>
        <v>1</v>
      </c>
      <c r="Z65" s="27">
        <f>IF(R65+U65=2,3,IF(R65+U65=1,1,0))</f>
        <v>1</v>
      </c>
      <c r="AA65" s="27">
        <f>IF(Z65=3,3,IF(X65+Z65=2,2,IF(Z65=1,1,0)))</f>
        <v>2</v>
      </c>
      <c r="AB65" s="27">
        <f>Q65+T65</f>
        <v>11</v>
      </c>
      <c r="AC65" s="27">
        <f>R65+U65+X65</f>
        <v>2</v>
      </c>
      <c r="AD65" s="27"/>
      <c r="AE65" s="27"/>
      <c r="AF65" s="27"/>
      <c r="AG65" s="27"/>
      <c r="AH65" s="27"/>
      <c r="AI65" s="27"/>
      <c r="AJ65" s="27"/>
      <c r="AK65" s="27"/>
      <c r="AL65" s="27"/>
    </row>
    <row r="66" ht="15.0" customHeight="1">
      <c r="A66" s="49" t="s">
        <v>78</v>
      </c>
      <c r="H66" s="50"/>
      <c r="I66" s="51"/>
      <c r="J66" s="27"/>
      <c r="K66" s="27"/>
      <c r="L66" s="27"/>
      <c r="M66" s="27"/>
      <c r="N66" s="27"/>
      <c r="O66" s="27"/>
      <c r="P66" s="49" t="s">
        <v>78</v>
      </c>
      <c r="W66" s="50"/>
      <c r="X66" s="51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58"/>
      <c r="AL66" s="27"/>
    </row>
    <row r="67" ht="15.0" customHeight="1">
      <c r="A67" s="52" t="str">
        <f>AE55</f>
        <v>Julian Bilocca</v>
      </c>
      <c r="B67" s="42">
        <v>1.0</v>
      </c>
      <c r="C67" s="53">
        <f>IF(B67&gt;B65,1,0)</f>
        <v>0</v>
      </c>
      <c r="D67" s="54"/>
      <c r="E67" s="42">
        <v>2.0</v>
      </c>
      <c r="F67" s="53">
        <f>IF(E67&gt;E65,1,0)</f>
        <v>0</v>
      </c>
      <c r="G67" s="54"/>
      <c r="H67" s="45"/>
      <c r="I67" s="27">
        <f>IF(H67&gt;H65,1,0)</f>
        <v>0</v>
      </c>
      <c r="J67" s="27">
        <f>IF(B67="",0,1)</f>
        <v>1</v>
      </c>
      <c r="K67" s="27">
        <f>IF(C67+F67=2,3,IF(C67+F67=1,1,0))</f>
        <v>0</v>
      </c>
      <c r="L67" s="27">
        <f>IF(K67=3,3,IF(I67+K67=2,2,IF(K67=1,1,0)))</f>
        <v>0</v>
      </c>
      <c r="M67" s="27">
        <f>B67+E67</f>
        <v>3</v>
      </c>
      <c r="N67" s="27">
        <f>C67+F67+I67</f>
        <v>0</v>
      </c>
      <c r="O67" s="27"/>
      <c r="P67" s="52" t="str">
        <f>AE51</f>
        <v>Liam Dixon</v>
      </c>
      <c r="Q67" s="42">
        <v>7.0</v>
      </c>
      <c r="R67" s="53">
        <f>IF(Q67&gt;Q65,1,0)</f>
        <v>1</v>
      </c>
      <c r="S67" s="54"/>
      <c r="T67" s="42">
        <v>3.0</v>
      </c>
      <c r="U67" s="53">
        <f>IF(T67&gt;T65,1,0)</f>
        <v>0</v>
      </c>
      <c r="V67" s="54"/>
      <c r="W67" s="42">
        <v>9.0</v>
      </c>
      <c r="X67" s="27">
        <f>IF(W67&gt;W65,1,0)</f>
        <v>0</v>
      </c>
      <c r="Y67" s="27">
        <f>IF(Q67="",0,1)</f>
        <v>1</v>
      </c>
      <c r="Z67" s="27">
        <f>IF(R67+U67=2,3,IF(R67+U67=1,1,0))</f>
        <v>1</v>
      </c>
      <c r="AA67" s="27">
        <f>IF(Z67=3,3,IF(X67+Z67=2,2,IF(Z67=1,1,0)))</f>
        <v>1</v>
      </c>
      <c r="AB67" s="27">
        <f>Q67+T67</f>
        <v>10</v>
      </c>
      <c r="AC67" s="27">
        <f>R67+U67+X67</f>
        <v>1</v>
      </c>
      <c r="AD67" s="27"/>
      <c r="AE67" s="27"/>
      <c r="AF67" s="27"/>
      <c r="AG67" s="27"/>
      <c r="AH67" s="27"/>
      <c r="AI67" s="27"/>
      <c r="AJ67" s="27"/>
      <c r="AK67" s="27"/>
      <c r="AL67" s="27"/>
    </row>
    <row r="68" ht="15.0" customHeight="1">
      <c r="A68" s="27"/>
      <c r="B68" s="27"/>
      <c r="C68" s="27"/>
      <c r="D68" s="27"/>
      <c r="E68" s="36"/>
      <c r="F68" s="27"/>
      <c r="G68" s="27"/>
      <c r="H68" s="36"/>
      <c r="I68" s="27"/>
      <c r="J68" s="36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36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58"/>
      <c r="AL68" s="27"/>
    </row>
    <row r="69" ht="15.0" customHeight="1">
      <c r="A69" s="41" t="str">
        <f>AE49</f>
        <v>Jonathan Martinelli</v>
      </c>
      <c r="B69" s="42">
        <v>6.0</v>
      </c>
      <c r="C69" s="43">
        <f>IF(B69&gt;B71,1,0)</f>
        <v>1</v>
      </c>
      <c r="D69" s="44"/>
      <c r="E69" s="42">
        <v>6.0</v>
      </c>
      <c r="F69" s="43">
        <f>IF(E69&gt;E71,1,0)</f>
        <v>1</v>
      </c>
      <c r="G69" s="44"/>
      <c r="H69" s="45"/>
      <c r="I69" s="27">
        <f>IF(H69&gt;H71,1,0)</f>
        <v>0</v>
      </c>
      <c r="J69" s="27">
        <f>IF(B69="",0,1)</f>
        <v>1</v>
      </c>
      <c r="K69" s="27">
        <f>IF(C69+F69=2,3,IF(C69+F69=1,1,0))</f>
        <v>3</v>
      </c>
      <c r="L69" s="27">
        <f>IF(K69=3,3,IF(I69+K69=2,2,IF(K69=1,1,0)))</f>
        <v>3</v>
      </c>
      <c r="M69" s="27">
        <f>B69+E69</f>
        <v>12</v>
      </c>
      <c r="N69" s="27">
        <f>C69+F69+I69</f>
        <v>2</v>
      </c>
      <c r="O69" s="27"/>
      <c r="P69" s="41" t="str">
        <f>AE49</f>
        <v>Jonathan Martinelli</v>
      </c>
      <c r="Q69" s="42">
        <v>6.0</v>
      </c>
      <c r="R69" s="43">
        <f>IF(Q69&gt;Q71,1,0)</f>
        <v>1</v>
      </c>
      <c r="S69" s="44"/>
      <c r="T69" s="42">
        <v>6.0</v>
      </c>
      <c r="U69" s="43">
        <f>IF(T69&gt;T71,1,0)</f>
        <v>1</v>
      </c>
      <c r="V69" s="44"/>
      <c r="W69" s="45"/>
      <c r="X69" s="27">
        <f>IF(W69&gt;W71,1,0)</f>
        <v>0</v>
      </c>
      <c r="Y69" s="27">
        <f>IF(Q69="",0,1)</f>
        <v>1</v>
      </c>
      <c r="Z69" s="27">
        <f>IF(R69+U69=2,3,IF(R69+U69=1,1,0))</f>
        <v>3</v>
      </c>
      <c r="AA69" s="27">
        <f>IF(Z69=3,3,IF(X69+Z69=2,2,IF(Z69=1,1,0)))</f>
        <v>3</v>
      </c>
      <c r="AB69" s="27">
        <f>Q69+T69</f>
        <v>12</v>
      </c>
      <c r="AC69" s="27">
        <f>R69+U69+X69</f>
        <v>2</v>
      </c>
      <c r="AD69" s="27"/>
      <c r="AE69" s="27"/>
      <c r="AF69" s="27"/>
      <c r="AG69" s="27"/>
      <c r="AH69" s="27"/>
      <c r="AI69" s="27"/>
      <c r="AJ69" s="27"/>
      <c r="AK69" s="27"/>
      <c r="AL69" s="27"/>
    </row>
    <row r="70" ht="15.0" customHeight="1">
      <c r="A70" s="49" t="s">
        <v>78</v>
      </c>
      <c r="H70" s="50"/>
      <c r="I70" s="51"/>
      <c r="J70" s="27"/>
      <c r="K70" s="27"/>
      <c r="L70" s="27"/>
      <c r="M70" s="27"/>
      <c r="N70" s="27"/>
      <c r="O70" s="27"/>
      <c r="P70" s="49" t="s">
        <v>78</v>
      </c>
      <c r="W70" s="50"/>
      <c r="X70" s="51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</row>
    <row r="71" ht="15.0" customHeight="1">
      <c r="A71" s="52" t="str">
        <f>AE53</f>
        <v>Georges Meekers</v>
      </c>
      <c r="B71" s="42">
        <v>4.0</v>
      </c>
      <c r="C71" s="53">
        <f>IF(B71&gt;B69,1,0)</f>
        <v>0</v>
      </c>
      <c r="D71" s="54"/>
      <c r="E71" s="42">
        <v>0.0</v>
      </c>
      <c r="F71" s="53">
        <f>IF(E71&gt;E69,1,0)</f>
        <v>0</v>
      </c>
      <c r="G71" s="54"/>
      <c r="H71" s="45"/>
      <c r="I71" s="27">
        <f>IF(H71&gt;H69,1,0)</f>
        <v>0</v>
      </c>
      <c r="J71" s="27">
        <f>IF(B71="",0,1)</f>
        <v>1</v>
      </c>
      <c r="K71" s="27">
        <f>IF(C71+F71=2,3,IF(C71+F71=1,1,0))</f>
        <v>0</v>
      </c>
      <c r="L71" s="27">
        <f>IF(K71=3,3,IF(I71+K71=2,2,IF(K71=1,1,0)))</f>
        <v>0</v>
      </c>
      <c r="M71" s="27">
        <f>B71+E71</f>
        <v>4</v>
      </c>
      <c r="N71" s="27">
        <f>C71+F71+I71</f>
        <v>0</v>
      </c>
      <c r="O71" s="27"/>
      <c r="P71" s="52" t="str">
        <f>AE55</f>
        <v>Julian Bilocca</v>
      </c>
      <c r="Q71" s="42">
        <v>1.0</v>
      </c>
      <c r="R71" s="53">
        <f>IF(Q71&gt;Q69,1,0)</f>
        <v>0</v>
      </c>
      <c r="S71" s="54"/>
      <c r="T71" s="42">
        <v>3.0</v>
      </c>
      <c r="U71" s="53">
        <f>IF(T71&gt;T69,1,0)</f>
        <v>0</v>
      </c>
      <c r="V71" s="54"/>
      <c r="W71" s="45"/>
      <c r="X71" s="27">
        <f>IF(W71&gt;W69,1,0)</f>
        <v>0</v>
      </c>
      <c r="Y71" s="27">
        <f>IF(Q71="",0,1)</f>
        <v>1</v>
      </c>
      <c r="Z71" s="27">
        <f>IF(R71+U71=2,3,IF(R71+U71=1,1,0))</f>
        <v>0</v>
      </c>
      <c r="AA71" s="27">
        <f>IF(Z71=3,3,IF(X71+Z71=2,2,IF(Z71=1,1,0)))</f>
        <v>0</v>
      </c>
      <c r="AB71" s="27">
        <f>Q71+T71</f>
        <v>4</v>
      </c>
      <c r="AC71" s="27">
        <f>R71+U71+X71</f>
        <v>0</v>
      </c>
      <c r="AD71" s="27"/>
      <c r="AE71" s="27"/>
      <c r="AF71" s="27"/>
      <c r="AG71" s="27"/>
      <c r="AH71" s="27"/>
      <c r="AI71" s="27"/>
      <c r="AJ71" s="27"/>
      <c r="AK71" s="27"/>
      <c r="AL71" s="27"/>
    </row>
    <row r="72" ht="15.0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36"/>
      <c r="AI72" s="27"/>
      <c r="AJ72" s="27"/>
      <c r="AK72" s="27"/>
      <c r="AL72" s="27"/>
    </row>
    <row r="73" ht="15.0" customHeight="1">
      <c r="A73" s="41" t="str">
        <f>AE51</f>
        <v>Liam Dixon</v>
      </c>
      <c r="B73" s="42">
        <v>6.0</v>
      </c>
      <c r="C73" s="43">
        <f>IF(B73&gt;B75,1,0)</f>
        <v>1</v>
      </c>
      <c r="D73" s="44"/>
      <c r="E73" s="42">
        <v>6.0</v>
      </c>
      <c r="F73" s="43">
        <f>IF(E73&gt;E75,1,0)</f>
        <v>1</v>
      </c>
      <c r="G73" s="44"/>
      <c r="H73" s="45"/>
      <c r="I73" s="27">
        <f>IF(H73&gt;H75,1,0)</f>
        <v>0</v>
      </c>
      <c r="J73" s="27">
        <f>IF(B73="",0,1)</f>
        <v>1</v>
      </c>
      <c r="K73" s="27">
        <f>IF(C73+F73=2,3,IF(C73+F73=1,1,0))</f>
        <v>3</v>
      </c>
      <c r="L73" s="27">
        <f>IF(K73=3,3,IF(I73+K73=2,2,IF(K73=1,1,0)))</f>
        <v>3</v>
      </c>
      <c r="M73" s="27">
        <f>B73+E73</f>
        <v>12</v>
      </c>
      <c r="N73" s="27">
        <f>C73+F73+I73</f>
        <v>2</v>
      </c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</row>
    <row r="74" ht="15.0" customHeight="1">
      <c r="A74" s="49" t="s">
        <v>78</v>
      </c>
      <c r="H74" s="50"/>
      <c r="I74" s="51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59"/>
      <c r="AK74" s="27"/>
      <c r="AL74" s="27"/>
    </row>
    <row r="75" ht="15.0" customHeight="1">
      <c r="A75" s="52" t="str">
        <f>AE53</f>
        <v>Georges Meekers</v>
      </c>
      <c r="B75" s="42">
        <v>4.0</v>
      </c>
      <c r="C75" s="53">
        <f>IF(B75&gt;B73,1,0)</f>
        <v>0</v>
      </c>
      <c r="D75" s="54"/>
      <c r="E75" s="42">
        <v>0.0</v>
      </c>
      <c r="F75" s="53">
        <f>IF(E75&gt;E73,1,0)</f>
        <v>0</v>
      </c>
      <c r="G75" s="54"/>
      <c r="H75" s="45"/>
      <c r="I75" s="27">
        <f>IF(H75&gt;H73,1,0)</f>
        <v>0</v>
      </c>
      <c r="J75" s="27">
        <f>IF(B75="",0,1)</f>
        <v>1</v>
      </c>
      <c r="K75" s="27">
        <f>IF(C75+F75=2,3,IF(C75+F75=1,1,0))</f>
        <v>0</v>
      </c>
      <c r="L75" s="27">
        <f>IF(K75=3,3,IF(I75+K75=2,2,IF(K75=1,1,0)))</f>
        <v>0</v>
      </c>
      <c r="M75" s="27">
        <f>B75+E75</f>
        <v>4</v>
      </c>
      <c r="N75" s="27">
        <f>C75+F75+I75</f>
        <v>0</v>
      </c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</row>
    <row r="76" ht="13.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</row>
    <row r="77" ht="13.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83" t="s">
        <v>82</v>
      </c>
      <c r="Q77" s="30"/>
      <c r="R77" s="30"/>
      <c r="S77" s="30"/>
      <c r="T77" s="30"/>
      <c r="U77" s="30"/>
      <c r="V77" s="30"/>
      <c r="W77" s="84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</row>
    <row r="78" ht="13.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</row>
    <row r="79" ht="30.0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85" t="s">
        <v>58</v>
      </c>
      <c r="Q79" s="83" t="s">
        <v>59</v>
      </c>
      <c r="R79" s="30"/>
      <c r="S79" s="30"/>
      <c r="T79" s="31"/>
      <c r="U79" s="86"/>
      <c r="V79" s="87"/>
      <c r="W79" s="85" t="s">
        <v>60</v>
      </c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</row>
    <row r="80" ht="15.75" hidden="1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37" t="s">
        <v>66</v>
      </c>
      <c r="R80" s="37" t="s">
        <v>67</v>
      </c>
      <c r="S80" s="37"/>
      <c r="T80" s="37" t="s">
        <v>66</v>
      </c>
      <c r="U80" s="37" t="s">
        <v>68</v>
      </c>
      <c r="V80" s="37"/>
      <c r="W80" s="37" t="s">
        <v>66</v>
      </c>
      <c r="X80" s="37" t="s">
        <v>69</v>
      </c>
      <c r="Y80" s="37" t="s">
        <v>70</v>
      </c>
      <c r="Z80" s="37" t="s">
        <v>71</v>
      </c>
      <c r="AA80" s="37" t="s">
        <v>72</v>
      </c>
      <c r="AB80" s="37" t="s">
        <v>73</v>
      </c>
      <c r="AC80" s="37" t="s">
        <v>74</v>
      </c>
      <c r="AD80" s="27"/>
      <c r="AE80" s="27"/>
      <c r="AF80" s="27"/>
      <c r="AG80" s="27"/>
      <c r="AH80" s="27"/>
      <c r="AI80" s="27"/>
      <c r="AJ80" s="27"/>
      <c r="AK80" s="27"/>
      <c r="AL80" s="27"/>
    </row>
    <row r="81" ht="13.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41" t="str">
        <f>AE22</f>
        <v>Emman Xuereb</v>
      </c>
      <c r="Q81" s="42">
        <v>6.0</v>
      </c>
      <c r="R81" s="43">
        <f>IF(Q81&gt;Q83,1,0)</f>
        <v>1</v>
      </c>
      <c r="S81" s="44"/>
      <c r="T81" s="42">
        <v>6.0</v>
      </c>
      <c r="U81" s="43">
        <f>IF(T81&gt;T83,1,0)</f>
        <v>1</v>
      </c>
      <c r="V81" s="44"/>
      <c r="W81" s="45"/>
      <c r="X81" s="27">
        <f>IF(W81&gt;W83,1,0)</f>
        <v>0</v>
      </c>
      <c r="Y81" s="27">
        <f>IF(Q81="",0,1)</f>
        <v>1</v>
      </c>
      <c r="Z81" s="27">
        <f>IF(R81+U81=2,3,IF(R81+U81=1,1,0))</f>
        <v>3</v>
      </c>
      <c r="AA81" s="27">
        <f>IF(Z81=3,3,IF(X81+Z81=2,2,IF(Z81=1,1,0)))</f>
        <v>3</v>
      </c>
      <c r="AB81" s="27">
        <f>Q81+T81</f>
        <v>12</v>
      </c>
      <c r="AC81" s="27">
        <f>R81+U81+X81</f>
        <v>2</v>
      </c>
      <c r="AD81" s="27"/>
      <c r="AE81" s="27"/>
      <c r="AF81" s="27"/>
      <c r="AG81" s="27"/>
      <c r="AH81" s="27"/>
      <c r="AI81" s="27"/>
      <c r="AJ81" s="27"/>
      <c r="AK81" s="27"/>
      <c r="AL81" s="27"/>
    </row>
    <row r="82" ht="13.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49" t="s">
        <v>78</v>
      </c>
      <c r="W82" s="50"/>
      <c r="X82" s="51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</row>
    <row r="83" ht="13.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52" t="str">
        <f>AE58</f>
        <v>Liam Dixon</v>
      </c>
      <c r="Q83" s="42">
        <v>0.0</v>
      </c>
      <c r="R83" s="53">
        <f>IF(Q83&gt;Q81,1,0)</f>
        <v>0</v>
      </c>
      <c r="S83" s="54"/>
      <c r="T83" s="42">
        <v>3.0</v>
      </c>
      <c r="U83" s="53">
        <f>IF(T83&gt;T81,1,0)</f>
        <v>0</v>
      </c>
      <c r="V83" s="54"/>
      <c r="W83" s="45"/>
      <c r="X83" s="27">
        <f>IF(W83&gt;W81,1,0)</f>
        <v>0</v>
      </c>
      <c r="Y83" s="27">
        <f>IF(Q83="",0,1)</f>
        <v>1</v>
      </c>
      <c r="Z83" s="27">
        <f>IF(R83+U83=2,3,IF(R83+U83=1,1,0))</f>
        <v>0</v>
      </c>
      <c r="AA83" s="27">
        <f>IF(Z83=3,3,IF(X83+Z83=2,2,IF(Z83=1,1,0)))</f>
        <v>0</v>
      </c>
      <c r="AB83" s="27">
        <f>Q83+T83</f>
        <v>3</v>
      </c>
      <c r="AC83" s="27">
        <f>R83+U83+X83</f>
        <v>0</v>
      </c>
      <c r="AD83" s="27"/>
      <c r="AE83" s="27"/>
      <c r="AF83" s="27"/>
      <c r="AG83" s="27"/>
      <c r="AH83" s="27"/>
      <c r="AI83" s="27"/>
      <c r="AJ83" s="27"/>
      <c r="AK83" s="27"/>
      <c r="AL83" s="27"/>
    </row>
    <row r="84" ht="13.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</row>
    <row r="85" ht="13.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83" t="s">
        <v>83</v>
      </c>
      <c r="Q85" s="30"/>
      <c r="R85" s="30"/>
      <c r="S85" s="30"/>
      <c r="T85" s="30"/>
      <c r="U85" s="30"/>
      <c r="V85" s="30"/>
      <c r="W85" s="31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</row>
    <row r="86" ht="13.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88" t="str">
        <f>IF(AA81&gt;AA83,P81,P83)</f>
        <v>Emman Xuereb</v>
      </c>
      <c r="Q86" s="89"/>
      <c r="R86" s="89"/>
      <c r="S86" s="89"/>
      <c r="T86" s="89"/>
      <c r="U86" s="89"/>
      <c r="V86" s="89"/>
      <c r="W86" s="90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</row>
    <row r="87" ht="13.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</row>
    <row r="88" ht="13.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</row>
    <row r="89" ht="13.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83" t="s">
        <v>84</v>
      </c>
      <c r="Q89" s="30"/>
      <c r="R89" s="30"/>
      <c r="S89" s="30"/>
      <c r="T89" s="30"/>
      <c r="U89" s="30"/>
      <c r="V89" s="30"/>
      <c r="W89" s="31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</row>
    <row r="90" ht="13.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88" t="str">
        <f>IF(AA81&lt;AA83,P81,P83)</f>
        <v>Liam Dixon</v>
      </c>
      <c r="Q90" s="89"/>
      <c r="R90" s="89"/>
      <c r="S90" s="89"/>
      <c r="T90" s="89"/>
      <c r="U90" s="89"/>
      <c r="V90" s="89"/>
      <c r="W90" s="90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</row>
    <row r="91" ht="13.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</row>
    <row r="92" ht="13.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</row>
    <row r="93" ht="13.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</row>
    <row r="94" ht="13.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</row>
    <row r="95" ht="13.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</row>
    <row r="96" ht="13.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</row>
    <row r="97" ht="13.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</row>
    <row r="98" ht="13.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</row>
    <row r="99" ht="13.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</row>
    <row r="100" ht="13.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</row>
    <row r="101" ht="13.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</row>
    <row r="102" ht="13.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</row>
    <row r="103" ht="13.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</row>
    <row r="104" ht="13.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</row>
    <row r="105" ht="13.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</row>
    <row r="106" ht="13.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36"/>
      <c r="R106" s="36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</row>
    <row r="107" ht="13.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</row>
    <row r="108" ht="13.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</row>
    <row r="109" ht="13.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</row>
    <row r="110" ht="13.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</row>
    <row r="111" ht="13.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</row>
    <row r="112" ht="13.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</row>
    <row r="113" ht="13.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</row>
    <row r="114" ht="13.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</row>
    <row r="115" ht="13.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</row>
    <row r="116" ht="13.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</row>
    <row r="117" ht="13.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</row>
    <row r="118" ht="13.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</row>
    <row r="119" ht="13.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</row>
    <row r="120" ht="13.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</row>
    <row r="121" ht="13.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</row>
    <row r="122" ht="13.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</row>
    <row r="123" ht="13.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</row>
    <row r="124" ht="13.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</row>
    <row r="125" ht="13.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</row>
    <row r="126" ht="13.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</row>
    <row r="127" ht="13.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</row>
    <row r="128" ht="13.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</row>
    <row r="129" ht="13.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</row>
    <row r="130" ht="13.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</row>
    <row r="131" ht="13.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</row>
    <row r="132" ht="13.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</row>
    <row r="133" ht="13.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</row>
    <row r="134" ht="13.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</row>
    <row r="135" ht="13.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</row>
    <row r="136" ht="13.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</row>
    <row r="137" ht="13.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</row>
    <row r="138" ht="13.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</row>
    <row r="139" ht="13.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</row>
    <row r="140" ht="13.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</row>
    <row r="141" ht="13.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</row>
    <row r="142" ht="13.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</row>
    <row r="143" ht="13.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</row>
    <row r="144" ht="13.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</row>
    <row r="145" ht="13.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</row>
    <row r="146" ht="13.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</row>
    <row r="147" ht="13.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</row>
    <row r="148" ht="13.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</row>
    <row r="149" ht="13.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</row>
    <row r="150" ht="13.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</row>
    <row r="151" ht="13.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</row>
    <row r="152" ht="13.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</row>
    <row r="153" ht="13.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</row>
    <row r="154" ht="13.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</row>
    <row r="155" ht="13.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</row>
    <row r="156" ht="13.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</row>
    <row r="157" ht="13.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</row>
    <row r="158" ht="13.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</row>
    <row r="159" ht="13.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</row>
    <row r="160" ht="13.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</row>
    <row r="161" ht="13.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</row>
    <row r="162" ht="13.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</row>
    <row r="163" ht="13.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</row>
    <row r="164" ht="13.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</row>
    <row r="165" ht="13.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</row>
    <row r="166" ht="13.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</row>
    <row r="167" ht="13.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</row>
    <row r="168" ht="13.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</row>
    <row r="169" ht="13.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</row>
    <row r="170" ht="13.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</row>
    <row r="171" ht="13.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</row>
    <row r="172" ht="13.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</row>
    <row r="173" ht="13.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</row>
    <row r="174" ht="13.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</row>
    <row r="175" ht="13.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</row>
    <row r="176" ht="13.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</row>
    <row r="177" ht="13.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</row>
    <row r="178" ht="13.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</row>
    <row r="179" ht="13.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</row>
    <row r="180" ht="13.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</row>
    <row r="181" ht="13.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</row>
    <row r="182" ht="13.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</row>
    <row r="183" ht="13.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</row>
    <row r="184" ht="13.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</row>
    <row r="185" ht="13.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</row>
    <row r="186" ht="13.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</row>
    <row r="187" ht="13.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</row>
    <row r="188" ht="13.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</row>
    <row r="189" ht="13.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</row>
    <row r="190" ht="13.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</row>
    <row r="191" ht="13.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</row>
    <row r="192" ht="13.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</row>
    <row r="193" ht="13.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</row>
    <row r="194" ht="13.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</row>
    <row r="195" ht="13.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</row>
    <row r="196" ht="13.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</row>
    <row r="197" ht="13.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</row>
    <row r="198" ht="13.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</row>
    <row r="199" ht="13.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</row>
    <row r="200" ht="13.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</row>
    <row r="201" ht="13.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</row>
    <row r="202" ht="13.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</row>
    <row r="203" ht="13.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</row>
    <row r="204" ht="13.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</row>
    <row r="205" ht="13.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</row>
    <row r="206" ht="13.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</row>
    <row r="207" ht="13.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</row>
    <row r="208" ht="13.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</row>
    <row r="209" ht="13.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</row>
    <row r="210" ht="13.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</row>
    <row r="211" ht="13.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</row>
    <row r="212" ht="13.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</row>
    <row r="213" ht="13.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</row>
    <row r="214" ht="13.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</row>
    <row r="215" ht="13.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</row>
    <row r="216" ht="13.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</row>
    <row r="217" ht="13.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</row>
    <row r="218" ht="13.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</row>
    <row r="219" ht="13.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</row>
    <row r="220" ht="13.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</row>
    <row r="221" ht="13.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</row>
    <row r="222" ht="13.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</row>
    <row r="223" ht="13.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</row>
    <row r="224" ht="13.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</row>
    <row r="225" ht="13.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</row>
    <row r="226" ht="13.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</row>
    <row r="227" ht="13.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</row>
    <row r="228" ht="13.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</row>
    <row r="229" ht="13.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</row>
    <row r="230" ht="13.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</row>
    <row r="231" ht="13.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</row>
    <row r="232" ht="13.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</row>
    <row r="233" ht="13.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</row>
    <row r="234" ht="13.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</row>
    <row r="235" ht="13.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</row>
    <row r="236" ht="13.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</row>
    <row r="237" ht="13.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</row>
    <row r="238" ht="13.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</row>
    <row r="239" ht="13.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</row>
    <row r="240" ht="13.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</row>
    <row r="241" ht="13.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</row>
    <row r="242" ht="13.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</row>
    <row r="243" ht="13.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</row>
    <row r="244" ht="13.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</row>
    <row r="245" ht="13.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</row>
    <row r="246" ht="13.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</row>
    <row r="247" ht="13.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</row>
    <row r="248" ht="13.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</row>
    <row r="249" ht="13.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</row>
    <row r="250" ht="13.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</row>
    <row r="251" ht="13.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</row>
    <row r="252" ht="13.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</row>
    <row r="253" ht="13.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</row>
    <row r="254" ht="13.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</row>
    <row r="255" ht="13.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</row>
    <row r="256" ht="13.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</row>
    <row r="257" ht="13.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</row>
    <row r="258" ht="13.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</row>
    <row r="259" ht="13.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</row>
    <row r="260" ht="13.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</row>
    <row r="261" ht="13.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</row>
    <row r="262" ht="13.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</row>
    <row r="263" ht="13.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</row>
    <row r="264" ht="13.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</row>
    <row r="265" ht="13.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</row>
    <row r="266" ht="13.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</row>
    <row r="267" ht="13.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</row>
    <row r="268" ht="13.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</row>
    <row r="269" ht="13.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</row>
    <row r="270" ht="13.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</row>
    <row r="271" ht="13.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</row>
    <row r="272" ht="13.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</row>
    <row r="273" ht="13.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</row>
    <row r="274" ht="13.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</row>
    <row r="275" ht="13.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</row>
    <row r="276" ht="13.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</row>
    <row r="277" ht="13.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</row>
    <row r="278" ht="13.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</row>
    <row r="279" ht="13.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</row>
    <row r="280" ht="13.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</row>
    <row r="281" ht="13.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</row>
    <row r="282" ht="13.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</row>
    <row r="283" ht="13.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</row>
    <row r="284" ht="13.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</row>
    <row r="285" ht="13.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</row>
    <row r="286" ht="13.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</row>
    <row r="287" ht="13.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</row>
    <row r="288" ht="13.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</row>
    <row r="289" ht="13.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</row>
    <row r="290" ht="13.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</row>
  </sheetData>
  <mergeCells count="48">
    <mergeCell ref="A1:AI2"/>
    <mergeCell ref="A5:AI5"/>
    <mergeCell ref="B7:E7"/>
    <mergeCell ref="Q7:T7"/>
    <mergeCell ref="A10:H10"/>
    <mergeCell ref="P10:W10"/>
    <mergeCell ref="P14:W14"/>
    <mergeCell ref="A14:H14"/>
    <mergeCell ref="A18:H18"/>
    <mergeCell ref="P18:W18"/>
    <mergeCell ref="AE21:AI21"/>
    <mergeCell ref="A22:H22"/>
    <mergeCell ref="P22:W22"/>
    <mergeCell ref="AE22:AI22"/>
    <mergeCell ref="A26:H26"/>
    <mergeCell ref="P26:W26"/>
    <mergeCell ref="A30:H30"/>
    <mergeCell ref="P30:W30"/>
    <mergeCell ref="A34:H34"/>
    <mergeCell ref="P34:W34"/>
    <mergeCell ref="A41:AI41"/>
    <mergeCell ref="Q43:T43"/>
    <mergeCell ref="P46:W46"/>
    <mergeCell ref="P50:W50"/>
    <mergeCell ref="P54:W54"/>
    <mergeCell ref="AE57:AI57"/>
    <mergeCell ref="P58:W58"/>
    <mergeCell ref="AE58:AI58"/>
    <mergeCell ref="A66:H66"/>
    <mergeCell ref="A70:H70"/>
    <mergeCell ref="A74:H74"/>
    <mergeCell ref="A38:H38"/>
    <mergeCell ref="B43:E43"/>
    <mergeCell ref="A46:H46"/>
    <mergeCell ref="A50:H50"/>
    <mergeCell ref="A54:H54"/>
    <mergeCell ref="A58:H58"/>
    <mergeCell ref="A62:H62"/>
    <mergeCell ref="P86:W86"/>
    <mergeCell ref="P89:W89"/>
    <mergeCell ref="P90:W90"/>
    <mergeCell ref="P62:W62"/>
    <mergeCell ref="P66:W66"/>
    <mergeCell ref="P70:W70"/>
    <mergeCell ref="P77:W77"/>
    <mergeCell ref="Q79:T79"/>
    <mergeCell ref="P82:W82"/>
    <mergeCell ref="P85:W85"/>
  </mergeCells>
  <printOptions/>
  <pageMargins bottom="1.0" footer="0.0" header="0.0" left="0.75" right="0.75" top="1.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5.75"/>
    <col customWidth="1" min="2" max="2" width="7.0"/>
    <col customWidth="1" hidden="1" min="3" max="3" width="6.13"/>
    <col customWidth="1" min="4" max="4" width="1.75"/>
    <col customWidth="1" min="5" max="5" width="7.0"/>
    <col customWidth="1" hidden="1" min="6" max="6" width="6.13"/>
    <col customWidth="1" min="7" max="7" width="1.75"/>
    <col customWidth="1" min="8" max="8" width="7.0"/>
    <col customWidth="1" hidden="1" min="9" max="9" width="6.13"/>
    <col customWidth="1" hidden="1" min="10" max="10" width="7.75"/>
    <col customWidth="1" hidden="1" min="11" max="11" width="7.38"/>
    <col customWidth="1" hidden="1" min="12" max="12" width="11.25"/>
    <col customWidth="1" hidden="1" min="13" max="13" width="8.0"/>
    <col customWidth="1" hidden="1" min="14" max="14" width="6.13"/>
    <col customWidth="1" min="15" max="15" width="8.75"/>
    <col customWidth="1" min="16" max="16" width="45.75"/>
    <col customWidth="1" min="17" max="17" width="7.0"/>
    <col customWidth="1" hidden="1" min="18" max="18" width="6.13"/>
    <col customWidth="1" min="19" max="19" width="1.75"/>
    <col customWidth="1" min="20" max="20" width="7.0"/>
    <col customWidth="1" hidden="1" min="21" max="21" width="6.13"/>
    <col customWidth="1" min="22" max="22" width="1.75"/>
    <col customWidth="1" min="23" max="23" width="7.0"/>
    <col customWidth="1" hidden="1" min="24" max="24" width="6.13"/>
    <col customWidth="1" hidden="1" min="25" max="25" width="7.75"/>
    <col customWidth="1" hidden="1" min="26" max="26" width="7.38"/>
    <col customWidth="1" hidden="1" min="27" max="27" width="11.25"/>
    <col customWidth="1" hidden="1" min="28" max="28" width="8.0"/>
    <col customWidth="1" hidden="1" min="29" max="29" width="6.13"/>
    <col customWidth="1" min="30" max="30" width="8.75"/>
    <col customWidth="1" min="31" max="31" width="45.75"/>
    <col customWidth="1" min="32" max="32" width="9.63"/>
    <col customWidth="1" min="33" max="35" width="8.75"/>
    <col customWidth="1" hidden="1" min="36" max="36" width="9.25"/>
    <col customWidth="1" hidden="1" min="37" max="37" width="12.0"/>
    <col customWidth="1" hidden="1" min="38" max="38" width="8.0"/>
    <col customWidth="1" hidden="1" min="39" max="40" width="41.13"/>
  </cols>
  <sheetData>
    <row r="1" ht="21.0" customHeight="1">
      <c r="A1" s="22" t="s">
        <v>0</v>
      </c>
      <c r="AJ1" s="6"/>
      <c r="AK1" s="6"/>
      <c r="AL1" s="6"/>
      <c r="AM1" s="6"/>
      <c r="AN1" s="6"/>
    </row>
    <row r="2" ht="21.0" customHeight="1">
      <c r="AJ2" s="6"/>
      <c r="AK2" s="6"/>
      <c r="AL2" s="6"/>
      <c r="AM2" s="6"/>
      <c r="AN2" s="6"/>
    </row>
    <row r="3" ht="15.0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</row>
    <row r="4" ht="15.0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</row>
    <row r="5">
      <c r="A5" s="105" t="s">
        <v>88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6"/>
      <c r="AJ5" s="27"/>
      <c r="AK5" s="27"/>
      <c r="AL5" s="27"/>
      <c r="AM5" s="27"/>
      <c r="AN5" s="27"/>
    </row>
    <row r="6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</row>
    <row r="7" ht="30.75" customHeight="1">
      <c r="A7" s="106" t="s">
        <v>58</v>
      </c>
      <c r="B7" s="107" t="s">
        <v>59</v>
      </c>
      <c r="C7" s="30"/>
      <c r="D7" s="30"/>
      <c r="E7" s="31"/>
      <c r="F7" s="95"/>
      <c r="G7" s="64"/>
      <c r="H7" s="106" t="s">
        <v>60</v>
      </c>
      <c r="I7" s="34"/>
      <c r="J7" s="34"/>
      <c r="K7" s="34"/>
      <c r="L7" s="34"/>
      <c r="M7" s="35"/>
      <c r="N7" s="35"/>
      <c r="O7" s="34"/>
      <c r="P7" s="106" t="s">
        <v>58</v>
      </c>
      <c r="Q7" s="107" t="s">
        <v>59</v>
      </c>
      <c r="R7" s="30"/>
      <c r="S7" s="30"/>
      <c r="T7" s="31"/>
      <c r="U7" s="95"/>
      <c r="V7" s="64"/>
      <c r="W7" s="106" t="s">
        <v>60</v>
      </c>
      <c r="X7" s="34"/>
      <c r="Y7" s="35"/>
      <c r="Z7" s="35"/>
      <c r="AA7" s="35"/>
      <c r="AB7" s="35"/>
      <c r="AC7" s="35"/>
      <c r="AD7" s="34"/>
      <c r="AE7" s="106" t="s">
        <v>61</v>
      </c>
      <c r="AF7" s="106" t="s">
        <v>62</v>
      </c>
      <c r="AG7" s="106" t="s">
        <v>63</v>
      </c>
      <c r="AH7" s="106" t="s">
        <v>64</v>
      </c>
      <c r="AI7" s="106" t="s">
        <v>65</v>
      </c>
      <c r="AJ7" s="36"/>
      <c r="AK7" s="36"/>
      <c r="AL7" s="36"/>
      <c r="AM7" s="27"/>
      <c r="AN7" s="27"/>
    </row>
    <row r="8" ht="41.25" hidden="1" customHeight="1">
      <c r="A8" s="27"/>
      <c r="B8" s="37" t="s">
        <v>66</v>
      </c>
      <c r="C8" s="37" t="s">
        <v>67</v>
      </c>
      <c r="D8" s="37"/>
      <c r="E8" s="37" t="s">
        <v>66</v>
      </c>
      <c r="F8" s="37" t="s">
        <v>68</v>
      </c>
      <c r="G8" s="37"/>
      <c r="H8" s="37" t="s">
        <v>66</v>
      </c>
      <c r="I8" s="37" t="s">
        <v>69</v>
      </c>
      <c r="J8" s="37" t="s">
        <v>70</v>
      </c>
      <c r="K8" s="37" t="s">
        <v>71</v>
      </c>
      <c r="L8" s="37" t="s">
        <v>72</v>
      </c>
      <c r="M8" s="37" t="s">
        <v>73</v>
      </c>
      <c r="N8" s="37" t="s">
        <v>74</v>
      </c>
      <c r="O8" s="27"/>
      <c r="P8" s="27"/>
      <c r="Q8" s="37" t="s">
        <v>66</v>
      </c>
      <c r="R8" s="37" t="s">
        <v>67</v>
      </c>
      <c r="S8" s="37"/>
      <c r="T8" s="37" t="s">
        <v>66</v>
      </c>
      <c r="U8" s="37" t="s">
        <v>68</v>
      </c>
      <c r="V8" s="37"/>
      <c r="W8" s="37" t="s">
        <v>66</v>
      </c>
      <c r="X8" s="37" t="s">
        <v>69</v>
      </c>
      <c r="Y8" s="37" t="s">
        <v>70</v>
      </c>
      <c r="Z8" s="37" t="s">
        <v>71</v>
      </c>
      <c r="AA8" s="37" t="s">
        <v>72</v>
      </c>
      <c r="AB8" s="37" t="s">
        <v>73</v>
      </c>
      <c r="AC8" s="37" t="s">
        <v>74</v>
      </c>
      <c r="AD8" s="27"/>
      <c r="AE8" s="36"/>
      <c r="AF8" s="36"/>
      <c r="AG8" s="36"/>
      <c r="AH8" s="36"/>
      <c r="AI8" s="36"/>
      <c r="AJ8" s="37" t="s">
        <v>75</v>
      </c>
      <c r="AK8" s="37" t="s">
        <v>89</v>
      </c>
      <c r="AL8" s="39" t="s">
        <v>76</v>
      </c>
      <c r="AM8" s="40" t="s">
        <v>77</v>
      </c>
      <c r="AN8" s="40" t="s">
        <v>90</v>
      </c>
    </row>
    <row r="9" ht="15.0" customHeight="1">
      <c r="A9" s="41" t="str">
        <f>AE9</f>
        <v>Etienne Formosa Carabez</v>
      </c>
      <c r="B9" s="42">
        <v>6.0</v>
      </c>
      <c r="C9" s="43">
        <f>IF(B9&gt;B11,1,0)</f>
        <v>1</v>
      </c>
      <c r="D9" s="44"/>
      <c r="E9" s="42">
        <v>6.0</v>
      </c>
      <c r="F9" s="43">
        <f>IF(E9&gt;E11,1,0)</f>
        <v>1</v>
      </c>
      <c r="G9" s="44"/>
      <c r="H9" s="45"/>
      <c r="I9" s="27">
        <f>IF(H9&gt;H11,1,0)</f>
        <v>0</v>
      </c>
      <c r="J9" s="27">
        <f>IF(B9="",0,1)</f>
        <v>1</v>
      </c>
      <c r="K9" s="27">
        <f>IF(C9+F9=2,3,IF(C9+F9=1,1,0))</f>
        <v>3</v>
      </c>
      <c r="L9" s="27">
        <f>IF(K9=3,3,IF(I9+K9=2,2,IF(K9=1,1,0)))</f>
        <v>3</v>
      </c>
      <c r="M9" s="27">
        <f>B9+E9</f>
        <v>12</v>
      </c>
      <c r="N9" s="27">
        <f>C9+F9+I9</f>
        <v>2</v>
      </c>
      <c r="O9" s="27"/>
      <c r="P9" s="41" t="str">
        <f>AE9</f>
        <v>Etienne Formosa Carabez</v>
      </c>
      <c r="Q9" s="42">
        <v>6.0</v>
      </c>
      <c r="R9" s="43">
        <f>IF(Q9&gt;Q11,1,0)</f>
        <v>1</v>
      </c>
      <c r="S9" s="44"/>
      <c r="T9" s="42">
        <v>6.0</v>
      </c>
      <c r="U9" s="43">
        <f>IF(T9&gt;T11,1,0)</f>
        <v>1</v>
      </c>
      <c r="V9" s="44"/>
      <c r="W9" s="45"/>
      <c r="X9" s="27">
        <f>IF(W9&gt;W11,1,0)</f>
        <v>0</v>
      </c>
      <c r="Y9" s="27">
        <f>IF(Q9="",0,1)</f>
        <v>1</v>
      </c>
      <c r="Z9" s="27">
        <f>IF(R9+U9=2,3,IF(R9+U9=1,1,0))</f>
        <v>3</v>
      </c>
      <c r="AA9" s="27">
        <f>IF(Z9=3,3,IF(X9+Z9=2,2,IF(Z9=1,1,0)))</f>
        <v>3</v>
      </c>
      <c r="AB9" s="27">
        <f>Q9+T9</f>
        <v>12</v>
      </c>
      <c r="AC9" s="27">
        <f>R9+U9+X9</f>
        <v>2</v>
      </c>
      <c r="AD9" s="27"/>
      <c r="AE9" s="108" t="str">
        <f>'Players - Men'!B22</f>
        <v>Etienne Formosa Carabez</v>
      </c>
      <c r="AF9" s="47">
        <f>J9+Y9+J13+Y13+J17</f>
        <v>5</v>
      </c>
      <c r="AG9" s="47">
        <f t="shared" ref="AG9:AI9" si="1">L9+AA9+L13+AA13+L17</f>
        <v>13</v>
      </c>
      <c r="AH9" s="47">
        <f t="shared" si="1"/>
        <v>57</v>
      </c>
      <c r="AI9" s="48">
        <f t="shared" si="1"/>
        <v>9</v>
      </c>
      <c r="AJ9" s="27">
        <f>MAX(AG9:AG19)</f>
        <v>13</v>
      </c>
      <c r="AK9" s="27">
        <f>LARGE(AG9:AG19, 2)</f>
        <v>10</v>
      </c>
      <c r="AL9" s="27">
        <f>SUM(AF9:AF19)</f>
        <v>30</v>
      </c>
      <c r="AM9" s="27" t="str">
        <f>IF(AG9=$AJ$9,AE9,IF(AG11=$AJ$9,AE11,IF(AG13=$AJ$9,AE13,IF(AG15=$AJ$9,AE15,IF(AG17=$AJ$9,AE17,"")))))</f>
        <v>Etienne Formosa Carabez</v>
      </c>
      <c r="AN9" s="27" t="str">
        <f>IF(AG9=$AK$9,AE9,IF(AG11=$AK$9,AE11,IF(AG13=$AK$9,AE13,IF(AG15=$AK$9,AE15,IF(AG17=$AK$9,AE17,"")))))</f>
        <v/>
      </c>
    </row>
    <row r="10" ht="15.0" customHeight="1">
      <c r="A10" s="49" t="s">
        <v>78</v>
      </c>
      <c r="H10" s="50"/>
      <c r="I10" s="51"/>
      <c r="J10" s="27"/>
      <c r="K10" s="27"/>
      <c r="L10" s="27"/>
      <c r="M10" s="27"/>
      <c r="N10" s="27"/>
      <c r="O10" s="27"/>
      <c r="P10" s="49" t="s">
        <v>78</v>
      </c>
      <c r="W10" s="50"/>
      <c r="X10" s="51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36"/>
      <c r="AL10" s="36"/>
      <c r="AM10" s="27"/>
      <c r="AN10" s="27"/>
    </row>
    <row r="11" ht="15.0" customHeight="1">
      <c r="A11" s="52" t="str">
        <f>AE11</f>
        <v>David Camilleri</v>
      </c>
      <c r="B11" s="42">
        <v>3.0</v>
      </c>
      <c r="C11" s="53">
        <f>IF(B11&gt;B9,1,0)</f>
        <v>0</v>
      </c>
      <c r="D11" s="54"/>
      <c r="E11" s="42">
        <v>3.0</v>
      </c>
      <c r="F11" s="53">
        <f>IF(E11&gt;E9,1,0)</f>
        <v>0</v>
      </c>
      <c r="G11" s="54"/>
      <c r="H11" s="45"/>
      <c r="I11" s="27">
        <f>IF(H11&gt;H9,1,0)</f>
        <v>0</v>
      </c>
      <c r="J11" s="27">
        <f>IF(B11="",0,1)</f>
        <v>1</v>
      </c>
      <c r="K11" s="27">
        <f>IF(C11+F11=2,3,IF(C11+F11=1,1,0))</f>
        <v>0</v>
      </c>
      <c r="L11" s="27">
        <f>IF(K11=3,3,IF(I11+K11=2,2,IF(K11=1,1,0)))</f>
        <v>0</v>
      </c>
      <c r="M11" s="27">
        <f>B11+E11</f>
        <v>6</v>
      </c>
      <c r="N11" s="27">
        <f>C11+F11+I11</f>
        <v>0</v>
      </c>
      <c r="O11" s="27"/>
      <c r="P11" s="52" t="str">
        <f>AE13</f>
        <v>Cory Greenland</v>
      </c>
      <c r="Q11" s="42">
        <v>3.0</v>
      </c>
      <c r="R11" s="53">
        <f>IF(Q11&gt;Q9,1,0)</f>
        <v>0</v>
      </c>
      <c r="S11" s="54"/>
      <c r="T11" s="42">
        <v>2.0</v>
      </c>
      <c r="U11" s="53">
        <f>IF(T11&gt;T9,1,0)</f>
        <v>0</v>
      </c>
      <c r="V11" s="54"/>
      <c r="W11" s="45"/>
      <c r="X11" s="27">
        <f>IF(W11&gt;W9,1,0)</f>
        <v>0</v>
      </c>
      <c r="Y11" s="27">
        <f>IF(Q11="",0,1)</f>
        <v>1</v>
      </c>
      <c r="Z11" s="27">
        <f>IF(R11+U11=2,3,IF(R11+U11=1,1,0))</f>
        <v>0</v>
      </c>
      <c r="AA11" s="27">
        <f>IF(Z11=3,3,IF(X11+Z11=2,2,IF(Z11=1,1,0)))</f>
        <v>0</v>
      </c>
      <c r="AB11" s="27">
        <f>Q11+T11</f>
        <v>5</v>
      </c>
      <c r="AC11" s="27">
        <f>R11+U11+X11</f>
        <v>0</v>
      </c>
      <c r="AD11" s="27"/>
      <c r="AE11" s="108" t="str">
        <f>'Players - Men'!B23</f>
        <v>David Camilleri</v>
      </c>
      <c r="AF11" s="47">
        <f>J11+Y25+J25+Y21+J21</f>
        <v>5</v>
      </c>
      <c r="AG11" s="47">
        <f t="shared" ref="AG11:AI11" si="2">L11+AA25+L25+AA21+L21</f>
        <v>5</v>
      </c>
      <c r="AH11" s="47">
        <f t="shared" si="2"/>
        <v>33</v>
      </c>
      <c r="AI11" s="48">
        <f t="shared" si="2"/>
        <v>5</v>
      </c>
      <c r="AJ11" s="36"/>
      <c r="AK11" s="36"/>
      <c r="AL11" s="36"/>
      <c r="AM11" s="27"/>
      <c r="AN11" s="27"/>
    </row>
    <row r="12" ht="15.0" customHeight="1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36"/>
      <c r="AG12" s="36"/>
      <c r="AH12" s="36"/>
      <c r="AI12" s="36"/>
      <c r="AJ12" s="36"/>
      <c r="AK12" s="36"/>
      <c r="AL12" s="36"/>
      <c r="AM12" s="27"/>
      <c r="AN12" s="27"/>
    </row>
    <row r="13" ht="15.0" customHeight="1">
      <c r="A13" s="41" t="str">
        <f>AE9</f>
        <v>Etienne Formosa Carabez</v>
      </c>
      <c r="B13" s="42">
        <v>6.0</v>
      </c>
      <c r="C13" s="43">
        <f>IF(B13&gt;B15,1,0)</f>
        <v>1</v>
      </c>
      <c r="D13" s="44"/>
      <c r="E13" s="42">
        <v>6.0</v>
      </c>
      <c r="F13" s="43">
        <f>IF(E13&gt;E15,1,0)</f>
        <v>1</v>
      </c>
      <c r="G13" s="44"/>
      <c r="H13" s="45"/>
      <c r="I13" s="27">
        <f>IF(H13&gt;H15,1,0)</f>
        <v>0</v>
      </c>
      <c r="J13" s="27">
        <f>IF(B13="",0,1)</f>
        <v>1</v>
      </c>
      <c r="K13" s="27">
        <f>IF(C13+F13=2,3,IF(C13+F13=1,1,0))</f>
        <v>3</v>
      </c>
      <c r="L13" s="27">
        <f>IF(K13=3,3,IF(I13+K13=2,2,IF(K13=1,1,0)))</f>
        <v>3</v>
      </c>
      <c r="M13" s="27">
        <f>B13+E13</f>
        <v>12</v>
      </c>
      <c r="N13" s="27">
        <f>C13+F13+I13</f>
        <v>2</v>
      </c>
      <c r="O13" s="27"/>
      <c r="P13" s="41" t="str">
        <f>AE9</f>
        <v>Etienne Formosa Carabez</v>
      </c>
      <c r="Q13" s="42">
        <v>7.0</v>
      </c>
      <c r="R13" s="43">
        <f>IF(Q13&gt;Q15,1,0)</f>
        <v>1</v>
      </c>
      <c r="S13" s="44"/>
      <c r="T13" s="42">
        <v>2.0</v>
      </c>
      <c r="U13" s="43">
        <f>IF(T13&gt;T15,1,0)</f>
        <v>0</v>
      </c>
      <c r="V13" s="44"/>
      <c r="W13" s="42">
        <v>6.0</v>
      </c>
      <c r="X13" s="27">
        <f>IF(W13&gt;W15,1,0)</f>
        <v>0</v>
      </c>
      <c r="Y13" s="27">
        <f>IF(Q13="",0,1)</f>
        <v>1</v>
      </c>
      <c r="Z13" s="27">
        <f>IF(R13+U13=2,3,IF(R13+U13=1,1,0))</f>
        <v>1</v>
      </c>
      <c r="AA13" s="27">
        <f>IF(Z13=3,3,IF(X13+Z13=2,2,IF(Z13=1,1,0)))</f>
        <v>1</v>
      </c>
      <c r="AB13" s="27">
        <f>Q13+T13</f>
        <v>9</v>
      </c>
      <c r="AC13" s="27">
        <f>R13+U13+X13</f>
        <v>1</v>
      </c>
      <c r="AD13" s="27"/>
      <c r="AE13" s="108" t="str">
        <f>'Players - Men'!B24</f>
        <v>Cory Greenland</v>
      </c>
      <c r="AF13" s="47">
        <f>Y29+Y11+Y33+J33+J23</f>
        <v>5</v>
      </c>
      <c r="AG13" s="47">
        <f t="shared" ref="AG13:AI13" si="3">AA29+AA11+AA33+L33+L23</f>
        <v>8</v>
      </c>
      <c r="AH13" s="47">
        <f t="shared" si="3"/>
        <v>43</v>
      </c>
      <c r="AI13" s="48">
        <f t="shared" si="3"/>
        <v>6</v>
      </c>
      <c r="AJ13" s="36"/>
      <c r="AK13" s="36"/>
      <c r="AL13" s="36"/>
      <c r="AM13" s="27"/>
      <c r="AN13" s="27"/>
    </row>
    <row r="14" ht="15.0" customHeight="1">
      <c r="A14" s="49" t="s">
        <v>78</v>
      </c>
      <c r="H14" s="50"/>
      <c r="I14" s="51"/>
      <c r="J14" s="27"/>
      <c r="K14" s="27"/>
      <c r="L14" s="27"/>
      <c r="M14" s="27"/>
      <c r="N14" s="27"/>
      <c r="O14" s="27"/>
      <c r="P14" s="49" t="s">
        <v>78</v>
      </c>
      <c r="W14" s="50"/>
      <c r="X14" s="51"/>
      <c r="Y14" s="27"/>
      <c r="Z14" s="27"/>
      <c r="AA14" s="27"/>
      <c r="AB14" s="27"/>
      <c r="AC14" s="27"/>
      <c r="AD14" s="27"/>
      <c r="AE14" s="27"/>
      <c r="AF14" s="36"/>
      <c r="AG14" s="36"/>
      <c r="AH14" s="36"/>
      <c r="AI14" s="36"/>
      <c r="AJ14" s="36"/>
      <c r="AK14" s="36"/>
      <c r="AL14" s="36"/>
      <c r="AM14" s="27"/>
      <c r="AN14" s="27"/>
    </row>
    <row r="15" ht="15.0" customHeight="1">
      <c r="A15" s="52" t="str">
        <f>AE15</f>
        <v>Jason Lee Evans</v>
      </c>
      <c r="B15" s="42">
        <v>0.0</v>
      </c>
      <c r="C15" s="53">
        <f>IF(B15&gt;B13,1,0)</f>
        <v>0</v>
      </c>
      <c r="D15" s="54"/>
      <c r="E15" s="42">
        <v>1.0</v>
      </c>
      <c r="F15" s="53">
        <f>IF(E15&gt;E13,1,0)</f>
        <v>0</v>
      </c>
      <c r="G15" s="54"/>
      <c r="H15" s="45"/>
      <c r="I15" s="27">
        <f>IF(H15&gt;H13,1,0)</f>
        <v>0</v>
      </c>
      <c r="J15" s="27">
        <f>IF(B15="",0,1)</f>
        <v>1</v>
      </c>
      <c r="K15" s="27">
        <f>IF(C15+F15=2,3,IF(C15+F15=1,1,0))</f>
        <v>0</v>
      </c>
      <c r="L15" s="27">
        <f>IF(K15=3,3,IF(I15+K15=2,2,IF(K15=1,1,0)))</f>
        <v>0</v>
      </c>
      <c r="M15" s="27">
        <f>B15+E15</f>
        <v>1</v>
      </c>
      <c r="N15" s="27">
        <f>C15+F15+I15</f>
        <v>0</v>
      </c>
      <c r="O15" s="27"/>
      <c r="P15" s="52" t="str">
        <f>AE17</f>
        <v>Adrian Duca</v>
      </c>
      <c r="Q15" s="42">
        <v>5.0</v>
      </c>
      <c r="R15" s="53">
        <f>IF(Q15&gt;Q13,1,0)</f>
        <v>0</v>
      </c>
      <c r="S15" s="54"/>
      <c r="T15" s="42">
        <v>6.0</v>
      </c>
      <c r="U15" s="53">
        <f>IF(T15&gt;T13,1,0)</f>
        <v>1</v>
      </c>
      <c r="V15" s="54"/>
      <c r="W15" s="42">
        <v>10.0</v>
      </c>
      <c r="X15" s="27">
        <f>IF(W15&gt;W13,1,0)</f>
        <v>1</v>
      </c>
      <c r="Y15" s="27">
        <f>IF(Q15="",0,1)</f>
        <v>1</v>
      </c>
      <c r="Z15" s="27">
        <f>IF(R15+U15=2,3,IF(R15+U15=1,1,0))</f>
        <v>1</v>
      </c>
      <c r="AA15" s="27">
        <f>IF(Z15=3,3,IF(X15+Z15=2,2,IF(Z15=1,1,0)))</f>
        <v>2</v>
      </c>
      <c r="AB15" s="27">
        <f>Q15+T15</f>
        <v>11</v>
      </c>
      <c r="AC15" s="27">
        <f>R15+U15+X15</f>
        <v>2</v>
      </c>
      <c r="AD15" s="27"/>
      <c r="AE15" s="108" t="str">
        <f>'Players - Men'!B25</f>
        <v>Jason Lee Evans</v>
      </c>
      <c r="AF15" s="47">
        <f>Y31+J37+J15+Y23+J29</f>
        <v>5</v>
      </c>
      <c r="AG15" s="47">
        <f t="shared" ref="AG15:AI15" si="4">AA31+L37+L15+AA23+L29</f>
        <v>1</v>
      </c>
      <c r="AH15" s="47">
        <f t="shared" si="4"/>
        <v>25</v>
      </c>
      <c r="AI15" s="48">
        <f t="shared" si="4"/>
        <v>1</v>
      </c>
      <c r="AJ15" s="36"/>
      <c r="AK15" s="36"/>
      <c r="AL15" s="36"/>
      <c r="AM15" s="27"/>
      <c r="AN15" s="27"/>
    </row>
    <row r="16" ht="15.0" customHeight="1">
      <c r="A16" s="27"/>
      <c r="B16" s="36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36"/>
      <c r="AG16" s="36"/>
      <c r="AH16" s="36"/>
      <c r="AI16" s="36"/>
      <c r="AJ16" s="36"/>
      <c r="AK16" s="36"/>
      <c r="AL16" s="36"/>
      <c r="AM16" s="27"/>
      <c r="AN16" s="27"/>
    </row>
    <row r="17" ht="15.0" customHeight="1">
      <c r="A17" s="41" t="str">
        <f>AE9</f>
        <v>Etienne Formosa Carabez</v>
      </c>
      <c r="B17" s="42">
        <v>6.0</v>
      </c>
      <c r="C17" s="43">
        <f>IF(B17&gt;B19,1,0)</f>
        <v>1</v>
      </c>
      <c r="D17" s="44"/>
      <c r="E17" s="42">
        <v>6.0</v>
      </c>
      <c r="F17" s="43">
        <f>IF(E17&gt;E19,1,0)</f>
        <v>1</v>
      </c>
      <c r="G17" s="44"/>
      <c r="H17" s="45"/>
      <c r="I17" s="27">
        <f>IF(H17&gt;H19,1,0)</f>
        <v>0</v>
      </c>
      <c r="J17" s="27">
        <f>IF(B17="",0,1)</f>
        <v>1</v>
      </c>
      <c r="K17" s="27">
        <f>IF(C17+F17=2,3,IF(C17+F17=1,1,0))</f>
        <v>3</v>
      </c>
      <c r="L17" s="27">
        <f>IF(K17=3,3,IF(I17+K17=2,2,IF(K17=1,1,0)))</f>
        <v>3</v>
      </c>
      <c r="M17" s="27">
        <f>B17+E17</f>
        <v>12</v>
      </c>
      <c r="N17" s="27">
        <f>C17+F17+I17</f>
        <v>2</v>
      </c>
      <c r="O17" s="27"/>
      <c r="P17" s="41" t="str">
        <f>AE17</f>
        <v>Adrian Duca</v>
      </c>
      <c r="Q17" s="42">
        <v>2.0</v>
      </c>
      <c r="R17" s="43">
        <f>IF(Q17&gt;Q19,1,0)</f>
        <v>0</v>
      </c>
      <c r="S17" s="44"/>
      <c r="T17" s="42">
        <v>6.0</v>
      </c>
      <c r="U17" s="43">
        <f>IF(T17&gt;T19,1,0)</f>
        <v>0</v>
      </c>
      <c r="V17" s="44"/>
      <c r="W17" s="45"/>
      <c r="X17" s="27">
        <f>IF(W17&gt;W19,1,0)</f>
        <v>0</v>
      </c>
      <c r="Y17" s="27">
        <f>IF(Q17="",0,1)</f>
        <v>1</v>
      </c>
      <c r="Z17" s="27">
        <f>IF(R17+U17=2,3,IF(R17+U17=1,1,0))</f>
        <v>0</v>
      </c>
      <c r="AA17" s="27">
        <f>IF(Z17=3,3,IF(X17+Z17=2,2,IF(Z17=1,1,0)))</f>
        <v>0</v>
      </c>
      <c r="AB17" s="27">
        <f>Q17+T17</f>
        <v>8</v>
      </c>
      <c r="AC17" s="27">
        <f>R17+U17+X17</f>
        <v>0</v>
      </c>
      <c r="AD17" s="27"/>
      <c r="AE17" s="108" t="str">
        <f>'Players - Men'!B26</f>
        <v>Adrian Duca</v>
      </c>
      <c r="AF17" s="47">
        <f>Y17+J39+J27+Y15+J35</f>
        <v>5</v>
      </c>
      <c r="AG17" s="47">
        <f t="shared" ref="AG17:AI17" si="5">AA17+L39+L27+AA15+L35</f>
        <v>8</v>
      </c>
      <c r="AH17" s="47">
        <f t="shared" si="5"/>
        <v>50</v>
      </c>
      <c r="AI17" s="48">
        <f t="shared" si="5"/>
        <v>6</v>
      </c>
      <c r="AJ17" s="36"/>
      <c r="AK17" s="36"/>
      <c r="AL17" s="36"/>
      <c r="AM17" s="27"/>
      <c r="AN17" s="27"/>
    </row>
    <row r="18" ht="15.0" customHeight="1">
      <c r="A18" s="49" t="s">
        <v>78</v>
      </c>
      <c r="H18" s="50"/>
      <c r="I18" s="51"/>
      <c r="J18" s="27"/>
      <c r="K18" s="27"/>
      <c r="L18" s="27"/>
      <c r="M18" s="27"/>
      <c r="N18" s="27"/>
      <c r="O18" s="27"/>
      <c r="P18" s="49" t="s">
        <v>78</v>
      </c>
      <c r="W18" s="50"/>
      <c r="X18" s="51"/>
      <c r="Y18" s="27"/>
      <c r="Z18" s="27"/>
      <c r="AA18" s="27"/>
      <c r="AB18" s="27"/>
      <c r="AC18" s="27"/>
      <c r="AD18" s="27"/>
      <c r="AE18" s="27"/>
      <c r="AF18" s="36"/>
      <c r="AG18" s="36"/>
      <c r="AH18" s="36"/>
      <c r="AI18" s="36"/>
      <c r="AJ18" s="36"/>
      <c r="AK18" s="36"/>
      <c r="AL18" s="36"/>
      <c r="AM18" s="27"/>
      <c r="AN18" s="27"/>
    </row>
    <row r="19" ht="15.0" customHeight="1">
      <c r="A19" s="52" t="str">
        <f>AE19</f>
        <v>Juan Sammut</v>
      </c>
      <c r="B19" s="42">
        <v>2.0</v>
      </c>
      <c r="C19" s="53">
        <f>IF(B19&gt;B17,1,0)</f>
        <v>0</v>
      </c>
      <c r="D19" s="54"/>
      <c r="E19" s="42">
        <v>2.0</v>
      </c>
      <c r="F19" s="53">
        <f>IF(E19&gt;E17,1,0)</f>
        <v>0</v>
      </c>
      <c r="G19" s="54"/>
      <c r="H19" s="45"/>
      <c r="I19" s="27">
        <f>IF(H19&gt;H17,1,0)</f>
        <v>0</v>
      </c>
      <c r="J19" s="27">
        <f>IF(B19="",0,1)</f>
        <v>1</v>
      </c>
      <c r="K19" s="27">
        <f>IF(C19+F19=2,3,IF(C19+F19=1,1,0))</f>
        <v>0</v>
      </c>
      <c r="L19" s="27">
        <f>IF(K19=3,3,IF(I19+K19=2,2,IF(K19=1,1,0)))</f>
        <v>0</v>
      </c>
      <c r="M19" s="27">
        <f>B19+E19</f>
        <v>4</v>
      </c>
      <c r="N19" s="27">
        <f>C19+F19+I19</f>
        <v>0</v>
      </c>
      <c r="O19" s="27"/>
      <c r="P19" s="52" t="str">
        <f>AE19</f>
        <v>Juan Sammut</v>
      </c>
      <c r="Q19" s="42">
        <v>6.0</v>
      </c>
      <c r="R19" s="53">
        <f>IF(Q19&gt;Q17,1,0)</f>
        <v>1</v>
      </c>
      <c r="S19" s="54"/>
      <c r="T19" s="42">
        <v>7.0</v>
      </c>
      <c r="U19" s="53">
        <f>IF(T19&gt;T17,1,0)</f>
        <v>1</v>
      </c>
      <c r="V19" s="54"/>
      <c r="W19" s="45"/>
      <c r="X19" s="27">
        <f>IF(W19&gt;W17,1,0)</f>
        <v>0</v>
      </c>
      <c r="Y19" s="27">
        <f>IF(Q19="",0,1)</f>
        <v>1</v>
      </c>
      <c r="Z19" s="27">
        <f>IF(R19+U19=2,3,IF(R19+U19=1,1,0))</f>
        <v>3</v>
      </c>
      <c r="AA19" s="27">
        <f>IF(Z19=3,3,IF(X19+Z19=2,2,IF(Z19=1,1,0)))</f>
        <v>3</v>
      </c>
      <c r="AB19" s="27">
        <f>Q19+T19</f>
        <v>13</v>
      </c>
      <c r="AC19" s="27">
        <f>R19+U19+X19</f>
        <v>2</v>
      </c>
      <c r="AD19" s="27"/>
      <c r="AE19" s="108" t="str">
        <f>'Players - Men'!B27</f>
        <v>Juan Sammut</v>
      </c>
      <c r="AF19" s="47">
        <f>Y19+Y27+Y35+J19+J31</f>
        <v>5</v>
      </c>
      <c r="AG19" s="47">
        <f t="shared" ref="AG19:AI19" si="6">AA19+AA27+AA35+L19+L31</f>
        <v>10</v>
      </c>
      <c r="AH19" s="47">
        <f t="shared" si="6"/>
        <v>49</v>
      </c>
      <c r="AI19" s="48">
        <f t="shared" si="6"/>
        <v>7</v>
      </c>
      <c r="AJ19" s="27"/>
      <c r="AK19" s="36"/>
      <c r="AL19" s="36"/>
      <c r="AM19" s="27"/>
      <c r="AN19" s="27"/>
    </row>
    <row r="20" ht="15.0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36"/>
      <c r="AL20" s="27"/>
      <c r="AM20" s="27"/>
      <c r="AN20" s="27"/>
    </row>
    <row r="21" ht="15.0" customHeight="1">
      <c r="A21" s="41" t="str">
        <f>AE11</f>
        <v>David Camilleri</v>
      </c>
      <c r="B21" s="42">
        <v>3.0</v>
      </c>
      <c r="C21" s="43">
        <f>IF(B21&gt;B23,1,0)</f>
        <v>0</v>
      </c>
      <c r="D21" s="44"/>
      <c r="E21" s="42">
        <v>6.0</v>
      </c>
      <c r="F21" s="43">
        <f>IF(E21&gt;E23,1,0)</f>
        <v>1</v>
      </c>
      <c r="G21" s="44"/>
      <c r="H21" s="42">
        <v>4.0</v>
      </c>
      <c r="I21" s="27">
        <f>IF(H21&gt;H23,1,0)</f>
        <v>0</v>
      </c>
      <c r="J21" s="27">
        <f>IF(B21="",0,1)</f>
        <v>1</v>
      </c>
      <c r="K21" s="27">
        <f>IF(C21+F21=2,3,IF(C21+F21=1,1,0))</f>
        <v>1</v>
      </c>
      <c r="L21" s="27">
        <f>IF(K21=3,3,IF(I21+K21=2,2,IF(K21=1,1,0)))</f>
        <v>1</v>
      </c>
      <c r="M21" s="27">
        <f>B21+E21</f>
        <v>9</v>
      </c>
      <c r="N21" s="27">
        <f>C21+F21+I21</f>
        <v>1</v>
      </c>
      <c r="O21" s="27"/>
      <c r="P21" s="41" t="str">
        <f>AE11</f>
        <v>David Camilleri</v>
      </c>
      <c r="Q21" s="42">
        <v>2.0</v>
      </c>
      <c r="R21" s="43">
        <f>IF(Q21&gt;Q23,1,0)</f>
        <v>0</v>
      </c>
      <c r="S21" s="44"/>
      <c r="T21" s="42">
        <v>6.0</v>
      </c>
      <c r="U21" s="43">
        <f>IF(T21&gt;T23,1,0)</f>
        <v>1</v>
      </c>
      <c r="V21" s="44"/>
      <c r="W21" s="42">
        <v>10.0</v>
      </c>
      <c r="X21" s="27">
        <f>IF(W21&gt;W23,1,0)</f>
        <v>1</v>
      </c>
      <c r="Y21" s="27">
        <f>IF(Q21="",0,1)</f>
        <v>1</v>
      </c>
      <c r="Z21" s="27">
        <f>IF(R21+U21=2,3,IF(R21+U21=1,1,0))</f>
        <v>1</v>
      </c>
      <c r="AA21" s="27">
        <f>IF(Z21=3,3,IF(X21+Z21=2,2,IF(Z21=1,1,0)))</f>
        <v>2</v>
      </c>
      <c r="AB21" s="27">
        <f>Q21+T21</f>
        <v>8</v>
      </c>
      <c r="AC21" s="27">
        <f>R21+U21+X21</f>
        <v>2</v>
      </c>
      <c r="AD21" s="27"/>
      <c r="AE21" s="109" t="s">
        <v>91</v>
      </c>
      <c r="AF21" s="30"/>
      <c r="AG21" s="30"/>
      <c r="AH21" s="30"/>
      <c r="AI21" s="31"/>
      <c r="AJ21" s="27"/>
      <c r="AK21" s="27"/>
      <c r="AL21" s="27"/>
      <c r="AM21" s="27"/>
      <c r="AN21" s="27"/>
    </row>
    <row r="22" ht="15.0" customHeight="1">
      <c r="A22" s="49" t="s">
        <v>78</v>
      </c>
      <c r="H22" s="50"/>
      <c r="I22" s="51"/>
      <c r="J22" s="27"/>
      <c r="K22" s="27"/>
      <c r="L22" s="27"/>
      <c r="M22" s="27"/>
      <c r="N22" s="27"/>
      <c r="O22" s="27"/>
      <c r="P22" s="49" t="s">
        <v>78</v>
      </c>
      <c r="W22" s="50"/>
      <c r="X22" s="51"/>
      <c r="Y22" s="27"/>
      <c r="Z22" s="27"/>
      <c r="AA22" s="27"/>
      <c r="AB22" s="27"/>
      <c r="AC22" s="27"/>
      <c r="AD22" s="27"/>
      <c r="AE22" s="57" t="s">
        <v>31</v>
      </c>
      <c r="AF22" s="30"/>
      <c r="AG22" s="30"/>
      <c r="AH22" s="30"/>
      <c r="AI22" s="31"/>
      <c r="AJ22" s="27"/>
      <c r="AK22" s="36"/>
      <c r="AL22" s="27"/>
      <c r="AM22" s="27"/>
      <c r="AN22" s="27"/>
    </row>
    <row r="23" ht="15.0" customHeight="1">
      <c r="A23" s="52" t="str">
        <f>AE13</f>
        <v>Cory Greenland</v>
      </c>
      <c r="B23" s="42">
        <v>6.0</v>
      </c>
      <c r="C23" s="53">
        <f>IF(B23&gt;B21,1,0)</f>
        <v>1</v>
      </c>
      <c r="D23" s="54"/>
      <c r="E23" s="42">
        <v>2.0</v>
      </c>
      <c r="F23" s="53">
        <f>IF(E23&gt;E21,1,0)</f>
        <v>0</v>
      </c>
      <c r="G23" s="54"/>
      <c r="H23" s="42">
        <v>10.0</v>
      </c>
      <c r="I23" s="27">
        <f>IF(H23&gt;H21,1,0)</f>
        <v>1</v>
      </c>
      <c r="J23" s="27">
        <f>IF(B23="",0,1)</f>
        <v>1</v>
      </c>
      <c r="K23" s="27">
        <f>IF(C23+F23=2,3,IF(C23+F23=1,1,0))</f>
        <v>1</v>
      </c>
      <c r="L23" s="27">
        <f>IF(K23=3,3,IF(I23+K23=2,2,IF(K23=1,1,0)))</f>
        <v>2</v>
      </c>
      <c r="M23" s="27">
        <f>B23+E23</f>
        <v>8</v>
      </c>
      <c r="N23" s="27">
        <f>C23+F23+I23</f>
        <v>2</v>
      </c>
      <c r="O23" s="27"/>
      <c r="P23" s="52" t="str">
        <f>AE15</f>
        <v>Jason Lee Evans</v>
      </c>
      <c r="Q23" s="42">
        <v>6.0</v>
      </c>
      <c r="R23" s="53">
        <f>IF(Q23&gt;Q21,1,0)</f>
        <v>1</v>
      </c>
      <c r="S23" s="54"/>
      <c r="T23" s="42">
        <v>2.0</v>
      </c>
      <c r="U23" s="53">
        <f>IF(T23&gt;T21,1,0)</f>
        <v>0</v>
      </c>
      <c r="V23" s="54"/>
      <c r="W23" s="42">
        <v>8.0</v>
      </c>
      <c r="X23" s="27">
        <f>IF(W23&gt;W21,1,0)</f>
        <v>0</v>
      </c>
      <c r="Y23" s="27">
        <f>IF(Q23="",0,1)</f>
        <v>1</v>
      </c>
      <c r="Z23" s="27">
        <f>IF(R23+U23=2,3,IF(R23+U23=1,1,0))</f>
        <v>1</v>
      </c>
      <c r="AA23" s="27">
        <f>IF(Z23=3,3,IF(X23+Z23=2,2,IF(Z23=1,1,0)))</f>
        <v>1</v>
      </c>
      <c r="AB23" s="27">
        <f>Q23+T23</f>
        <v>8</v>
      </c>
      <c r="AC23" s="27">
        <f>R23+U23+X23</f>
        <v>1</v>
      </c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</row>
    <row r="24" ht="15.7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</row>
    <row r="25" ht="15.0" customHeight="1">
      <c r="A25" s="41" t="str">
        <f>AE11</f>
        <v>David Camilleri</v>
      </c>
      <c r="B25" s="42">
        <v>0.0</v>
      </c>
      <c r="C25" s="43">
        <f>IF(B25&gt;B27,1,0)</f>
        <v>0</v>
      </c>
      <c r="D25" s="44"/>
      <c r="E25" s="42">
        <v>1.0</v>
      </c>
      <c r="F25" s="43">
        <f>IF(E25&gt;E27,1,0)</f>
        <v>0</v>
      </c>
      <c r="G25" s="44"/>
      <c r="H25" s="45"/>
      <c r="I25" s="27">
        <f>IF(H25&gt;H27,1,0)</f>
        <v>0</v>
      </c>
      <c r="J25" s="27">
        <f>IF(B25="",0,1)</f>
        <v>1</v>
      </c>
      <c r="K25" s="27">
        <f>IF(C25+F25=2,3,IF(C25+F25=1,1,0))</f>
        <v>0</v>
      </c>
      <c r="L25" s="27">
        <f>IF(K25=3,3,IF(I25+K25=2,2,IF(K25=1,1,0)))</f>
        <v>0</v>
      </c>
      <c r="M25" s="27">
        <f>B25+E25</f>
        <v>1</v>
      </c>
      <c r="N25" s="27">
        <f>C25+F25+I25</f>
        <v>0</v>
      </c>
      <c r="O25" s="27"/>
      <c r="P25" s="41" t="str">
        <f>AE11</f>
        <v>David Camilleri</v>
      </c>
      <c r="Q25" s="42">
        <v>3.0</v>
      </c>
      <c r="R25" s="43">
        <f>IF(Q25&gt;Q27,1,0)</f>
        <v>0</v>
      </c>
      <c r="S25" s="44"/>
      <c r="T25" s="42">
        <v>6.0</v>
      </c>
      <c r="U25" s="43">
        <f>IF(T25&gt;T27,1,0)</f>
        <v>1</v>
      </c>
      <c r="V25" s="44"/>
      <c r="W25" s="42">
        <v>10.0</v>
      </c>
      <c r="X25" s="27">
        <f>IF(W25&gt;W27,1,0)</f>
        <v>1</v>
      </c>
      <c r="Y25" s="27">
        <f>IF(Q25="",0,1)</f>
        <v>1</v>
      </c>
      <c r="Z25" s="27">
        <f>IF(R25+U25=2,3,IF(R25+U25=1,1,0))</f>
        <v>1</v>
      </c>
      <c r="AA25" s="27">
        <f>IF(Z25=3,3,IF(X25+Z25=2,2,IF(Z25=1,1,0)))</f>
        <v>2</v>
      </c>
      <c r="AB25" s="27">
        <f>Q25+T25</f>
        <v>9</v>
      </c>
      <c r="AC25" s="27">
        <f>R25+U25+X25</f>
        <v>2</v>
      </c>
      <c r="AD25" s="27"/>
      <c r="AE25" s="110"/>
      <c r="AF25" s="30"/>
      <c r="AG25" s="30"/>
      <c r="AH25" s="30"/>
      <c r="AI25" s="31"/>
      <c r="AJ25" s="27"/>
      <c r="AK25" s="27"/>
      <c r="AL25" s="27"/>
      <c r="AM25" s="27"/>
      <c r="AN25" s="27"/>
    </row>
    <row r="26" ht="15.0" customHeight="1">
      <c r="A26" s="49" t="s">
        <v>78</v>
      </c>
      <c r="H26" s="50"/>
      <c r="I26" s="51"/>
      <c r="J26" s="27"/>
      <c r="K26" s="27"/>
      <c r="L26" s="27"/>
      <c r="M26" s="27"/>
      <c r="N26" s="27"/>
      <c r="O26" s="27"/>
      <c r="P26" s="49" t="s">
        <v>78</v>
      </c>
      <c r="W26" s="50"/>
      <c r="X26" s="51"/>
      <c r="Y26" s="27"/>
      <c r="Z26" s="27"/>
      <c r="AA26" s="27"/>
      <c r="AB26" s="27"/>
      <c r="AC26" s="27"/>
      <c r="AD26" s="27"/>
      <c r="AE26" s="110"/>
      <c r="AF26" s="30"/>
      <c r="AG26" s="30"/>
      <c r="AH26" s="30"/>
      <c r="AI26" s="31"/>
      <c r="AJ26" s="27"/>
      <c r="AK26" s="27"/>
      <c r="AL26" s="27"/>
      <c r="AM26" s="27"/>
      <c r="AN26" s="27"/>
    </row>
    <row r="27" ht="15.0" customHeight="1">
      <c r="A27" s="52" t="str">
        <f>AE17</f>
        <v>Adrian Duca</v>
      </c>
      <c r="B27" s="42">
        <v>6.0</v>
      </c>
      <c r="C27" s="53">
        <f>IF(B27&gt;B25,1,0)</f>
        <v>1</v>
      </c>
      <c r="D27" s="54"/>
      <c r="E27" s="42">
        <v>6.0</v>
      </c>
      <c r="F27" s="53">
        <f>IF(E27&gt;E25,1,0)</f>
        <v>1</v>
      </c>
      <c r="G27" s="54"/>
      <c r="H27" s="45"/>
      <c r="I27" s="27">
        <f>IF(H27&gt;H25,1,0)</f>
        <v>0</v>
      </c>
      <c r="J27" s="27">
        <f>IF(B27="",0,1)</f>
        <v>1</v>
      </c>
      <c r="K27" s="27">
        <f>IF(C27+F27=2,3,IF(C27+F27=1,1,0))</f>
        <v>3</v>
      </c>
      <c r="L27" s="27">
        <f>IF(K27=3,3,IF(I27+K27=2,2,IF(K27=1,1,0)))</f>
        <v>3</v>
      </c>
      <c r="M27" s="27">
        <f>B27+E27</f>
        <v>12</v>
      </c>
      <c r="N27" s="27">
        <f>C27+F27+I27</f>
        <v>2</v>
      </c>
      <c r="O27" s="27"/>
      <c r="P27" s="52" t="str">
        <f>AE19</f>
        <v>Juan Sammut</v>
      </c>
      <c r="Q27" s="42">
        <v>6.0</v>
      </c>
      <c r="R27" s="53">
        <f>IF(Q27&gt;Q25,1,0)</f>
        <v>1</v>
      </c>
      <c r="S27" s="54"/>
      <c r="T27" s="42">
        <v>1.0</v>
      </c>
      <c r="U27" s="53">
        <f>IF(T27&gt;T25,1,0)</f>
        <v>0</v>
      </c>
      <c r="V27" s="54"/>
      <c r="W27" s="42">
        <v>8.0</v>
      </c>
      <c r="X27" s="27">
        <f>IF(W27&gt;W25,1,0)</f>
        <v>0</v>
      </c>
      <c r="Y27" s="27">
        <f>IF(Q27="",0,1)</f>
        <v>1</v>
      </c>
      <c r="Z27" s="27">
        <f>IF(R27+U27=2,3,IF(R27+U27=1,1,0))</f>
        <v>1</v>
      </c>
      <c r="AA27" s="27">
        <f>IF(Z27=3,3,IF(X27+Z27=2,2,IF(Z27=1,1,0)))</f>
        <v>1</v>
      </c>
      <c r="AB27" s="27">
        <f>Q27+T27</f>
        <v>7</v>
      </c>
      <c r="AC27" s="27">
        <f>R27+U27+X27</f>
        <v>1</v>
      </c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</row>
    <row r="28" ht="15.0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36"/>
      <c r="AI28" s="27"/>
      <c r="AJ28" s="27"/>
      <c r="AK28" s="27"/>
      <c r="AL28" s="27"/>
      <c r="AM28" s="27"/>
      <c r="AN28" s="27"/>
    </row>
    <row r="29" ht="15.0" customHeight="1">
      <c r="A29" s="41" t="str">
        <f>AE15</f>
        <v>Jason Lee Evans</v>
      </c>
      <c r="B29" s="42">
        <v>4.0</v>
      </c>
      <c r="C29" s="43">
        <f>IF(B29&gt;B31,1,0)</f>
        <v>0</v>
      </c>
      <c r="D29" s="44"/>
      <c r="E29" s="42">
        <v>5.0</v>
      </c>
      <c r="F29" s="43">
        <f>IF(E29&gt;E31,1,0)</f>
        <v>0</v>
      </c>
      <c r="G29" s="44"/>
      <c r="H29" s="45"/>
      <c r="I29" s="27">
        <f>IF(H29&gt;H31,1,0)</f>
        <v>0</v>
      </c>
      <c r="J29" s="27">
        <f>IF(B29="",0,1)</f>
        <v>1</v>
      </c>
      <c r="K29" s="27">
        <f>IF(C29+F29=2,3,IF(C29+F29=1,1,0))</f>
        <v>0</v>
      </c>
      <c r="L29" s="27">
        <f>IF(K29=3,3,IF(I29+K29=2,2,IF(K29=1,1,0)))</f>
        <v>0</v>
      </c>
      <c r="M29" s="27">
        <f>B29+E29</f>
        <v>9</v>
      </c>
      <c r="N29" s="27">
        <f>C29+F29+I29</f>
        <v>0</v>
      </c>
      <c r="O29" s="27"/>
      <c r="P29" s="41" t="str">
        <f>AE13</f>
        <v>Cory Greenland</v>
      </c>
      <c r="Q29" s="42">
        <v>6.0</v>
      </c>
      <c r="R29" s="43">
        <f>IF(Q29&gt;Q31,1,0)</f>
        <v>1</v>
      </c>
      <c r="S29" s="44"/>
      <c r="T29" s="42">
        <v>6.0</v>
      </c>
      <c r="U29" s="43">
        <f>IF(T29&gt;T31,1,0)</f>
        <v>1</v>
      </c>
      <c r="V29" s="44"/>
      <c r="W29" s="45"/>
      <c r="X29" s="27">
        <f>IF(W29&gt;W31,1,0)</f>
        <v>0</v>
      </c>
      <c r="Y29" s="27">
        <f>IF(Q29="",0,1)</f>
        <v>1</v>
      </c>
      <c r="Z29" s="27">
        <f>IF(R29+U29=2,3,IF(R29+U29=1,1,0))</f>
        <v>3</v>
      </c>
      <c r="AA29" s="27">
        <f>IF(Z29=3,3,IF(X29+Z29=2,2,IF(Z29=1,1,0)))</f>
        <v>3</v>
      </c>
      <c r="AB29" s="27">
        <f>Q29+T29</f>
        <v>12</v>
      </c>
      <c r="AC29" s="27">
        <f>R29+U29+X29</f>
        <v>2</v>
      </c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</row>
    <row r="30" ht="15.0" customHeight="1">
      <c r="A30" s="49" t="s">
        <v>78</v>
      </c>
      <c r="H30" s="50"/>
      <c r="I30" s="51"/>
      <c r="J30" s="27"/>
      <c r="K30" s="27"/>
      <c r="L30" s="27"/>
      <c r="M30" s="27"/>
      <c r="N30" s="27"/>
      <c r="O30" s="27"/>
      <c r="P30" s="49" t="s">
        <v>78</v>
      </c>
      <c r="W30" s="50"/>
      <c r="X30" s="51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58"/>
      <c r="AM30" s="27"/>
      <c r="AN30" s="27"/>
    </row>
    <row r="31" ht="15.0" customHeight="1">
      <c r="A31" s="52" t="str">
        <f>AE19</f>
        <v>Juan Sammut</v>
      </c>
      <c r="B31" s="42">
        <v>6.0</v>
      </c>
      <c r="C31" s="53">
        <f>IF(B31&gt;B29,1,0)</f>
        <v>1</v>
      </c>
      <c r="D31" s="54"/>
      <c r="E31" s="42">
        <v>7.0</v>
      </c>
      <c r="F31" s="53">
        <f>IF(E31&gt;E29,1,0)</f>
        <v>1</v>
      </c>
      <c r="G31" s="54"/>
      <c r="H31" s="45"/>
      <c r="I31" s="27">
        <f>IF(H31&gt;H29,1,0)</f>
        <v>0</v>
      </c>
      <c r="J31" s="27">
        <f>IF(B31="",0,1)</f>
        <v>1</v>
      </c>
      <c r="K31" s="27">
        <f>IF(C31+F31=2,3,IF(C31+F31=1,1,0))</f>
        <v>3</v>
      </c>
      <c r="L31" s="27">
        <f>IF(K31=3,3,IF(I31+K31=2,2,IF(K31=1,1,0)))</f>
        <v>3</v>
      </c>
      <c r="M31" s="27">
        <f>B31+E31</f>
        <v>13</v>
      </c>
      <c r="N31" s="27">
        <f>C31+F31+I31</f>
        <v>2</v>
      </c>
      <c r="O31" s="27"/>
      <c r="P31" s="52" t="str">
        <f>AE15</f>
        <v>Jason Lee Evans</v>
      </c>
      <c r="Q31" s="42">
        <v>0.0</v>
      </c>
      <c r="R31" s="53">
        <f>IF(Q31&gt;Q29,1,0)</f>
        <v>0</v>
      </c>
      <c r="S31" s="54"/>
      <c r="T31" s="42">
        <v>1.0</v>
      </c>
      <c r="U31" s="53">
        <f>IF(T31&gt;T29,1,0)</f>
        <v>0</v>
      </c>
      <c r="V31" s="54"/>
      <c r="W31" s="45"/>
      <c r="X31" s="27">
        <f>IF(W31&gt;W29,1,0)</f>
        <v>0</v>
      </c>
      <c r="Y31" s="27">
        <f>IF(Q31="",0,1)</f>
        <v>1</v>
      </c>
      <c r="Z31" s="27">
        <f>IF(R31+U31=2,3,IF(R31+U31=1,1,0))</f>
        <v>0</v>
      </c>
      <c r="AA31" s="27">
        <f>IF(Z31=3,3,IF(X31+Z31=2,2,IF(Z31=1,1,0)))</f>
        <v>0</v>
      </c>
      <c r="AB31" s="27">
        <f>Q31+T31</f>
        <v>1</v>
      </c>
      <c r="AC31" s="27">
        <f>R31+U31+X31</f>
        <v>0</v>
      </c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36"/>
    </row>
    <row r="32" ht="15.0" customHeight="1">
      <c r="A32" s="27"/>
      <c r="B32" s="27"/>
      <c r="C32" s="27"/>
      <c r="D32" s="27"/>
      <c r="E32" s="36"/>
      <c r="F32" s="27"/>
      <c r="G32" s="27"/>
      <c r="H32" s="36"/>
      <c r="I32" s="27"/>
      <c r="J32" s="36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36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58"/>
      <c r="AM32" s="27"/>
      <c r="AN32" s="27"/>
    </row>
    <row r="33" ht="15.0" customHeight="1">
      <c r="A33" s="41" t="str">
        <f>AE13</f>
        <v>Cory Greenland</v>
      </c>
      <c r="B33" s="42">
        <v>7.0</v>
      </c>
      <c r="C33" s="43">
        <f>IF(B33&gt;B35,1,0)</f>
        <v>1</v>
      </c>
      <c r="D33" s="44"/>
      <c r="E33" s="42">
        <v>6.0</v>
      </c>
      <c r="F33" s="43">
        <f>IF(E33&gt;E35,1,0)</f>
        <v>1</v>
      </c>
      <c r="G33" s="44"/>
      <c r="H33" s="45"/>
      <c r="I33" s="27">
        <f>IF(H33&gt;H35,1,0)</f>
        <v>0</v>
      </c>
      <c r="J33" s="27">
        <f>IF(B33="",0,1)</f>
        <v>1</v>
      </c>
      <c r="K33" s="27">
        <f>IF(C33+F33=2,3,IF(C33+F33=1,1,0))</f>
        <v>3</v>
      </c>
      <c r="L33" s="27">
        <f>IF(K33=3,3,IF(I33+K33=2,2,IF(K33=1,1,0)))</f>
        <v>3</v>
      </c>
      <c r="M33" s="27">
        <f>B33+E33</f>
        <v>13</v>
      </c>
      <c r="N33" s="27">
        <f>C33+F33+I33</f>
        <v>2</v>
      </c>
      <c r="O33" s="27"/>
      <c r="P33" s="41" t="str">
        <f>AE13</f>
        <v>Cory Greenland</v>
      </c>
      <c r="Q33" s="42">
        <v>2.0</v>
      </c>
      <c r="R33" s="43">
        <f>IF(Q33&gt;Q35,1,0)</f>
        <v>0</v>
      </c>
      <c r="S33" s="44"/>
      <c r="T33" s="42">
        <v>3.0</v>
      </c>
      <c r="U33" s="43">
        <f>IF(T33&gt;T35,1,0)</f>
        <v>0</v>
      </c>
      <c r="V33" s="44"/>
      <c r="W33" s="45"/>
      <c r="X33" s="27">
        <f>IF(W33&gt;W35,1,0)</f>
        <v>0</v>
      </c>
      <c r="Y33" s="27">
        <f>IF(Q33="",0,1)</f>
        <v>1</v>
      </c>
      <c r="Z33" s="27">
        <f>IF(R33+U33=2,3,IF(R33+U33=1,1,0))</f>
        <v>0</v>
      </c>
      <c r="AA33" s="27">
        <f>IF(Z33=3,3,IF(X33+Z33=2,2,IF(Z33=1,1,0)))</f>
        <v>0</v>
      </c>
      <c r="AB33" s="27">
        <f>Q33+T33</f>
        <v>5</v>
      </c>
      <c r="AC33" s="27">
        <f>R33+U33+X33</f>
        <v>0</v>
      </c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</row>
    <row r="34" ht="15.0" customHeight="1">
      <c r="A34" s="49" t="s">
        <v>78</v>
      </c>
      <c r="H34" s="50"/>
      <c r="I34" s="51"/>
      <c r="J34" s="27"/>
      <c r="K34" s="27"/>
      <c r="L34" s="27"/>
      <c r="M34" s="27"/>
      <c r="N34" s="27"/>
      <c r="O34" s="27"/>
      <c r="P34" s="49" t="s">
        <v>78</v>
      </c>
      <c r="W34" s="50"/>
      <c r="X34" s="51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</row>
    <row r="35" ht="15.0" customHeight="1">
      <c r="A35" s="52" t="str">
        <f>AE17</f>
        <v>Adrian Duca</v>
      </c>
      <c r="B35" s="42">
        <v>6.0</v>
      </c>
      <c r="C35" s="53">
        <f>IF(B35&gt;B33,1,0)</f>
        <v>0</v>
      </c>
      <c r="D35" s="54"/>
      <c r="E35" s="42">
        <v>1.0</v>
      </c>
      <c r="F35" s="53">
        <f>IF(E35&gt;E33,1,0)</f>
        <v>0</v>
      </c>
      <c r="G35" s="54"/>
      <c r="H35" s="45"/>
      <c r="I35" s="27">
        <f>IF(H35&gt;H33,1,0)</f>
        <v>0</v>
      </c>
      <c r="J35" s="27">
        <f>IF(B35="",0,1)</f>
        <v>1</v>
      </c>
      <c r="K35" s="27">
        <f>IF(C35+F35=2,3,IF(C35+F35=1,1,0))</f>
        <v>0</v>
      </c>
      <c r="L35" s="27">
        <f>IF(K35=3,3,IF(I35+K35=2,2,IF(K35=1,1,0)))</f>
        <v>0</v>
      </c>
      <c r="M35" s="27">
        <f>B35+E35</f>
        <v>7</v>
      </c>
      <c r="N35" s="27">
        <f>C35+F35+I35</f>
        <v>0</v>
      </c>
      <c r="O35" s="27"/>
      <c r="P35" s="52" t="str">
        <f>AE19</f>
        <v>Juan Sammut</v>
      </c>
      <c r="Q35" s="42">
        <v>6.0</v>
      </c>
      <c r="R35" s="53">
        <f>IF(Q35&gt;Q33,1,0)</f>
        <v>1</v>
      </c>
      <c r="S35" s="54"/>
      <c r="T35" s="42">
        <v>6.0</v>
      </c>
      <c r="U35" s="53">
        <f>IF(T35&gt;T33,1,0)</f>
        <v>1</v>
      </c>
      <c r="V35" s="54"/>
      <c r="W35" s="45"/>
      <c r="X35" s="27">
        <f>IF(W35&gt;W33,1,0)</f>
        <v>0</v>
      </c>
      <c r="Y35" s="27">
        <f>IF(Q35="",0,1)</f>
        <v>1</v>
      </c>
      <c r="Z35" s="27">
        <f>IF(R35+U35=2,3,IF(R35+U35=1,1,0))</f>
        <v>3</v>
      </c>
      <c r="AA35" s="27">
        <f>IF(Z35=3,3,IF(X35+Z35=2,2,IF(Z35=1,1,0)))</f>
        <v>3</v>
      </c>
      <c r="AB35" s="27">
        <f>Q35+T35</f>
        <v>12</v>
      </c>
      <c r="AC35" s="27">
        <f>R35+U35+X35</f>
        <v>2</v>
      </c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</row>
    <row r="36" ht="15.0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36"/>
      <c r="AI36" s="27"/>
      <c r="AJ36" s="27"/>
      <c r="AK36" s="36"/>
      <c r="AL36" s="27"/>
      <c r="AM36" s="27"/>
      <c r="AN36" s="27"/>
    </row>
    <row r="37" ht="15.0" customHeight="1">
      <c r="A37" s="41" t="str">
        <f>AE15</f>
        <v>Jason Lee Evans</v>
      </c>
      <c r="B37" s="42">
        <v>3.0</v>
      </c>
      <c r="C37" s="43">
        <f>IF(B37&gt;B39,1,0)</f>
        <v>0</v>
      </c>
      <c r="D37" s="44"/>
      <c r="E37" s="42">
        <v>3.0</v>
      </c>
      <c r="F37" s="43">
        <f>IF(E37&gt;E39,1,0)</f>
        <v>0</v>
      </c>
      <c r="G37" s="44"/>
      <c r="H37" s="45"/>
      <c r="I37" s="27">
        <f>IF(H37&gt;H39,1,0)</f>
        <v>0</v>
      </c>
      <c r="J37" s="27">
        <f>IF(B37="",0,1)</f>
        <v>1</v>
      </c>
      <c r="K37" s="27">
        <f>IF(C37+F37=2,3,IF(C37+F37=1,1,0))</f>
        <v>0</v>
      </c>
      <c r="L37" s="27">
        <f>IF(K37=3,3,IF(I37+K37=2,2,IF(K37=1,1,0)))</f>
        <v>0</v>
      </c>
      <c r="M37" s="27">
        <f>B37+E37</f>
        <v>6</v>
      </c>
      <c r="N37" s="27">
        <f>C37+F37+I37</f>
        <v>0</v>
      </c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36"/>
      <c r="AL37" s="27"/>
      <c r="AM37" s="27"/>
      <c r="AN37" s="27"/>
    </row>
    <row r="38" ht="15.0" customHeight="1">
      <c r="A38" s="49" t="s">
        <v>78</v>
      </c>
      <c r="H38" s="50"/>
      <c r="I38" s="51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59"/>
      <c r="AK38" s="27"/>
      <c r="AL38" s="27"/>
      <c r="AM38" s="27"/>
      <c r="AN38" s="27"/>
    </row>
    <row r="39" ht="15.0" customHeight="1">
      <c r="A39" s="52" t="str">
        <f>AE17</f>
        <v>Adrian Duca</v>
      </c>
      <c r="B39" s="42">
        <v>6.0</v>
      </c>
      <c r="C39" s="53">
        <f>IF(B39&gt;B37,1,0)</f>
        <v>1</v>
      </c>
      <c r="D39" s="54"/>
      <c r="E39" s="42">
        <v>6.0</v>
      </c>
      <c r="F39" s="53">
        <f>IF(E39&gt;E37,1,0)</f>
        <v>1</v>
      </c>
      <c r="G39" s="54"/>
      <c r="H39" s="45"/>
      <c r="I39" s="27">
        <f>IF(H39&gt;H37,1,0)</f>
        <v>0</v>
      </c>
      <c r="J39" s="27">
        <f>IF(B39="",0,1)</f>
        <v>1</v>
      </c>
      <c r="K39" s="27">
        <f>IF(C39+F39=2,3,IF(C39+F39=1,1,0))</f>
        <v>3</v>
      </c>
      <c r="L39" s="27">
        <f>IF(K39=3,3,IF(I39+K39=2,2,IF(K39=1,1,0)))</f>
        <v>3</v>
      </c>
      <c r="M39" s="27">
        <f>B39+E39</f>
        <v>12</v>
      </c>
      <c r="N39" s="27">
        <f>C39+F39+I39</f>
        <v>2</v>
      </c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</row>
    <row r="40" ht="15.7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</row>
    <row r="41" ht="15.7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</row>
    <row r="42">
      <c r="A42" s="111" t="s">
        <v>30</v>
      </c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6"/>
      <c r="AJ42" s="59"/>
      <c r="AK42" s="27"/>
      <c r="AL42" s="27"/>
      <c r="AM42" s="27"/>
      <c r="AN42" s="27"/>
    </row>
    <row r="43" ht="15.7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</row>
    <row r="44" ht="30.75" customHeight="1">
      <c r="A44" s="112" t="s">
        <v>58</v>
      </c>
      <c r="B44" s="113" t="s">
        <v>59</v>
      </c>
      <c r="C44" s="30"/>
      <c r="D44" s="30"/>
      <c r="E44" s="31"/>
      <c r="F44" s="95"/>
      <c r="G44" s="64"/>
      <c r="H44" s="112" t="s">
        <v>60</v>
      </c>
      <c r="I44" s="34"/>
      <c r="J44" s="34"/>
      <c r="K44" s="34"/>
      <c r="L44" s="34"/>
      <c r="M44" s="35"/>
      <c r="N44" s="35"/>
      <c r="O44" s="34"/>
      <c r="P44" s="112" t="s">
        <v>58</v>
      </c>
      <c r="Q44" s="113" t="s">
        <v>59</v>
      </c>
      <c r="R44" s="30"/>
      <c r="S44" s="30"/>
      <c r="T44" s="31"/>
      <c r="U44" s="95"/>
      <c r="V44" s="64"/>
      <c r="W44" s="112" t="s">
        <v>60</v>
      </c>
      <c r="X44" s="34"/>
      <c r="Y44" s="35"/>
      <c r="Z44" s="35"/>
      <c r="AA44" s="35"/>
      <c r="AB44" s="35"/>
      <c r="AC44" s="35"/>
      <c r="AD44" s="34"/>
      <c r="AE44" s="112" t="s">
        <v>61</v>
      </c>
      <c r="AF44" s="112" t="s">
        <v>62</v>
      </c>
      <c r="AG44" s="112" t="s">
        <v>63</v>
      </c>
      <c r="AH44" s="112" t="s">
        <v>64</v>
      </c>
      <c r="AI44" s="112" t="s">
        <v>65</v>
      </c>
      <c r="AJ44" s="27"/>
      <c r="AK44" s="27"/>
      <c r="AL44" s="27"/>
      <c r="AM44" s="27"/>
      <c r="AN44" s="27"/>
    </row>
    <row r="45" ht="41.25" hidden="1" customHeight="1">
      <c r="A45" s="27"/>
      <c r="B45" s="37" t="s">
        <v>66</v>
      </c>
      <c r="C45" s="37" t="s">
        <v>67</v>
      </c>
      <c r="D45" s="37"/>
      <c r="E45" s="37" t="s">
        <v>66</v>
      </c>
      <c r="F45" s="37" t="s">
        <v>68</v>
      </c>
      <c r="G45" s="37"/>
      <c r="H45" s="37" t="s">
        <v>66</v>
      </c>
      <c r="I45" s="37" t="s">
        <v>69</v>
      </c>
      <c r="J45" s="37" t="s">
        <v>70</v>
      </c>
      <c r="K45" s="37" t="s">
        <v>71</v>
      </c>
      <c r="L45" s="37" t="s">
        <v>72</v>
      </c>
      <c r="M45" s="37" t="s">
        <v>73</v>
      </c>
      <c r="N45" s="37" t="s">
        <v>74</v>
      </c>
      <c r="O45" s="27"/>
      <c r="P45" s="27"/>
      <c r="Q45" s="37" t="s">
        <v>66</v>
      </c>
      <c r="R45" s="37" t="s">
        <v>67</v>
      </c>
      <c r="S45" s="37"/>
      <c r="T45" s="37" t="s">
        <v>66</v>
      </c>
      <c r="U45" s="37" t="s">
        <v>68</v>
      </c>
      <c r="V45" s="37"/>
      <c r="W45" s="37" t="s">
        <v>66</v>
      </c>
      <c r="X45" s="37" t="s">
        <v>69</v>
      </c>
      <c r="Y45" s="37" t="s">
        <v>70</v>
      </c>
      <c r="Z45" s="37" t="s">
        <v>71</v>
      </c>
      <c r="AA45" s="37" t="s">
        <v>72</v>
      </c>
      <c r="AB45" s="37" t="s">
        <v>73</v>
      </c>
      <c r="AC45" s="37" t="s">
        <v>74</v>
      </c>
      <c r="AD45" s="27"/>
      <c r="AE45" s="36"/>
      <c r="AF45" s="36"/>
      <c r="AG45" s="36"/>
      <c r="AH45" s="36"/>
      <c r="AI45" s="36"/>
      <c r="AJ45" s="27"/>
      <c r="AK45" s="27"/>
      <c r="AL45" s="27"/>
      <c r="AM45" s="27"/>
      <c r="AN45" s="27"/>
    </row>
    <row r="46" ht="15.75" customHeight="1">
      <c r="A46" s="41" t="str">
        <f>AE46</f>
        <v>Sam Zammit</v>
      </c>
      <c r="B46" s="42">
        <v>3.0</v>
      </c>
      <c r="C46" s="43">
        <f>IF(B46&gt;B48,1,0)</f>
        <v>0</v>
      </c>
      <c r="D46" s="44"/>
      <c r="E46" s="42">
        <v>7.0</v>
      </c>
      <c r="F46" s="43">
        <f>IF(E46&gt;E48,1,0)</f>
        <v>1</v>
      </c>
      <c r="G46" s="44"/>
      <c r="H46" s="42">
        <v>4.0</v>
      </c>
      <c r="I46" s="27">
        <f>IF(H46&gt;H48,1,0)</f>
        <v>0</v>
      </c>
      <c r="J46" s="27">
        <f>IF(B46="",0,1)</f>
        <v>1</v>
      </c>
      <c r="K46" s="27">
        <f>IF(C46+F46=2,3,IF(C46+F46=1,1,0))</f>
        <v>1</v>
      </c>
      <c r="L46" s="27">
        <f>IF(K46=3,3,IF(I46+K46=2,2,IF(K46=1,1,0)))</f>
        <v>1</v>
      </c>
      <c r="M46" s="27">
        <f>B46+E46</f>
        <v>10</v>
      </c>
      <c r="N46" s="27">
        <f>C46+F46+I46</f>
        <v>1</v>
      </c>
      <c r="O46" s="27"/>
      <c r="P46" s="41" t="str">
        <f>AE46</f>
        <v>Sam Zammit</v>
      </c>
      <c r="Q46" s="42">
        <v>6.0</v>
      </c>
      <c r="R46" s="43">
        <f>IF(Q46&gt;Q48,1,0)</f>
        <v>1</v>
      </c>
      <c r="S46" s="44"/>
      <c r="T46" s="42">
        <v>6.0</v>
      </c>
      <c r="U46" s="43">
        <f>IF(T46&gt;T48,1,0)</f>
        <v>1</v>
      </c>
      <c r="V46" s="44"/>
      <c r="W46" s="45"/>
      <c r="X46" s="27">
        <f>IF(W46&gt;W48,1,0)</f>
        <v>0</v>
      </c>
      <c r="Y46" s="27">
        <f>IF(Q46="",0,1)</f>
        <v>1</v>
      </c>
      <c r="Z46" s="27">
        <f>IF(R46+U46=2,3,IF(R46+U46=1,1,0))</f>
        <v>3</v>
      </c>
      <c r="AA46" s="27">
        <f>IF(Z46=3,3,IF(X46+Z46=2,2,IF(Z46=1,1,0)))</f>
        <v>3</v>
      </c>
      <c r="AB46" s="27">
        <f>Q46+T46</f>
        <v>12</v>
      </c>
      <c r="AC46" s="27">
        <f>R46+U46+X46</f>
        <v>2</v>
      </c>
      <c r="AD46" s="27"/>
      <c r="AE46" s="114" t="str">
        <f>'Players - Men'!E22</f>
        <v>Sam Zammit</v>
      </c>
      <c r="AF46" s="47">
        <f>J46+Y46+J50+Y50+J54</f>
        <v>5</v>
      </c>
      <c r="AG46" s="47">
        <f t="shared" ref="AG46:AI46" si="7">L46+AA46+L50+AA50+L54</f>
        <v>13</v>
      </c>
      <c r="AH46" s="47">
        <f t="shared" si="7"/>
        <v>59</v>
      </c>
      <c r="AI46" s="48">
        <f t="shared" si="7"/>
        <v>9</v>
      </c>
      <c r="AJ46" s="27"/>
      <c r="AK46" s="27"/>
      <c r="AL46" s="27"/>
      <c r="AM46" s="27"/>
      <c r="AN46" s="27"/>
    </row>
    <row r="47" ht="15.0" customHeight="1">
      <c r="A47" s="49" t="s">
        <v>78</v>
      </c>
      <c r="H47" s="50"/>
      <c r="I47" s="51"/>
      <c r="J47" s="27"/>
      <c r="K47" s="27"/>
      <c r="L47" s="27"/>
      <c r="M47" s="27"/>
      <c r="N47" s="27"/>
      <c r="O47" s="27"/>
      <c r="P47" s="49" t="s">
        <v>78</v>
      </c>
      <c r="W47" s="50"/>
      <c r="X47" s="51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59"/>
      <c r="AK47" s="27"/>
      <c r="AL47" s="36"/>
      <c r="AM47" s="27"/>
      <c r="AN47" s="27"/>
    </row>
    <row r="48" ht="15.75" customHeight="1">
      <c r="A48" s="52" t="str">
        <f>AE48</f>
        <v>Steve Gambin</v>
      </c>
      <c r="B48" s="42">
        <v>6.0</v>
      </c>
      <c r="C48" s="53">
        <f>IF(B48&gt;B46,1,0)</f>
        <v>1</v>
      </c>
      <c r="D48" s="54"/>
      <c r="E48" s="42">
        <v>6.0</v>
      </c>
      <c r="F48" s="53">
        <f>IF(E48&gt;E46,1,0)</f>
        <v>0</v>
      </c>
      <c r="G48" s="54"/>
      <c r="H48" s="42">
        <v>10.0</v>
      </c>
      <c r="I48" s="27">
        <f>IF(H48&gt;H46,1,0)</f>
        <v>1</v>
      </c>
      <c r="J48" s="27">
        <f>IF(B48="",0,1)</f>
        <v>1</v>
      </c>
      <c r="K48" s="27">
        <f>IF(C48+F48=2,3,IF(C48+F48=1,1,0))</f>
        <v>1</v>
      </c>
      <c r="L48" s="27">
        <f>IF(K48=3,3,IF(I48+K48=2,2,IF(K48=1,1,0)))</f>
        <v>2</v>
      </c>
      <c r="M48" s="27">
        <f>B48+E48</f>
        <v>12</v>
      </c>
      <c r="N48" s="27">
        <f>C48+F48+I48</f>
        <v>2</v>
      </c>
      <c r="O48" s="27"/>
      <c r="P48" s="52" t="str">
        <f>AE50</f>
        <v>Sean Cachia</v>
      </c>
      <c r="Q48" s="42">
        <v>3.0</v>
      </c>
      <c r="R48" s="53">
        <f>IF(Q48&gt;Q46,1,0)</f>
        <v>0</v>
      </c>
      <c r="S48" s="54"/>
      <c r="T48" s="42">
        <v>3.0</v>
      </c>
      <c r="U48" s="53">
        <f>IF(T48&gt;T46,1,0)</f>
        <v>0</v>
      </c>
      <c r="V48" s="54"/>
      <c r="W48" s="45"/>
      <c r="X48" s="27">
        <f>IF(W48&gt;W46,1,0)</f>
        <v>0</v>
      </c>
      <c r="Y48" s="27">
        <f>IF(Q48="",0,1)</f>
        <v>1</v>
      </c>
      <c r="Z48" s="27">
        <f>IF(R48+U48=2,3,IF(R48+U48=1,1,0))</f>
        <v>0</v>
      </c>
      <c r="AA48" s="27">
        <f>IF(Z48=3,3,IF(X48+Z48=2,2,IF(Z48=1,1,0)))</f>
        <v>0</v>
      </c>
      <c r="AB48" s="27">
        <f>Q48+T48</f>
        <v>6</v>
      </c>
      <c r="AC48" s="27">
        <f>R48+U48+X48</f>
        <v>0</v>
      </c>
      <c r="AD48" s="27"/>
      <c r="AE48" s="114" t="str">
        <f>'Players - Men'!E23</f>
        <v>Steve Gambin</v>
      </c>
      <c r="AF48" s="47">
        <f>J48+Y62+J62+Y58+J58</f>
        <v>5</v>
      </c>
      <c r="AG48" s="47">
        <f t="shared" ref="AG48:AI48" si="8">L48+AA62+L62+AA58+L58</f>
        <v>10</v>
      </c>
      <c r="AH48" s="47">
        <f t="shared" si="8"/>
        <v>50</v>
      </c>
      <c r="AI48" s="48">
        <f t="shared" si="8"/>
        <v>10</v>
      </c>
      <c r="AJ48" s="27"/>
      <c r="AK48" s="27"/>
      <c r="AL48" s="27"/>
      <c r="AM48" s="27"/>
      <c r="AN48" s="27"/>
    </row>
    <row r="49" ht="15.7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36"/>
      <c r="AG49" s="36"/>
      <c r="AH49" s="36"/>
      <c r="AI49" s="36"/>
      <c r="AJ49" s="27"/>
      <c r="AK49" s="27"/>
      <c r="AL49" s="27"/>
      <c r="AM49" s="27"/>
      <c r="AN49" s="27"/>
    </row>
    <row r="50" ht="15.75" customHeight="1">
      <c r="A50" s="41" t="str">
        <f>AE46</f>
        <v>Sam Zammit</v>
      </c>
      <c r="B50" s="42">
        <v>6.0</v>
      </c>
      <c r="C50" s="43">
        <f>IF(B50&gt;B52,1,0)</f>
        <v>1</v>
      </c>
      <c r="D50" s="44"/>
      <c r="E50" s="42">
        <v>6.0</v>
      </c>
      <c r="F50" s="43">
        <f>IF(E50&gt;E52,1,0)</f>
        <v>1</v>
      </c>
      <c r="G50" s="44"/>
      <c r="H50" s="45"/>
      <c r="I50" s="27">
        <f>IF(H50&gt;H52,1,0)</f>
        <v>0</v>
      </c>
      <c r="J50" s="27">
        <f>IF(B50="",0,1)</f>
        <v>1</v>
      </c>
      <c r="K50" s="27">
        <f>IF(C50+F50=2,3,IF(C50+F50=1,1,0))</f>
        <v>3</v>
      </c>
      <c r="L50" s="27">
        <f>IF(K50=3,3,IF(I50+K50=2,2,IF(K50=1,1,0)))</f>
        <v>3</v>
      </c>
      <c r="M50" s="27">
        <f>B50+E50</f>
        <v>12</v>
      </c>
      <c r="N50" s="27">
        <f>C50+F50+I50</f>
        <v>2</v>
      </c>
      <c r="O50" s="27"/>
      <c r="P50" s="41" t="str">
        <f>AE46</f>
        <v>Sam Zammit</v>
      </c>
      <c r="Q50" s="42">
        <v>6.0</v>
      </c>
      <c r="R50" s="43">
        <f>IF(Q50&gt;Q52,1,0)</f>
        <v>1</v>
      </c>
      <c r="S50" s="44"/>
      <c r="T50" s="42">
        <v>6.0</v>
      </c>
      <c r="U50" s="43">
        <f>IF(T50&gt;T52,1,0)</f>
        <v>1</v>
      </c>
      <c r="V50" s="44"/>
      <c r="W50" s="45"/>
      <c r="X50" s="27">
        <f>IF(W50&gt;W52,1,0)</f>
        <v>0</v>
      </c>
      <c r="Y50" s="27">
        <f>IF(Q50="",0,1)</f>
        <v>1</v>
      </c>
      <c r="Z50" s="27">
        <f>IF(R50+U50=2,3,IF(R50+U50=1,1,0))</f>
        <v>3</v>
      </c>
      <c r="AA50" s="27">
        <f>IF(Z50=3,3,IF(X50+Z50=2,2,IF(Z50=1,1,0)))</f>
        <v>3</v>
      </c>
      <c r="AB50" s="27">
        <f>Q50+T50</f>
        <v>12</v>
      </c>
      <c r="AC50" s="27">
        <f>R50+U50+X50</f>
        <v>2</v>
      </c>
      <c r="AD50" s="27"/>
      <c r="AE50" s="114" t="str">
        <f>'Players - Men'!E24</f>
        <v>Sean Cachia</v>
      </c>
      <c r="AF50" s="47">
        <f>Y66+Y48+Y70+J70+J60</f>
        <v>5</v>
      </c>
      <c r="AG50" s="47">
        <f t="shared" ref="AG50:AI50" si="9">AA66+AA48+AA70+L70+L60</f>
        <v>7</v>
      </c>
      <c r="AH50" s="47">
        <f t="shared" si="9"/>
        <v>45</v>
      </c>
      <c r="AI50" s="48">
        <f t="shared" si="9"/>
        <v>5</v>
      </c>
      <c r="AJ50" s="27"/>
      <c r="AK50" s="27"/>
      <c r="AL50" s="27"/>
      <c r="AM50" s="27"/>
      <c r="AN50" s="27"/>
    </row>
    <row r="51" ht="15.75" customHeight="1">
      <c r="A51" s="49" t="s">
        <v>78</v>
      </c>
      <c r="H51" s="50"/>
      <c r="I51" s="51"/>
      <c r="J51" s="27"/>
      <c r="K51" s="27"/>
      <c r="L51" s="27"/>
      <c r="M51" s="27"/>
      <c r="N51" s="27"/>
      <c r="O51" s="27"/>
      <c r="P51" s="49" t="s">
        <v>78</v>
      </c>
      <c r="W51" s="50"/>
      <c r="X51" s="51"/>
      <c r="Y51" s="27"/>
      <c r="Z51" s="27"/>
      <c r="AA51" s="27"/>
      <c r="AB51" s="27"/>
      <c r="AC51" s="27"/>
      <c r="AD51" s="27"/>
      <c r="AE51" s="27"/>
      <c r="AF51" s="36"/>
      <c r="AG51" s="36"/>
      <c r="AH51" s="36"/>
      <c r="AI51" s="36"/>
      <c r="AJ51" s="27"/>
      <c r="AK51" s="27"/>
      <c r="AL51" s="27"/>
      <c r="AM51" s="27"/>
      <c r="AN51" s="27"/>
    </row>
    <row r="52" ht="15.0" customHeight="1">
      <c r="A52" s="52" t="str">
        <f>AE52</f>
        <v>Sebastian Attard</v>
      </c>
      <c r="B52" s="42">
        <v>0.0</v>
      </c>
      <c r="C52" s="53">
        <f>IF(B52&gt;B50,1,0)</f>
        <v>0</v>
      </c>
      <c r="D52" s="54"/>
      <c r="E52" s="42">
        <v>0.0</v>
      </c>
      <c r="F52" s="53">
        <f>IF(E52&gt;E50,1,0)</f>
        <v>0</v>
      </c>
      <c r="G52" s="54"/>
      <c r="H52" s="45"/>
      <c r="I52" s="27">
        <f>IF(H52&gt;H50,1,0)</f>
        <v>0</v>
      </c>
      <c r="J52" s="27">
        <f>IF(B52="",0,1)</f>
        <v>1</v>
      </c>
      <c r="K52" s="27">
        <f>IF(C52+F52=2,3,IF(C52+F52=1,1,0))</f>
        <v>0</v>
      </c>
      <c r="L52" s="27">
        <f>IF(K52=3,3,IF(I52+K52=2,2,IF(K52=1,1,0)))</f>
        <v>0</v>
      </c>
      <c r="M52" s="27">
        <f>B52+E52</f>
        <v>0</v>
      </c>
      <c r="N52" s="27">
        <f>C52+F52+I52</f>
        <v>0</v>
      </c>
      <c r="O52" s="27"/>
      <c r="P52" s="52" t="str">
        <f>AE54</f>
        <v>Matthew Micallef</v>
      </c>
      <c r="Q52" s="42">
        <v>4.0</v>
      </c>
      <c r="R52" s="53">
        <f>IF(Q52&gt;Q50,1,0)</f>
        <v>0</v>
      </c>
      <c r="S52" s="54"/>
      <c r="T52" s="42">
        <v>2.0</v>
      </c>
      <c r="U52" s="53">
        <f>IF(T52&gt;T50,1,0)</f>
        <v>0</v>
      </c>
      <c r="V52" s="54"/>
      <c r="W52" s="45"/>
      <c r="X52" s="27">
        <f>IF(W52&gt;W50,1,0)</f>
        <v>0</v>
      </c>
      <c r="Y52" s="27">
        <f>IF(Q52="",0,1)</f>
        <v>1</v>
      </c>
      <c r="Z52" s="27">
        <f>IF(R52+U52=2,3,IF(R52+U52=1,1,0))</f>
        <v>0</v>
      </c>
      <c r="AA52" s="27">
        <f>IF(Z52=3,3,IF(X52+Z52=2,2,IF(Z52=1,1,0)))</f>
        <v>0</v>
      </c>
      <c r="AB52" s="27">
        <f>Q52+T52</f>
        <v>6</v>
      </c>
      <c r="AC52" s="27">
        <f>R52+U52+X52</f>
        <v>0</v>
      </c>
      <c r="AD52" s="27"/>
      <c r="AE52" s="114" t="str">
        <f>'Players - Men'!E25</f>
        <v>Sebastian Attard</v>
      </c>
      <c r="AF52" s="47">
        <f>Y68+J74+J52+Y60+J66</f>
        <v>5</v>
      </c>
      <c r="AG52" s="47">
        <f t="shared" ref="AG52:AI52" si="10">AA68+L74+L52+AA60+L66</f>
        <v>7</v>
      </c>
      <c r="AH52" s="47">
        <f t="shared" si="10"/>
        <v>41</v>
      </c>
      <c r="AI52" s="48">
        <f t="shared" si="10"/>
        <v>5</v>
      </c>
      <c r="AJ52" s="59"/>
      <c r="AK52" s="27"/>
      <c r="AL52" s="27"/>
      <c r="AM52" s="27"/>
      <c r="AN52" s="36"/>
    </row>
    <row r="53" ht="15.75" customHeight="1">
      <c r="A53" s="27"/>
      <c r="B53" s="36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36"/>
      <c r="AG53" s="36"/>
      <c r="AH53" s="36"/>
      <c r="AI53" s="36"/>
      <c r="AJ53" s="27"/>
      <c r="AK53" s="27"/>
      <c r="AL53" s="27"/>
      <c r="AM53" s="27"/>
      <c r="AN53" s="27"/>
    </row>
    <row r="54" ht="15.75" customHeight="1">
      <c r="A54" s="41" t="str">
        <f>AE46</f>
        <v>Sam Zammit</v>
      </c>
      <c r="B54" s="42">
        <v>6.0</v>
      </c>
      <c r="C54" s="43">
        <f>IF(B54&gt;B56,1,0)</f>
        <v>1</v>
      </c>
      <c r="D54" s="44"/>
      <c r="E54" s="42">
        <v>7.0</v>
      </c>
      <c r="F54" s="43">
        <f>IF(E54&gt;E56,1,0)</f>
        <v>1</v>
      </c>
      <c r="G54" s="44"/>
      <c r="H54" s="45"/>
      <c r="I54" s="27">
        <f>IF(H54&gt;H56,1,0)</f>
        <v>0</v>
      </c>
      <c r="J54" s="27">
        <f>IF(B54="",0,1)</f>
        <v>1</v>
      </c>
      <c r="K54" s="27">
        <f>IF(C54+F54=2,3,IF(C54+F54=1,1,0))</f>
        <v>3</v>
      </c>
      <c r="L54" s="27">
        <f>IF(K54=3,3,IF(I54+K54=2,2,IF(K54=1,1,0)))</f>
        <v>3</v>
      </c>
      <c r="M54" s="27">
        <f>B54+E54</f>
        <v>13</v>
      </c>
      <c r="N54" s="27">
        <f>C54+F54+I54</f>
        <v>2</v>
      </c>
      <c r="O54" s="27"/>
      <c r="P54" s="41" t="str">
        <f>AE54</f>
        <v>Matthew Micallef</v>
      </c>
      <c r="Q54" s="42">
        <v>4.0</v>
      </c>
      <c r="R54" s="43">
        <f>IF(Q54&gt;Q56,1,0)</f>
        <v>0</v>
      </c>
      <c r="S54" s="44"/>
      <c r="T54" s="42">
        <v>6.0</v>
      </c>
      <c r="U54" s="43">
        <f>IF(T54&gt;T56,1,0)</f>
        <v>1</v>
      </c>
      <c r="V54" s="44"/>
      <c r="W54" s="42">
        <v>5.0</v>
      </c>
      <c r="X54" s="27">
        <f>IF(W54&gt;W56,1,0)</f>
        <v>0</v>
      </c>
      <c r="Y54" s="27">
        <f>IF(Q54="",0,1)</f>
        <v>1</v>
      </c>
      <c r="Z54" s="27">
        <f>IF(R54+U54=2,3,IF(R54+U54=1,1,0))</f>
        <v>1</v>
      </c>
      <c r="AA54" s="27">
        <f>IF(Z54=3,3,IF(X54+Z54=2,2,IF(Z54=1,1,0)))</f>
        <v>1</v>
      </c>
      <c r="AB54" s="27">
        <f>Q54+T54</f>
        <v>10</v>
      </c>
      <c r="AC54" s="27">
        <f>R54+U54+X54</f>
        <v>1</v>
      </c>
      <c r="AD54" s="27"/>
      <c r="AE54" s="114" t="str">
        <f>'Players - Men'!E26</f>
        <v>Matthew Micallef</v>
      </c>
      <c r="AF54" s="47">
        <f>Y54+J76+J64+Y52+J72</f>
        <v>5</v>
      </c>
      <c r="AG54" s="47">
        <f t="shared" ref="AG54:AI54" si="11">AA54+L76+L64+AA52+L72</f>
        <v>5</v>
      </c>
      <c r="AH54" s="47">
        <f t="shared" si="11"/>
        <v>47</v>
      </c>
      <c r="AI54" s="48">
        <f t="shared" si="11"/>
        <v>4</v>
      </c>
      <c r="AJ54" s="27"/>
      <c r="AK54" s="27"/>
      <c r="AL54" s="27"/>
      <c r="AM54" s="27"/>
      <c r="AN54" s="27"/>
    </row>
    <row r="55" ht="15.75" customHeight="1">
      <c r="A55" s="49" t="s">
        <v>78</v>
      </c>
      <c r="H55" s="50"/>
      <c r="I55" s="51"/>
      <c r="J55" s="27"/>
      <c r="K55" s="27"/>
      <c r="L55" s="27"/>
      <c r="M55" s="27"/>
      <c r="N55" s="27"/>
      <c r="O55" s="27"/>
      <c r="P55" s="49" t="s">
        <v>78</v>
      </c>
      <c r="W55" s="50"/>
      <c r="X55" s="51"/>
      <c r="Y55" s="27"/>
      <c r="Z55" s="27"/>
      <c r="AA55" s="27"/>
      <c r="AB55" s="27"/>
      <c r="AC55" s="27"/>
      <c r="AD55" s="27"/>
      <c r="AE55" s="27"/>
      <c r="AF55" s="36"/>
      <c r="AG55" s="36"/>
      <c r="AH55" s="36"/>
      <c r="AI55" s="36"/>
      <c r="AJ55" s="27"/>
      <c r="AK55" s="27"/>
      <c r="AL55" s="27"/>
      <c r="AM55" s="27"/>
      <c r="AN55" s="27"/>
    </row>
    <row r="56" ht="15.0" customHeight="1">
      <c r="A56" s="52" t="str">
        <f>AE56</f>
        <v>Simone Re</v>
      </c>
      <c r="B56" s="42">
        <v>4.0</v>
      </c>
      <c r="C56" s="53">
        <f>IF(B56&gt;B54,1,0)</f>
        <v>0</v>
      </c>
      <c r="D56" s="54"/>
      <c r="E56" s="42">
        <v>6.0</v>
      </c>
      <c r="F56" s="53">
        <f>IF(E56&gt;E54,1,0)</f>
        <v>0</v>
      </c>
      <c r="G56" s="54"/>
      <c r="H56" s="45"/>
      <c r="I56" s="27">
        <f>IF(H56&gt;H54,1,0)</f>
        <v>0</v>
      </c>
      <c r="J56" s="27">
        <f>IF(B56="",0,1)</f>
        <v>1</v>
      </c>
      <c r="K56" s="27">
        <f>IF(C56+F56=2,3,IF(C56+F56=1,1,0))</f>
        <v>0</v>
      </c>
      <c r="L56" s="27">
        <f>IF(K56=3,3,IF(I56+K56=2,2,IF(K56=1,1,0)))</f>
        <v>0</v>
      </c>
      <c r="M56" s="27">
        <f>B56+E56</f>
        <v>10</v>
      </c>
      <c r="N56" s="27">
        <f>C56+F56+I56</f>
        <v>0</v>
      </c>
      <c r="O56" s="27"/>
      <c r="P56" s="52" t="str">
        <f>AE56</f>
        <v>Simone Re</v>
      </c>
      <c r="Q56" s="42">
        <v>6.0</v>
      </c>
      <c r="R56" s="53">
        <f>IF(Q56&gt;Q54,1,0)</f>
        <v>1</v>
      </c>
      <c r="S56" s="54"/>
      <c r="T56" s="42">
        <v>2.0</v>
      </c>
      <c r="U56" s="53">
        <f>IF(T56&gt;T54,1,0)</f>
        <v>0</v>
      </c>
      <c r="V56" s="54"/>
      <c r="W56" s="42">
        <v>10.0</v>
      </c>
      <c r="X56" s="27">
        <f>IF(W56&gt;W54,1,0)</f>
        <v>1</v>
      </c>
      <c r="Y56" s="27">
        <f>IF(Q56="",0,1)</f>
        <v>1</v>
      </c>
      <c r="Z56" s="27">
        <f>IF(R56+U56=2,3,IF(R56+U56=1,1,0))</f>
        <v>1</v>
      </c>
      <c r="AA56" s="27">
        <f>IF(Z56=3,3,IF(X56+Z56=2,2,IF(Z56=1,1,0)))</f>
        <v>2</v>
      </c>
      <c r="AB56" s="27">
        <f>Q56+T56</f>
        <v>8</v>
      </c>
      <c r="AC56" s="27">
        <f>R56+U56+X56</f>
        <v>2</v>
      </c>
      <c r="AD56" s="27"/>
      <c r="AE56" s="114" t="str">
        <f>'Players - Men'!E27</f>
        <v>Simone Re</v>
      </c>
      <c r="AF56" s="47">
        <f>Y56+Y64+Y72+J56+J68</f>
        <v>5</v>
      </c>
      <c r="AG56" s="47">
        <f t="shared" ref="AG56:AI56" si="12">AA56+AA64+AA72+L56+L68</f>
        <v>3</v>
      </c>
      <c r="AH56" s="47">
        <f t="shared" si="12"/>
        <v>41</v>
      </c>
      <c r="AI56" s="48">
        <f t="shared" si="12"/>
        <v>3</v>
      </c>
      <c r="AJ56" s="27"/>
      <c r="AK56" s="36"/>
      <c r="AL56" s="27"/>
      <c r="AM56" s="27"/>
      <c r="AN56" s="27"/>
    </row>
    <row r="57" ht="15.7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</row>
    <row r="58" ht="15.75" customHeight="1">
      <c r="A58" s="41" t="str">
        <f>AE48</f>
        <v>Steve Gambin</v>
      </c>
      <c r="B58" s="42">
        <v>6.0</v>
      </c>
      <c r="C58" s="43">
        <f>IF(B58&gt;B60,1,0)</f>
        <v>1</v>
      </c>
      <c r="D58" s="44"/>
      <c r="E58" s="42">
        <v>4.0</v>
      </c>
      <c r="F58" s="43">
        <f>IF(E58&gt;E60,1,0)</f>
        <v>0</v>
      </c>
      <c r="G58" s="44"/>
      <c r="H58" s="42">
        <v>10.0</v>
      </c>
      <c r="I58" s="27">
        <f>IF(H58&gt;H60,1,0)</f>
        <v>1</v>
      </c>
      <c r="J58" s="27">
        <f>IF(B58="",0,1)</f>
        <v>1</v>
      </c>
      <c r="K58" s="27">
        <f>IF(C58+F58=2,3,IF(C58+F58=1,1,0))</f>
        <v>1</v>
      </c>
      <c r="L58" s="27">
        <f>IF(K58=3,3,IF(I58+K58=2,2,IF(K58=1,1,0)))</f>
        <v>2</v>
      </c>
      <c r="M58" s="27">
        <f>B58+E58</f>
        <v>10</v>
      </c>
      <c r="N58" s="27">
        <f>C58+F58+I58</f>
        <v>2</v>
      </c>
      <c r="O58" s="27"/>
      <c r="P58" s="41" t="str">
        <f>AE48</f>
        <v>Steve Gambin</v>
      </c>
      <c r="Q58" s="42">
        <v>3.0</v>
      </c>
      <c r="R58" s="43">
        <f>IF(Q58&gt;Q60,1,0)</f>
        <v>0</v>
      </c>
      <c r="S58" s="44"/>
      <c r="T58" s="42">
        <v>6.0</v>
      </c>
      <c r="U58" s="43">
        <f>IF(T58&gt;T60,1,0)</f>
        <v>1</v>
      </c>
      <c r="V58" s="44"/>
      <c r="W58" s="42">
        <v>10.0</v>
      </c>
      <c r="X58" s="27">
        <f>IF(W58&gt;W60,1,0)</f>
        <v>1</v>
      </c>
      <c r="Y58" s="27">
        <f>IF(Q58="",0,1)</f>
        <v>1</v>
      </c>
      <c r="Z58" s="27">
        <f>IF(R58+U58=2,3,IF(R58+U58=1,1,0))</f>
        <v>1</v>
      </c>
      <c r="AA58" s="27">
        <f>IF(Z58=3,3,IF(X58+Z58=2,2,IF(Z58=1,1,0)))</f>
        <v>2</v>
      </c>
      <c r="AB58" s="27">
        <f>Q58+T58</f>
        <v>9</v>
      </c>
      <c r="AC58" s="27">
        <f>R58+U58+X58</f>
        <v>2</v>
      </c>
      <c r="AD58" s="27"/>
      <c r="AE58" s="115" t="s">
        <v>91</v>
      </c>
      <c r="AF58" s="30"/>
      <c r="AG58" s="30"/>
      <c r="AH58" s="30"/>
      <c r="AI58" s="31"/>
      <c r="AJ58" s="27"/>
      <c r="AK58" s="27"/>
      <c r="AL58" s="27"/>
      <c r="AM58" s="27"/>
      <c r="AN58" s="27"/>
    </row>
    <row r="59" ht="15.75" customHeight="1">
      <c r="A59" s="49" t="s">
        <v>78</v>
      </c>
      <c r="H59" s="50"/>
      <c r="I59" s="51"/>
      <c r="J59" s="27"/>
      <c r="K59" s="27"/>
      <c r="L59" s="27"/>
      <c r="M59" s="27"/>
      <c r="N59" s="27"/>
      <c r="O59" s="27"/>
      <c r="P59" s="49" t="s">
        <v>78</v>
      </c>
      <c r="W59" s="50"/>
      <c r="X59" s="51"/>
      <c r="Y59" s="27"/>
      <c r="Z59" s="27"/>
      <c r="AA59" s="27"/>
      <c r="AB59" s="27"/>
      <c r="AC59" s="27"/>
      <c r="AD59" s="27"/>
      <c r="AE59" s="57" t="s">
        <v>32</v>
      </c>
      <c r="AF59" s="30"/>
      <c r="AG59" s="30"/>
      <c r="AH59" s="30"/>
      <c r="AI59" s="31"/>
      <c r="AJ59" s="27"/>
      <c r="AK59" s="27"/>
      <c r="AL59" s="27"/>
      <c r="AM59" s="27"/>
      <c r="AN59" s="27"/>
    </row>
    <row r="60" ht="15.75" customHeight="1">
      <c r="A60" s="52" t="str">
        <f>AE50</f>
        <v>Sean Cachia</v>
      </c>
      <c r="B60" s="42">
        <v>4.0</v>
      </c>
      <c r="C60" s="53">
        <f>IF(B60&gt;B58,1,0)</f>
        <v>0</v>
      </c>
      <c r="D60" s="54"/>
      <c r="E60" s="42">
        <v>6.0</v>
      </c>
      <c r="F60" s="53">
        <f>IF(E60&gt;E58,1,0)</f>
        <v>1</v>
      </c>
      <c r="G60" s="54"/>
      <c r="H60" s="42">
        <v>5.0</v>
      </c>
      <c r="I60" s="27">
        <f>IF(H60&gt;H58,1,0)</f>
        <v>0</v>
      </c>
      <c r="J60" s="27">
        <f>IF(B60="",0,1)</f>
        <v>1</v>
      </c>
      <c r="K60" s="27">
        <f>IF(C60+F60=2,3,IF(C60+F60=1,1,0))</f>
        <v>1</v>
      </c>
      <c r="L60" s="27">
        <f>IF(K60=3,3,IF(I60+K60=2,2,IF(K60=1,1,0)))</f>
        <v>1</v>
      </c>
      <c r="M60" s="27">
        <f>B60+E60</f>
        <v>10</v>
      </c>
      <c r="N60" s="27">
        <f>C60+F60+I60</f>
        <v>1</v>
      </c>
      <c r="O60" s="27"/>
      <c r="P60" s="52" t="str">
        <f>AE52</f>
        <v>Sebastian Attard</v>
      </c>
      <c r="Q60" s="42">
        <v>6.0</v>
      </c>
      <c r="R60" s="53">
        <f>IF(Q60&gt;Q58,1,0)</f>
        <v>1</v>
      </c>
      <c r="S60" s="54"/>
      <c r="T60" s="42">
        <v>1.0</v>
      </c>
      <c r="U60" s="53">
        <f>IF(T60&gt;T58,1,0)</f>
        <v>0</v>
      </c>
      <c r="V60" s="54"/>
      <c r="W60" s="42">
        <v>8.0</v>
      </c>
      <c r="X60" s="27">
        <f>IF(W60&gt;W58,1,0)</f>
        <v>0</v>
      </c>
      <c r="Y60" s="27">
        <f>IF(Q60="",0,1)</f>
        <v>1</v>
      </c>
      <c r="Z60" s="27">
        <f>IF(R60+U60=2,3,IF(R60+U60=1,1,0))</f>
        <v>1</v>
      </c>
      <c r="AA60" s="27">
        <f>IF(Z60=3,3,IF(X60+Z60=2,2,IF(Z60=1,1,0)))</f>
        <v>1</v>
      </c>
      <c r="AB60" s="27">
        <f>Q60+T60</f>
        <v>7</v>
      </c>
      <c r="AC60" s="27">
        <f>R60+U60+X60</f>
        <v>1</v>
      </c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</row>
    <row r="61" ht="15.7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</row>
    <row r="62" ht="15.75" customHeight="1">
      <c r="A62" s="41" t="str">
        <f>AE48</f>
        <v>Steve Gambin</v>
      </c>
      <c r="B62" s="42">
        <v>2.0</v>
      </c>
      <c r="C62" s="43">
        <f>IF(B62&gt;B64,1,0)</f>
        <v>0</v>
      </c>
      <c r="D62" s="44"/>
      <c r="E62" s="42">
        <v>6.0</v>
      </c>
      <c r="F62" s="43">
        <f>IF(E62&gt;E64,1,0)</f>
        <v>1</v>
      </c>
      <c r="G62" s="44"/>
      <c r="H62" s="42">
        <v>10.0</v>
      </c>
      <c r="I62" s="27">
        <f>IF(H62&gt;H64,1,0)</f>
        <v>1</v>
      </c>
      <c r="J62" s="27">
        <f>IF(B62="",0,1)</f>
        <v>1</v>
      </c>
      <c r="K62" s="27">
        <f>IF(C62+F62=2,3,IF(C62+F62=1,1,0))</f>
        <v>1</v>
      </c>
      <c r="L62" s="27">
        <f>IF(K62=3,3,IF(I62+K62=2,2,IF(K62=1,1,0)))</f>
        <v>2</v>
      </c>
      <c r="M62" s="27">
        <f>B62+E62</f>
        <v>8</v>
      </c>
      <c r="N62" s="27">
        <f>C62+F62+I62</f>
        <v>2</v>
      </c>
      <c r="O62" s="27"/>
      <c r="P62" s="41" t="str">
        <f>AE48</f>
        <v>Steve Gambin</v>
      </c>
      <c r="Q62" s="42">
        <v>6.0</v>
      </c>
      <c r="R62" s="43">
        <f>IF(Q62&gt;Q64,1,0)</f>
        <v>1</v>
      </c>
      <c r="S62" s="44"/>
      <c r="T62" s="42">
        <v>5.0</v>
      </c>
      <c r="U62" s="43">
        <f>IF(T62&gt;T64,1,0)</f>
        <v>0</v>
      </c>
      <c r="V62" s="44"/>
      <c r="W62" s="42">
        <v>10.0</v>
      </c>
      <c r="X62" s="27">
        <f>IF(W62&gt;W64,1,0)</f>
        <v>1</v>
      </c>
      <c r="Y62" s="27">
        <f>IF(Q62="",0,1)</f>
        <v>1</v>
      </c>
      <c r="Z62" s="27">
        <f>IF(R62+U62=2,3,IF(R62+U62=1,1,0))</f>
        <v>1</v>
      </c>
      <c r="AA62" s="27">
        <f>IF(Z62=3,3,IF(X62+Z62=2,2,IF(Z62=1,1,0)))</f>
        <v>2</v>
      </c>
      <c r="AB62" s="27">
        <f>Q62+T62</f>
        <v>11</v>
      </c>
      <c r="AC62" s="27">
        <f>R62+U62+X62</f>
        <v>2</v>
      </c>
      <c r="AD62" s="27"/>
      <c r="AE62" s="110"/>
      <c r="AF62" s="30"/>
      <c r="AG62" s="30"/>
      <c r="AH62" s="30"/>
      <c r="AI62" s="31"/>
      <c r="AJ62" s="27"/>
      <c r="AK62" s="27"/>
      <c r="AL62" s="27"/>
      <c r="AM62" s="27"/>
      <c r="AN62" s="27"/>
    </row>
    <row r="63" ht="15.75" customHeight="1">
      <c r="A63" s="49" t="s">
        <v>78</v>
      </c>
      <c r="H63" s="50"/>
      <c r="I63" s="51"/>
      <c r="J63" s="27"/>
      <c r="K63" s="27"/>
      <c r="L63" s="27"/>
      <c r="M63" s="27"/>
      <c r="N63" s="27"/>
      <c r="O63" s="27"/>
      <c r="P63" s="49" t="s">
        <v>78</v>
      </c>
      <c r="W63" s="50"/>
      <c r="X63" s="51"/>
      <c r="Y63" s="27"/>
      <c r="Z63" s="27"/>
      <c r="AA63" s="27"/>
      <c r="AB63" s="27"/>
      <c r="AC63" s="27"/>
      <c r="AD63" s="27"/>
      <c r="AE63" s="116"/>
      <c r="AF63" s="30"/>
      <c r="AG63" s="30"/>
      <c r="AH63" s="30"/>
      <c r="AI63" s="31"/>
      <c r="AJ63" s="27"/>
      <c r="AK63" s="27"/>
      <c r="AL63" s="27"/>
      <c r="AM63" s="27"/>
      <c r="AN63" s="27"/>
    </row>
    <row r="64" ht="15.75" customHeight="1">
      <c r="A64" s="52" t="str">
        <f>AE54</f>
        <v>Matthew Micallef</v>
      </c>
      <c r="B64" s="42">
        <v>6.0</v>
      </c>
      <c r="C64" s="53">
        <f>IF(B64&gt;B62,1,0)</f>
        <v>1</v>
      </c>
      <c r="D64" s="54"/>
      <c r="E64" s="42">
        <v>4.0</v>
      </c>
      <c r="F64" s="53">
        <f>IF(E64&gt;E62,1,0)</f>
        <v>0</v>
      </c>
      <c r="G64" s="54"/>
      <c r="H64" s="42">
        <v>6.0</v>
      </c>
      <c r="I64" s="27">
        <f>IF(H64&gt;H62,1,0)</f>
        <v>0</v>
      </c>
      <c r="J64" s="27">
        <f>IF(B64="",0,1)</f>
        <v>1</v>
      </c>
      <c r="K64" s="27">
        <f>IF(C64+F64=2,3,IF(C64+F64=1,1,0))</f>
        <v>1</v>
      </c>
      <c r="L64" s="27">
        <f>IF(K64=3,3,IF(I64+K64=2,2,IF(K64=1,1,0)))</f>
        <v>1</v>
      </c>
      <c r="M64" s="27">
        <f>B64+E64</f>
        <v>10</v>
      </c>
      <c r="N64" s="27">
        <f>C64+F64+I64</f>
        <v>1</v>
      </c>
      <c r="O64" s="27"/>
      <c r="P64" s="52" t="str">
        <f>AE56</f>
        <v>Simone Re</v>
      </c>
      <c r="Q64" s="42">
        <v>2.0</v>
      </c>
      <c r="R64" s="53">
        <f>IF(Q64&gt;Q62,1,0)</f>
        <v>0</v>
      </c>
      <c r="S64" s="54"/>
      <c r="T64" s="42">
        <v>7.0</v>
      </c>
      <c r="U64" s="53">
        <f>IF(T64&gt;T62,1,0)</f>
        <v>1</v>
      </c>
      <c r="V64" s="54"/>
      <c r="W64" s="42">
        <v>7.0</v>
      </c>
      <c r="X64" s="27">
        <f>IF(W64&gt;W62,1,0)</f>
        <v>0</v>
      </c>
      <c r="Y64" s="27">
        <f>IF(Q64="",0,1)</f>
        <v>1</v>
      </c>
      <c r="Z64" s="27">
        <f>IF(R64+U64=2,3,IF(R64+U64=1,1,0))</f>
        <v>1</v>
      </c>
      <c r="AA64" s="27">
        <f>IF(Z64=3,3,IF(X64+Z64=2,2,IF(Z64=1,1,0)))</f>
        <v>1</v>
      </c>
      <c r="AB64" s="27">
        <f>Q64+T64</f>
        <v>9</v>
      </c>
      <c r="AC64" s="27">
        <f>R64+U64+X64</f>
        <v>1</v>
      </c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</row>
    <row r="65" ht="15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36"/>
      <c r="AI65" s="27"/>
      <c r="AJ65" s="27"/>
      <c r="AK65" s="27"/>
      <c r="AL65" s="27"/>
      <c r="AM65" s="27"/>
      <c r="AN65" s="27"/>
    </row>
    <row r="66" ht="15.75" customHeight="1">
      <c r="A66" s="41" t="str">
        <f>AE52</f>
        <v>Sebastian Attard</v>
      </c>
      <c r="B66" s="42">
        <v>7.0</v>
      </c>
      <c r="C66" s="43">
        <f>IF(B66&gt;B68,1,0)</f>
        <v>1</v>
      </c>
      <c r="D66" s="44"/>
      <c r="E66" s="42">
        <v>7.0</v>
      </c>
      <c r="F66" s="43">
        <f>IF(E66&gt;E68,1,0)</f>
        <v>1</v>
      </c>
      <c r="G66" s="44"/>
      <c r="H66" s="45"/>
      <c r="I66" s="27">
        <f>IF(H66&gt;H68,1,0)</f>
        <v>0</v>
      </c>
      <c r="J66" s="27">
        <f>IF(B66="",0,1)</f>
        <v>1</v>
      </c>
      <c r="K66" s="27">
        <f>IF(C66+F66=2,3,IF(C66+F66=1,1,0))</f>
        <v>3</v>
      </c>
      <c r="L66" s="27">
        <f>IF(K66=3,3,IF(I66+K66=2,2,IF(K66=1,1,0)))</f>
        <v>3</v>
      </c>
      <c r="M66" s="27">
        <f>B66+E66</f>
        <v>14</v>
      </c>
      <c r="N66" s="27">
        <f>C66+F66+I66</f>
        <v>2</v>
      </c>
      <c r="O66" s="27"/>
      <c r="P66" s="41" t="str">
        <f>AE50</f>
        <v>Sean Cachia</v>
      </c>
      <c r="Q66" s="42">
        <v>1.0</v>
      </c>
      <c r="R66" s="43">
        <f>IF(Q66&gt;Q68,1,0)</f>
        <v>0</v>
      </c>
      <c r="S66" s="44"/>
      <c r="T66" s="42">
        <v>3.0</v>
      </c>
      <c r="U66" s="43">
        <f>IF(T66&gt;T68,1,0)</f>
        <v>0</v>
      </c>
      <c r="V66" s="44"/>
      <c r="W66" s="45"/>
      <c r="X66" s="27">
        <f>IF(W66&gt;W68,1,0)</f>
        <v>0</v>
      </c>
      <c r="Y66" s="27">
        <f>IF(Q66="",0,1)</f>
        <v>1</v>
      </c>
      <c r="Z66" s="27">
        <f>IF(R66+U66=2,3,IF(R66+U66=1,1,0))</f>
        <v>0</v>
      </c>
      <c r="AA66" s="27">
        <f>IF(Z66=3,3,IF(X66+Z66=2,2,IF(Z66=1,1,0)))</f>
        <v>0</v>
      </c>
      <c r="AB66" s="27">
        <f>Q66+T66</f>
        <v>4</v>
      </c>
      <c r="AC66" s="27">
        <f>R66+U66+X66</f>
        <v>0</v>
      </c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</row>
    <row r="67" ht="15.75" customHeight="1">
      <c r="A67" s="49" t="s">
        <v>78</v>
      </c>
      <c r="H67" s="50"/>
      <c r="I67" s="51"/>
      <c r="J67" s="27"/>
      <c r="K67" s="27"/>
      <c r="L67" s="27"/>
      <c r="M67" s="27"/>
      <c r="N67" s="27"/>
      <c r="O67" s="27"/>
      <c r="P67" s="49" t="s">
        <v>78</v>
      </c>
      <c r="W67" s="50"/>
      <c r="X67" s="51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</row>
    <row r="68" ht="15.75" customHeight="1">
      <c r="A68" s="52" t="str">
        <f>AE56</f>
        <v>Simone Re</v>
      </c>
      <c r="B68" s="42">
        <v>5.0</v>
      </c>
      <c r="C68" s="53">
        <f>IF(B68&gt;B66,1,0)</f>
        <v>0</v>
      </c>
      <c r="D68" s="54"/>
      <c r="E68" s="42">
        <v>6.0</v>
      </c>
      <c r="F68" s="53">
        <f>IF(E68&gt;E66,1,0)</f>
        <v>0</v>
      </c>
      <c r="G68" s="54"/>
      <c r="H68" s="45"/>
      <c r="I68" s="27">
        <f>IF(H68&gt;H66,1,0)</f>
        <v>0</v>
      </c>
      <c r="J68" s="27">
        <f>IF(B68="",0,1)</f>
        <v>1</v>
      </c>
      <c r="K68" s="27">
        <f>IF(C68+F68=2,3,IF(C68+F68=1,1,0))</f>
        <v>0</v>
      </c>
      <c r="L68" s="27">
        <f>IF(K68=3,3,IF(I68+K68=2,2,IF(K68=1,1,0)))</f>
        <v>0</v>
      </c>
      <c r="M68" s="27">
        <f>B68+E68</f>
        <v>11</v>
      </c>
      <c r="N68" s="27">
        <f>C68+F68+I68</f>
        <v>0</v>
      </c>
      <c r="O68" s="27"/>
      <c r="P68" s="52" t="str">
        <f>AE52</f>
        <v>Sebastian Attard</v>
      </c>
      <c r="Q68" s="42">
        <v>6.0</v>
      </c>
      <c r="R68" s="53">
        <f>IF(Q68&gt;Q66,1,0)</f>
        <v>1</v>
      </c>
      <c r="S68" s="54"/>
      <c r="T68" s="42">
        <v>6.0</v>
      </c>
      <c r="U68" s="53">
        <f>IF(T68&gt;T66,1,0)</f>
        <v>1</v>
      </c>
      <c r="V68" s="54"/>
      <c r="W68" s="45"/>
      <c r="X68" s="27">
        <f>IF(W68&gt;W66,1,0)</f>
        <v>0</v>
      </c>
      <c r="Y68" s="27">
        <f>IF(Q68="",0,1)</f>
        <v>1</v>
      </c>
      <c r="Z68" s="27">
        <f>IF(R68+U68=2,3,IF(R68+U68=1,1,0))</f>
        <v>3</v>
      </c>
      <c r="AA68" s="27">
        <f>IF(Z68=3,3,IF(X68+Z68=2,2,IF(Z68=1,1,0)))</f>
        <v>3</v>
      </c>
      <c r="AB68" s="27">
        <f>Q68+T68</f>
        <v>12</v>
      </c>
      <c r="AC68" s="27">
        <f>R68+U68+X68</f>
        <v>2</v>
      </c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</row>
    <row r="69" ht="15.75" customHeight="1">
      <c r="A69" s="27"/>
      <c r="B69" s="27"/>
      <c r="C69" s="27"/>
      <c r="D69" s="27"/>
      <c r="E69" s="36"/>
      <c r="F69" s="27"/>
      <c r="G69" s="27"/>
      <c r="H69" s="36"/>
      <c r="I69" s="27"/>
      <c r="J69" s="36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36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</row>
    <row r="70" ht="15.75" customHeight="1">
      <c r="A70" s="41" t="str">
        <f>AE50</f>
        <v>Sean Cachia</v>
      </c>
      <c r="B70" s="42">
        <v>6.0</v>
      </c>
      <c r="C70" s="43">
        <f>IF(B70&gt;B72,1,0)</f>
        <v>1</v>
      </c>
      <c r="D70" s="44"/>
      <c r="E70" s="42">
        <v>7.0</v>
      </c>
      <c r="F70" s="43">
        <f>IF(E70&gt;E72,1,0)</f>
        <v>1</v>
      </c>
      <c r="G70" s="44"/>
      <c r="H70" s="45"/>
      <c r="I70" s="27">
        <f>IF(H70&gt;H72,1,0)</f>
        <v>0</v>
      </c>
      <c r="J70" s="27">
        <f>IF(B70="",0,1)</f>
        <v>1</v>
      </c>
      <c r="K70" s="27">
        <f>IF(C70+F70=2,3,IF(C70+F70=1,1,0))</f>
        <v>3</v>
      </c>
      <c r="L70" s="27">
        <f>IF(K70=3,3,IF(I70+K70=2,2,IF(K70=1,1,0)))</f>
        <v>3</v>
      </c>
      <c r="M70" s="27">
        <f>B70+E70</f>
        <v>13</v>
      </c>
      <c r="N70" s="27">
        <f>C70+F70+I70</f>
        <v>2</v>
      </c>
      <c r="O70" s="27"/>
      <c r="P70" s="41" t="str">
        <f>AE50</f>
        <v>Sean Cachia</v>
      </c>
      <c r="Q70" s="42">
        <v>6.0</v>
      </c>
      <c r="R70" s="43">
        <f>IF(Q70&gt;Q72,1,0)</f>
        <v>1</v>
      </c>
      <c r="S70" s="44"/>
      <c r="T70" s="42">
        <v>6.0</v>
      </c>
      <c r="U70" s="43">
        <f>IF(T70&gt;T72,1,0)</f>
        <v>1</v>
      </c>
      <c r="V70" s="44"/>
      <c r="W70" s="45"/>
      <c r="X70" s="27">
        <f>IF(W70&gt;W72,1,0)</f>
        <v>0</v>
      </c>
      <c r="Y70" s="27">
        <f>IF(Q70="",0,1)</f>
        <v>1</v>
      </c>
      <c r="Z70" s="27">
        <f>IF(R70+U70=2,3,IF(R70+U70=1,1,0))</f>
        <v>3</v>
      </c>
      <c r="AA70" s="27">
        <f>IF(Z70=3,3,IF(X70+Z70=2,2,IF(Z70=1,1,0)))</f>
        <v>3</v>
      </c>
      <c r="AB70" s="27">
        <f>Q70+T70</f>
        <v>12</v>
      </c>
      <c r="AC70" s="27">
        <f>R70+U70+X70</f>
        <v>2</v>
      </c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</row>
    <row r="71" ht="15.75" customHeight="1">
      <c r="A71" s="49" t="s">
        <v>78</v>
      </c>
      <c r="H71" s="50"/>
      <c r="I71" s="51"/>
      <c r="J71" s="27"/>
      <c r="K71" s="27"/>
      <c r="L71" s="27"/>
      <c r="M71" s="27"/>
      <c r="N71" s="27"/>
      <c r="O71" s="27"/>
      <c r="P71" s="49" t="s">
        <v>78</v>
      </c>
      <c r="W71" s="50"/>
      <c r="X71" s="51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</row>
    <row r="72" ht="15.75" customHeight="1">
      <c r="A72" s="52" t="str">
        <f>AE54</f>
        <v>Matthew Micallef</v>
      </c>
      <c r="B72" s="42">
        <v>3.0</v>
      </c>
      <c r="C72" s="53">
        <f>IF(B72&gt;B70,1,0)</f>
        <v>0</v>
      </c>
      <c r="D72" s="54"/>
      <c r="E72" s="42">
        <v>5.0</v>
      </c>
      <c r="F72" s="53">
        <f>IF(E72&gt;E70,1,0)</f>
        <v>0</v>
      </c>
      <c r="G72" s="54"/>
      <c r="H72" s="45"/>
      <c r="I72" s="27">
        <f>IF(H72&gt;H70,1,0)</f>
        <v>0</v>
      </c>
      <c r="J72" s="27">
        <f>IF(B72="",0,1)</f>
        <v>1</v>
      </c>
      <c r="K72" s="27">
        <f>IF(C72+F72=2,3,IF(C72+F72=1,1,0))</f>
        <v>0</v>
      </c>
      <c r="L72" s="27">
        <f>IF(K72=3,3,IF(I72+K72=2,2,IF(K72=1,1,0)))</f>
        <v>0</v>
      </c>
      <c r="M72" s="27">
        <f>B72+E72</f>
        <v>8</v>
      </c>
      <c r="N72" s="27">
        <f>C72+F72+I72</f>
        <v>0</v>
      </c>
      <c r="O72" s="27"/>
      <c r="P72" s="52" t="str">
        <f>AE56</f>
        <v>Simone Re</v>
      </c>
      <c r="Q72" s="42">
        <v>3.0</v>
      </c>
      <c r="R72" s="53">
        <f>IF(Q72&gt;Q70,1,0)</f>
        <v>0</v>
      </c>
      <c r="S72" s="54"/>
      <c r="T72" s="42">
        <v>0.0</v>
      </c>
      <c r="U72" s="53">
        <f>IF(T72&gt;T70,1,0)</f>
        <v>0</v>
      </c>
      <c r="V72" s="54"/>
      <c r="W72" s="45"/>
      <c r="X72" s="27">
        <f>IF(W72&gt;W70,1,0)</f>
        <v>0</v>
      </c>
      <c r="Y72" s="27">
        <f>IF(Q72="",0,1)</f>
        <v>1</v>
      </c>
      <c r="Z72" s="27">
        <f>IF(R72+U72=2,3,IF(R72+U72=1,1,0))</f>
        <v>0</v>
      </c>
      <c r="AA72" s="27">
        <f>IF(Z72=3,3,IF(X72+Z72=2,2,IF(Z72=1,1,0)))</f>
        <v>0</v>
      </c>
      <c r="AB72" s="27">
        <f>Q72+T72</f>
        <v>3</v>
      </c>
      <c r="AC72" s="27">
        <f>R72+U72+X72</f>
        <v>0</v>
      </c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</row>
    <row r="73" ht="15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36"/>
      <c r="AI73" s="27"/>
      <c r="AJ73" s="27"/>
      <c r="AK73" s="27"/>
      <c r="AL73" s="27"/>
      <c r="AM73" s="27"/>
      <c r="AN73" s="27"/>
    </row>
    <row r="74" ht="15.75" customHeight="1">
      <c r="A74" s="41" t="str">
        <f>AE52</f>
        <v>Sebastian Attard</v>
      </c>
      <c r="B74" s="42">
        <v>5.0</v>
      </c>
      <c r="C74" s="43">
        <f>IF(B74&gt;B76,1,0)</f>
        <v>0</v>
      </c>
      <c r="D74" s="44"/>
      <c r="E74" s="42">
        <v>3.0</v>
      </c>
      <c r="F74" s="43">
        <f>IF(E74&gt;E76,1,0)</f>
        <v>0</v>
      </c>
      <c r="G74" s="44"/>
      <c r="H74" s="45"/>
      <c r="I74" s="27">
        <f>IF(H74&gt;H76,1,0)</f>
        <v>0</v>
      </c>
      <c r="J74" s="27">
        <f>IF(B74="",0,1)</f>
        <v>1</v>
      </c>
      <c r="K74" s="27">
        <f>IF(C74+F74=2,3,IF(C74+F74=1,1,0))</f>
        <v>0</v>
      </c>
      <c r="L74" s="27">
        <f>IF(K74=3,3,IF(I74+K74=2,2,IF(K74=1,1,0)))</f>
        <v>0</v>
      </c>
      <c r="M74" s="27">
        <f>B74+E74</f>
        <v>8</v>
      </c>
      <c r="N74" s="27">
        <f>C74+F74+I74</f>
        <v>0</v>
      </c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</row>
    <row r="75" ht="15.75" customHeight="1">
      <c r="A75" s="49" t="s">
        <v>78</v>
      </c>
      <c r="H75" s="50"/>
      <c r="I75" s="51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</row>
    <row r="76" ht="15.75" customHeight="1">
      <c r="A76" s="52" t="str">
        <f>AE54</f>
        <v>Matthew Micallef</v>
      </c>
      <c r="B76" s="42">
        <v>7.0</v>
      </c>
      <c r="C76" s="53">
        <f>IF(B76&gt;B74,1,0)</f>
        <v>1</v>
      </c>
      <c r="D76" s="54"/>
      <c r="E76" s="42">
        <v>6.0</v>
      </c>
      <c r="F76" s="53">
        <f>IF(E76&gt;E74,1,0)</f>
        <v>1</v>
      </c>
      <c r="G76" s="54"/>
      <c r="H76" s="45"/>
      <c r="I76" s="27">
        <f>IF(H76&gt;H74,1,0)</f>
        <v>0</v>
      </c>
      <c r="J76" s="27">
        <f>IF(B76="",0,1)</f>
        <v>1</v>
      </c>
      <c r="K76" s="27">
        <f>IF(C76+F76=2,3,IF(C76+F76=1,1,0))</f>
        <v>3</v>
      </c>
      <c r="L76" s="27">
        <f>IF(K76=3,3,IF(I76+K76=2,2,IF(K76=1,1,0)))</f>
        <v>3</v>
      </c>
      <c r="M76" s="27">
        <f>B76+E76</f>
        <v>13</v>
      </c>
      <c r="N76" s="27">
        <f>C76+F76+I76</f>
        <v>2</v>
      </c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</row>
    <row r="77" ht="15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</row>
    <row r="78" ht="15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</row>
    <row r="79" ht="15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</row>
    <row r="80" ht="15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83" t="s">
        <v>82</v>
      </c>
      <c r="Q80" s="30"/>
      <c r="R80" s="30"/>
      <c r="S80" s="30"/>
      <c r="T80" s="30"/>
      <c r="U80" s="30"/>
      <c r="V80" s="30"/>
      <c r="W80" s="84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</row>
    <row r="81" ht="15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</row>
    <row r="82" ht="15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85" t="s">
        <v>58</v>
      </c>
      <c r="Q82" s="83" t="s">
        <v>59</v>
      </c>
      <c r="R82" s="30"/>
      <c r="S82" s="30"/>
      <c r="T82" s="31"/>
      <c r="U82" s="86"/>
      <c r="V82" s="87"/>
      <c r="W82" s="85" t="s">
        <v>60</v>
      </c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</row>
    <row r="83" ht="15.75" hidden="1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37" t="s">
        <v>66</v>
      </c>
      <c r="R83" s="37" t="s">
        <v>67</v>
      </c>
      <c r="S83" s="37"/>
      <c r="T83" s="37" t="s">
        <v>66</v>
      </c>
      <c r="U83" s="37" t="s">
        <v>68</v>
      </c>
      <c r="V83" s="37"/>
      <c r="W83" s="37" t="s">
        <v>66</v>
      </c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</row>
    <row r="84" ht="15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41" t="str">
        <f>AE22</f>
        <v>Etienne Formosa Carabez</v>
      </c>
      <c r="Q84" s="42">
        <v>6.0</v>
      </c>
      <c r="R84" s="43"/>
      <c r="S84" s="44"/>
      <c r="T84" s="42">
        <v>6.0</v>
      </c>
      <c r="U84" s="43">
        <f>IF(T84&gt;T86,1,0)</f>
        <v>0</v>
      </c>
      <c r="V84" s="44"/>
      <c r="W84" s="42">
        <v>10.0</v>
      </c>
      <c r="X84" s="27">
        <f>IF(W84&gt;W86,1,0)</f>
        <v>1</v>
      </c>
      <c r="Y84" s="27">
        <f>IF(Q84="",0,1)</f>
        <v>1</v>
      </c>
      <c r="Z84" s="27">
        <f>IF(R84+U84=2,3,IF(R84+U84=1,1,0))</f>
        <v>0</v>
      </c>
      <c r="AA84" s="27">
        <f>IF(Z84=3,3,IF(X84+Z84=2,2,IF(Z84=1,1,0)))</f>
        <v>0</v>
      </c>
      <c r="AB84" s="27">
        <f>Q84+T84</f>
        <v>12</v>
      </c>
      <c r="AC84" s="27">
        <f>R84+U84+X84</f>
        <v>1</v>
      </c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</row>
    <row r="85" ht="15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49" t="s">
        <v>78</v>
      </c>
      <c r="W85" s="50"/>
      <c r="X85" s="51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</row>
    <row r="86" ht="15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52" t="str">
        <f>AE59</f>
        <v>Sam Zammit</v>
      </c>
      <c r="Q86" s="42">
        <v>1.0</v>
      </c>
      <c r="R86" s="53"/>
      <c r="S86" s="54"/>
      <c r="T86" s="42">
        <v>7.0</v>
      </c>
      <c r="U86" s="53">
        <f>IF(T86&gt;T84,1,0)</f>
        <v>1</v>
      </c>
      <c r="V86" s="54"/>
      <c r="W86" s="42">
        <v>6.0</v>
      </c>
      <c r="X86" s="27">
        <f>IF(W86&gt;W84,1,0)</f>
        <v>0</v>
      </c>
      <c r="Y86" s="27">
        <f>IF(Q86="",0,1)</f>
        <v>1</v>
      </c>
      <c r="Z86" s="27">
        <f>IF(R86+U86=2,3,IF(R86+U86=1,1,0))</f>
        <v>1</v>
      </c>
      <c r="AA86" s="27">
        <f>IF(Z86=3,3,IF(X86+Z86=2,2,IF(Z86=1,1,0)))</f>
        <v>1</v>
      </c>
      <c r="AB86" s="27">
        <f>Q86+T86</f>
        <v>8</v>
      </c>
      <c r="AC86" s="27">
        <f>R86+U86+X86</f>
        <v>1</v>
      </c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</row>
    <row r="87" ht="15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</row>
    <row r="88" ht="15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83" t="s">
        <v>83</v>
      </c>
      <c r="Q88" s="30"/>
      <c r="R88" s="30"/>
      <c r="S88" s="30"/>
      <c r="T88" s="30"/>
      <c r="U88" s="30"/>
      <c r="V88" s="30"/>
      <c r="W88" s="31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</row>
    <row r="89" ht="15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88" t="str">
        <f>IF(AA84&gt;AA86,P86,P84)</f>
        <v>Etienne Formosa Carabez</v>
      </c>
      <c r="Q89" s="89"/>
      <c r="R89" s="89"/>
      <c r="S89" s="89"/>
      <c r="T89" s="89"/>
      <c r="U89" s="89"/>
      <c r="V89" s="89"/>
      <c r="W89" s="90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</row>
    <row r="90" ht="15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</row>
    <row r="91" ht="15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</row>
    <row r="92" ht="15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83" t="s">
        <v>84</v>
      </c>
      <c r="Q92" s="30"/>
      <c r="R92" s="30"/>
      <c r="S92" s="30"/>
      <c r="T92" s="30"/>
      <c r="U92" s="30"/>
      <c r="V92" s="30"/>
      <c r="W92" s="31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</row>
    <row r="93" ht="15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88" t="str">
        <f>IF(AA84&lt;AA86,P86,P84)</f>
        <v>Sam Zammit</v>
      </c>
      <c r="Q93" s="89"/>
      <c r="R93" s="89"/>
      <c r="S93" s="89"/>
      <c r="T93" s="89"/>
      <c r="U93" s="89"/>
      <c r="V93" s="89"/>
      <c r="W93" s="90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</row>
    <row r="94" ht="15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</row>
    <row r="95" ht="15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</row>
    <row r="96" ht="15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</row>
    <row r="97" ht="15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</row>
    <row r="98" ht="15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</row>
    <row r="99" ht="15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</row>
    <row r="100" ht="15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</row>
    <row r="101" ht="15.7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</row>
    <row r="102" ht="15.7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</row>
    <row r="103" ht="15.7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</row>
    <row r="104" ht="15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</row>
    <row r="105" ht="15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</row>
    <row r="106" ht="15.0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36"/>
      <c r="R106" s="36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</row>
    <row r="107" ht="15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</row>
    <row r="108" ht="15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</row>
    <row r="109" ht="15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</row>
    <row r="110" ht="15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</row>
    <row r="111" ht="15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</row>
    <row r="112" ht="15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</row>
    <row r="113" ht="15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</row>
    <row r="114" ht="15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</row>
    <row r="115" ht="15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</row>
    <row r="116" ht="15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</row>
    <row r="117" ht="15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</row>
    <row r="118" ht="15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</row>
    <row r="119" ht="15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</row>
    <row r="120" ht="15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</row>
    <row r="121" ht="15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</row>
    <row r="122" ht="15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</row>
    <row r="123" ht="15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</row>
    <row r="124" ht="15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</row>
    <row r="125" ht="15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</row>
    <row r="126" ht="15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</row>
    <row r="127" ht="15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</row>
    <row r="128" ht="15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</row>
    <row r="129" ht="15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</row>
    <row r="130" ht="15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</row>
    <row r="131" ht="15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</row>
    <row r="132" ht="15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</row>
    <row r="133" ht="15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</row>
    <row r="134" ht="15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</row>
    <row r="135" ht="15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</row>
    <row r="136" ht="15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</row>
    <row r="137" ht="15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</row>
    <row r="138" ht="15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</row>
    <row r="139" ht="15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</row>
    <row r="140" ht="15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</row>
    <row r="141" ht="15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</row>
    <row r="142" ht="15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</row>
    <row r="143" ht="15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</row>
    <row r="144" ht="15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</row>
    <row r="145" ht="15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</row>
    <row r="146" ht="15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</row>
    <row r="147" ht="15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</row>
    <row r="148" ht="15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</row>
    <row r="149" ht="15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</row>
    <row r="150" ht="15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</row>
    <row r="151" ht="15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</row>
    <row r="152" ht="15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</row>
    <row r="153" ht="15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</row>
    <row r="154" ht="15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</row>
    <row r="155" ht="15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</row>
    <row r="156" ht="15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</row>
    <row r="157" ht="15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</row>
    <row r="158" ht="15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</row>
    <row r="159" ht="15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</row>
    <row r="160" ht="15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</row>
    <row r="161" ht="15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</row>
    <row r="162" ht="15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</row>
    <row r="163" ht="15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</row>
    <row r="164" ht="15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</row>
    <row r="165" ht="15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</row>
    <row r="166" ht="15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</row>
    <row r="167" ht="15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</row>
    <row r="168" ht="15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</row>
    <row r="169" ht="15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</row>
    <row r="170" ht="15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</row>
    <row r="171" ht="15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</row>
    <row r="172" ht="15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</row>
    <row r="173" ht="15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</row>
    <row r="174" ht="15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</row>
    <row r="175" ht="15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</row>
    <row r="176" ht="15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</row>
    <row r="177" ht="15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</row>
    <row r="178" ht="15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</row>
    <row r="179" ht="15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</row>
    <row r="180" ht="15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</row>
    <row r="181" ht="15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</row>
    <row r="182" ht="15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</row>
    <row r="183" ht="15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</row>
    <row r="184" ht="15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</row>
    <row r="185" ht="15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</row>
    <row r="186" ht="15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</row>
    <row r="187" ht="15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</row>
    <row r="188" ht="15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</row>
    <row r="189" ht="15.7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</row>
    <row r="190" ht="15.7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</row>
    <row r="191" ht="15.7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</row>
    <row r="192" ht="15.7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</row>
    <row r="193" ht="15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</row>
    <row r="194" ht="15.7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</row>
    <row r="195" ht="15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</row>
    <row r="196" ht="15.7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</row>
    <row r="197" ht="15.7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</row>
    <row r="198" ht="15.7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</row>
    <row r="199" ht="15.7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</row>
    <row r="200" ht="15.7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</row>
    <row r="201" ht="15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</row>
    <row r="202" ht="15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</row>
    <row r="203" ht="15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</row>
    <row r="204" ht="15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</row>
    <row r="205" ht="15.7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</row>
    <row r="206" ht="15.7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</row>
    <row r="207" ht="15.7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</row>
    <row r="208" ht="15.7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</row>
    <row r="209" ht="15.7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</row>
    <row r="210" ht="15.7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</row>
    <row r="211" ht="15.7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</row>
    <row r="212" ht="15.7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</row>
    <row r="213" ht="15.7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</row>
    <row r="214" ht="15.7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</row>
    <row r="215" ht="15.7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</row>
    <row r="216" ht="15.7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</row>
    <row r="217" ht="15.7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</row>
    <row r="218" ht="15.7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</row>
    <row r="219" ht="15.7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</row>
    <row r="220" ht="15.7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</row>
    <row r="221" ht="15.7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</row>
    <row r="222" ht="15.7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</row>
    <row r="223" ht="15.7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</row>
    <row r="224" ht="15.7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</row>
    <row r="225" ht="15.7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</row>
    <row r="226" ht="15.7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</row>
    <row r="227" ht="15.7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</row>
    <row r="228" ht="15.7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</row>
    <row r="229" ht="15.7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</row>
    <row r="230" ht="15.7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</row>
    <row r="231" ht="15.7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</row>
    <row r="232" ht="15.7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</row>
    <row r="233" ht="15.7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</row>
    <row r="234" ht="15.7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</row>
    <row r="235" ht="15.7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</row>
    <row r="236" ht="15.7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</row>
    <row r="237" ht="15.7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</row>
    <row r="238" ht="15.7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</row>
    <row r="239" ht="15.7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</row>
    <row r="240" ht="15.7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</row>
    <row r="241" ht="15.7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</row>
    <row r="242" ht="15.7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</row>
    <row r="243" ht="15.7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</row>
    <row r="244" ht="15.7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</row>
    <row r="245" ht="15.7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</row>
    <row r="246" ht="15.7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</row>
    <row r="247" ht="15.7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</row>
    <row r="248" ht="15.7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</row>
    <row r="249" ht="15.7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</row>
    <row r="250" ht="15.7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</row>
    <row r="251" ht="15.7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</row>
    <row r="252" ht="15.7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</row>
    <row r="253" ht="15.7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</row>
    <row r="254" ht="15.7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</row>
    <row r="255" ht="15.7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</row>
    <row r="256" ht="15.7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</row>
    <row r="257" ht="15.7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</row>
    <row r="258" ht="15.7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</row>
    <row r="259" ht="15.7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</row>
    <row r="260" ht="15.7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</row>
    <row r="261" ht="15.7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</row>
    <row r="262" ht="15.7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</row>
    <row r="263" ht="15.7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</row>
    <row r="264" ht="15.7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</row>
    <row r="265" ht="15.7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</row>
    <row r="266" ht="15.7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</row>
    <row r="267" ht="15.7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</row>
    <row r="268" ht="15.7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</row>
    <row r="269" ht="15.7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</row>
    <row r="270" ht="15.7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</row>
    <row r="271" ht="15.7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</row>
    <row r="272" ht="15.7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</row>
    <row r="273" ht="15.7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</row>
    <row r="274" ht="15.7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</row>
    <row r="275" ht="15.7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</row>
    <row r="276" ht="15.7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</row>
    <row r="277" ht="15.7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</row>
    <row r="278" ht="15.7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</row>
    <row r="279" ht="15.7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</row>
    <row r="280" ht="15.7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</row>
    <row r="281" ht="15.7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</row>
    <row r="282" ht="15.7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</row>
    <row r="283" ht="15.7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</row>
    <row r="284" ht="15.7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</row>
    <row r="285" ht="15.7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</row>
    <row r="286" ht="15.7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</row>
    <row r="287" ht="15.7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</row>
    <row r="288" ht="15.7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</row>
    <row r="289" ht="15.7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</row>
    <row r="290" ht="15.7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</row>
    <row r="291" ht="15.7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</row>
    <row r="292" ht="15.7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</row>
    <row r="293" ht="15.7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</row>
    <row r="294" ht="15.7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</row>
    <row r="295" ht="15.7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</row>
    <row r="296" ht="15.7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</row>
    <row r="297" ht="15.7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</row>
    <row r="298" ht="15.7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</row>
    <row r="299" ht="15.7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</row>
    <row r="300" ht="15.7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</row>
    <row r="301" ht="15.7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</row>
    <row r="302" ht="15.7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</row>
    <row r="303" ht="15.7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</row>
    <row r="304" ht="15.7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</row>
    <row r="305" ht="15.7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</row>
    <row r="306" ht="15.7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</row>
    <row r="307" ht="15.7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</row>
    <row r="308" ht="15.7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</row>
    <row r="309" ht="15.7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</row>
    <row r="310" ht="15.7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</row>
    <row r="311" ht="15.7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</row>
    <row r="312" ht="15.7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</row>
    <row r="313" ht="15.7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</row>
    <row r="314" ht="15.7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</row>
    <row r="315" ht="15.7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</row>
    <row r="316" ht="15.7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</row>
    <row r="317" ht="15.7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</row>
    <row r="318" ht="15.7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</row>
    <row r="319" ht="15.7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</row>
    <row r="320" ht="15.7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</row>
    <row r="321" ht="15.7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</row>
    <row r="322" ht="15.7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</row>
    <row r="323" ht="15.7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</row>
    <row r="324" ht="15.7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</row>
    <row r="325" ht="15.7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</row>
    <row r="326" ht="15.7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</row>
    <row r="327" ht="15.7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</row>
    <row r="328" ht="15.7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</row>
    <row r="329" ht="15.7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</row>
    <row r="330" ht="15.7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</row>
    <row r="331" ht="15.7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</row>
    <row r="332" ht="15.7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</row>
    <row r="333" ht="15.7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</row>
    <row r="334" ht="15.7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</row>
    <row r="335" ht="15.7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</row>
    <row r="336" ht="15.7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</row>
    <row r="337" ht="15.7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</row>
    <row r="338" ht="15.7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</row>
    <row r="339" ht="15.7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</row>
    <row r="340" ht="15.7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</row>
    <row r="341" ht="15.7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</row>
    <row r="342" ht="15.7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</row>
    <row r="343" ht="15.7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</row>
    <row r="344" ht="15.7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</row>
    <row r="345" ht="15.7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</row>
    <row r="346" ht="15.7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</row>
    <row r="347" ht="15.7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</row>
    <row r="348" ht="15.7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</row>
    <row r="349" ht="15.7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</row>
    <row r="350" ht="15.7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</row>
    <row r="351" ht="15.7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</row>
    <row r="352" ht="15.7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</row>
    <row r="353" ht="15.7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</row>
    <row r="354" ht="15.7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</row>
    <row r="355" ht="15.7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</row>
    <row r="356" ht="15.7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</row>
    <row r="357" ht="15.7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</row>
    <row r="358" ht="15.7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</row>
    <row r="359" ht="15.7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</row>
    <row r="360" ht="15.7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</row>
    <row r="361" ht="15.7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</row>
    <row r="362" ht="15.7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</row>
    <row r="363" ht="15.7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</row>
    <row r="364" ht="15.7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</row>
    <row r="365" ht="15.7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</row>
    <row r="366" ht="15.7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</row>
    <row r="367" ht="15.7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</row>
    <row r="368" ht="15.7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</row>
    <row r="369" ht="15.7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</row>
    <row r="370" ht="15.7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</row>
    <row r="371" ht="15.7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</row>
    <row r="372" ht="15.7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</row>
    <row r="373" ht="15.7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</row>
    <row r="374" ht="15.7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</row>
    <row r="375" ht="15.7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</row>
    <row r="376" ht="15.7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</row>
    <row r="377" ht="15.7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</row>
    <row r="378" ht="15.7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</row>
    <row r="379" ht="15.7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</row>
    <row r="380" ht="15.7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</row>
    <row r="381" ht="15.7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</row>
    <row r="382" ht="15.7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</row>
    <row r="383" ht="15.7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</row>
    <row r="384" ht="15.7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</row>
    <row r="385" ht="15.7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</row>
    <row r="386" ht="15.7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</row>
    <row r="387" ht="15.7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</row>
    <row r="388" ht="15.7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</row>
    <row r="389" ht="15.7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</row>
    <row r="390" ht="15.7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</row>
    <row r="391" ht="15.7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</row>
    <row r="392" ht="15.7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</row>
    <row r="393" ht="15.7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</row>
    <row r="394" ht="15.7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</row>
    <row r="395" ht="15.7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</row>
    <row r="396" ht="15.7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</row>
    <row r="397" ht="15.7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</row>
    <row r="398" ht="15.7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</row>
    <row r="399" ht="15.7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</row>
    <row r="400" ht="15.7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</row>
    <row r="401" ht="15.7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</row>
    <row r="402" ht="15.7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</row>
    <row r="403" ht="15.7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</row>
    <row r="404" ht="15.7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</row>
    <row r="405" ht="15.7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</row>
    <row r="406" ht="15.7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</row>
    <row r="407" ht="15.7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</row>
    <row r="408" ht="15.7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</row>
    <row r="409" ht="15.7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</row>
    <row r="410" ht="15.7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</row>
    <row r="411" ht="15.7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</row>
    <row r="412" ht="15.7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</row>
    <row r="413" ht="15.7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</row>
    <row r="414" ht="15.7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</row>
    <row r="415" ht="15.7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</row>
    <row r="416" ht="15.7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</row>
    <row r="417" ht="15.7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</row>
    <row r="418" ht="15.7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</row>
    <row r="419" ht="15.7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</row>
    <row r="420" ht="15.7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</row>
    <row r="421" ht="15.7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</row>
    <row r="422" ht="15.7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</row>
    <row r="423" ht="15.7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</row>
    <row r="424" ht="15.7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</row>
    <row r="425" ht="15.7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</row>
    <row r="426" ht="15.7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</row>
    <row r="427" ht="15.7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</row>
    <row r="428" ht="15.7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</row>
    <row r="429" ht="15.7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</row>
    <row r="430" ht="15.7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</row>
    <row r="431" ht="15.7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</row>
    <row r="432" ht="15.7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</row>
    <row r="433" ht="15.7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</row>
    <row r="434" ht="15.7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</row>
    <row r="435" ht="15.7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</row>
    <row r="436" ht="15.7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</row>
    <row r="437" ht="15.7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</row>
    <row r="438" ht="15.7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</row>
    <row r="439" ht="15.7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</row>
    <row r="440" ht="15.7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</row>
    <row r="441" ht="15.7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</row>
    <row r="442" ht="15.7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</row>
    <row r="443" ht="15.7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</row>
    <row r="444" ht="15.7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</row>
    <row r="445" ht="15.7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</row>
    <row r="446" ht="15.7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</row>
    <row r="447" ht="15.7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</row>
    <row r="448" ht="15.7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</row>
    <row r="449" ht="15.7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</row>
    <row r="450" ht="15.7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</row>
    <row r="451" ht="15.7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</row>
    <row r="452" ht="15.7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</row>
    <row r="453" ht="15.7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</row>
    <row r="454" ht="15.7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</row>
    <row r="455" ht="15.7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</row>
    <row r="456" ht="15.7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</row>
    <row r="457" ht="15.7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</row>
    <row r="458" ht="15.7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</row>
    <row r="459" ht="15.7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</row>
    <row r="460" ht="15.7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</row>
    <row r="461" ht="15.7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</row>
    <row r="462" ht="15.7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</row>
    <row r="463" ht="15.7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</row>
    <row r="464" ht="15.7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</row>
    <row r="465" ht="15.7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</row>
    <row r="466" ht="15.7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</row>
    <row r="467" ht="15.7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</row>
    <row r="468" ht="15.7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</row>
    <row r="469" ht="15.7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</row>
    <row r="470" ht="15.7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</row>
    <row r="471" ht="15.7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</row>
    <row r="472" ht="15.7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</row>
    <row r="473" ht="15.7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</row>
    <row r="474" ht="15.7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</row>
    <row r="475" ht="15.7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</row>
    <row r="476" ht="15.7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</row>
    <row r="477" ht="15.7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</row>
    <row r="478" ht="15.7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</row>
    <row r="479" ht="15.7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</row>
    <row r="480" ht="15.7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</row>
    <row r="481" ht="15.7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</row>
    <row r="482" ht="15.7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</row>
    <row r="483" ht="15.7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</row>
    <row r="484" ht="15.7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</row>
    <row r="485" ht="15.7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</row>
    <row r="486" ht="15.7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</row>
    <row r="487" ht="15.7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</row>
    <row r="488" ht="15.7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</row>
    <row r="489" ht="15.7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</row>
    <row r="490" ht="15.7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</row>
    <row r="491" ht="15.7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</row>
    <row r="492" ht="15.7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</row>
    <row r="493" ht="15.7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</row>
    <row r="494" ht="15.7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</row>
    <row r="495" ht="15.7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</row>
    <row r="496" ht="15.7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</row>
    <row r="497" ht="15.7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</row>
    <row r="498" ht="15.7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</row>
    <row r="499" ht="15.7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</row>
    <row r="500" ht="15.7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</row>
    <row r="501" ht="15.7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</row>
    <row r="502" ht="15.7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</row>
    <row r="503" ht="15.7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</row>
    <row r="504" ht="15.7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</row>
    <row r="505" ht="15.7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</row>
    <row r="506" ht="15.7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</row>
    <row r="507" ht="15.7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</row>
    <row r="508" ht="15.7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</row>
    <row r="509" ht="15.7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</row>
    <row r="510" ht="15.7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</row>
    <row r="511" ht="15.7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</row>
    <row r="512" ht="15.7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</row>
    <row r="513" ht="15.7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</row>
    <row r="514" ht="15.7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</row>
    <row r="515" ht="15.7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</row>
    <row r="516" ht="15.7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</row>
    <row r="517" ht="15.7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</row>
    <row r="518" ht="15.7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</row>
    <row r="519" ht="15.7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</row>
    <row r="520" ht="15.7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</row>
    <row r="521" ht="15.7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</row>
    <row r="522" ht="15.7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</row>
    <row r="523" ht="15.7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</row>
    <row r="524" ht="15.7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</row>
    <row r="525" ht="15.7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</row>
    <row r="526" ht="15.7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</row>
    <row r="527" ht="15.7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</row>
    <row r="528" ht="15.7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</row>
    <row r="529" ht="15.7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</row>
    <row r="530" ht="15.7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</row>
    <row r="531" ht="15.7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</row>
    <row r="532" ht="15.7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</row>
    <row r="533" ht="15.7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</row>
    <row r="534" ht="15.7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</row>
    <row r="535" ht="15.7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</row>
    <row r="536" ht="15.7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</row>
    <row r="537" ht="15.7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</row>
    <row r="538" ht="15.7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</row>
    <row r="539" ht="15.7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</row>
    <row r="540" ht="15.7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</row>
    <row r="541" ht="15.7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</row>
    <row r="542" ht="15.7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</row>
    <row r="543" ht="15.7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</row>
    <row r="544" ht="15.7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</row>
    <row r="545" ht="15.7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</row>
    <row r="546" ht="15.7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</row>
    <row r="547" ht="15.7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</row>
    <row r="548" ht="15.7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</row>
    <row r="549" ht="15.7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</row>
    <row r="550" ht="15.7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</row>
    <row r="551" ht="15.7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</row>
    <row r="552" ht="15.7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</row>
    <row r="553" ht="15.7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</row>
    <row r="554" ht="15.7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</row>
    <row r="555" ht="15.7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</row>
    <row r="556" ht="15.7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</row>
    <row r="557" ht="15.7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</row>
    <row r="558" ht="15.7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</row>
    <row r="559" ht="15.7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</row>
    <row r="560" ht="15.7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</row>
    <row r="561" ht="15.7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</row>
    <row r="562" ht="15.7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</row>
    <row r="563" ht="15.7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</row>
    <row r="564" ht="15.7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</row>
    <row r="565" ht="15.7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</row>
    <row r="566" ht="15.7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</row>
    <row r="567" ht="15.7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</row>
    <row r="568" ht="15.7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</row>
    <row r="569" ht="15.7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</row>
    <row r="570" ht="15.7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</row>
    <row r="571" ht="15.7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</row>
    <row r="572" ht="15.7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</row>
    <row r="573" ht="15.7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</row>
    <row r="574" ht="15.7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</row>
    <row r="575" ht="15.7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</row>
    <row r="576" ht="15.7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</row>
    <row r="577" ht="15.7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</row>
    <row r="578" ht="15.7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</row>
    <row r="579" ht="15.7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</row>
    <row r="580" ht="15.7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</row>
    <row r="581" ht="15.7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</row>
    <row r="582" ht="15.7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</row>
    <row r="583" ht="15.7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</row>
    <row r="584" ht="15.7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</row>
    <row r="585" ht="15.7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</row>
    <row r="586" ht="15.7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</row>
    <row r="587" ht="15.7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</row>
    <row r="588" ht="15.7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</row>
    <row r="589" ht="15.7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</row>
    <row r="590" ht="15.7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</row>
    <row r="591" ht="15.7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</row>
    <row r="592" ht="15.7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</row>
    <row r="593" ht="15.7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</row>
    <row r="594" ht="15.7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</row>
    <row r="595" ht="15.7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</row>
    <row r="596" ht="15.7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</row>
    <row r="597" ht="15.7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</row>
    <row r="598" ht="15.7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</row>
    <row r="599" ht="15.7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</row>
    <row r="600" ht="15.7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</row>
    <row r="601" ht="15.7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</row>
    <row r="602" ht="15.7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</row>
    <row r="603" ht="15.7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</row>
    <row r="604" ht="15.7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</row>
    <row r="605" ht="15.7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</row>
    <row r="606" ht="15.7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</row>
    <row r="607" ht="15.7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</row>
    <row r="608" ht="15.7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</row>
    <row r="609" ht="15.7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</row>
    <row r="610" ht="15.7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</row>
    <row r="611" ht="15.7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</row>
    <row r="612" ht="15.7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</row>
    <row r="613" ht="15.7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</row>
    <row r="614" ht="15.7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</row>
    <row r="615" ht="15.7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</row>
    <row r="616" ht="15.7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</row>
    <row r="617" ht="15.7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</row>
    <row r="618" ht="15.7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</row>
    <row r="619" ht="15.7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</row>
    <row r="620" ht="15.7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</row>
    <row r="621" ht="15.7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</row>
    <row r="622" ht="15.7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</row>
    <row r="623" ht="15.7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</row>
    <row r="624" ht="15.7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</row>
    <row r="625" ht="15.7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</row>
    <row r="626" ht="15.7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</row>
    <row r="627" ht="15.7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</row>
    <row r="628" ht="15.7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</row>
    <row r="629" ht="15.7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</row>
    <row r="630" ht="15.7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</row>
    <row r="631" ht="15.7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</row>
    <row r="632" ht="15.7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</row>
    <row r="633" ht="15.7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</row>
    <row r="634" ht="15.7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</row>
    <row r="635" ht="15.7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</row>
    <row r="636" ht="15.7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</row>
    <row r="637" ht="15.7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</row>
    <row r="638" ht="15.7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</row>
    <row r="639" ht="15.7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</row>
    <row r="640" ht="15.7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</row>
    <row r="641" ht="15.7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</row>
    <row r="642" ht="15.7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</row>
    <row r="643" ht="15.7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</row>
    <row r="644" ht="15.7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</row>
    <row r="645" ht="15.7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</row>
    <row r="646" ht="15.7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</row>
    <row r="647" ht="15.7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</row>
    <row r="648" ht="15.7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</row>
    <row r="649" ht="15.7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</row>
    <row r="650" ht="15.7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</row>
    <row r="651" ht="15.7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</row>
    <row r="652" ht="15.7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</row>
    <row r="653" ht="15.7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</row>
    <row r="654" ht="15.7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</row>
    <row r="655" ht="15.7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</row>
    <row r="656" ht="15.7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</row>
    <row r="657" ht="15.7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</row>
    <row r="658" ht="15.7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</row>
    <row r="659" ht="15.7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</row>
    <row r="660" ht="15.7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</row>
    <row r="661" ht="15.7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</row>
    <row r="662" ht="15.7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</row>
    <row r="663" ht="15.7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</row>
    <row r="664" ht="15.7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</row>
    <row r="665" ht="15.7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</row>
    <row r="666" ht="15.7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</row>
    <row r="667" ht="15.7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</row>
    <row r="668" ht="15.7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</row>
    <row r="669" ht="15.7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</row>
    <row r="670" ht="15.7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</row>
    <row r="671" ht="15.7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</row>
    <row r="672" ht="15.7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</row>
    <row r="673" ht="15.7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</row>
    <row r="674" ht="15.7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</row>
    <row r="675" ht="15.7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</row>
    <row r="676" ht="15.7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</row>
    <row r="677" ht="15.7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</row>
    <row r="678" ht="15.7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</row>
    <row r="679" ht="15.7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</row>
    <row r="680" ht="15.7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</row>
    <row r="681" ht="15.7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</row>
    <row r="682" ht="15.7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</row>
    <row r="683" ht="15.7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</row>
    <row r="684" ht="15.7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</row>
    <row r="685" ht="15.7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</row>
    <row r="686" ht="15.7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</row>
    <row r="687" ht="15.7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</row>
    <row r="688" ht="15.7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</row>
    <row r="689" ht="15.7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</row>
    <row r="690" ht="15.7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</row>
    <row r="691" ht="15.7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</row>
    <row r="692" ht="15.7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</row>
    <row r="693" ht="15.7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</row>
    <row r="694" ht="15.7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</row>
    <row r="695" ht="15.7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</row>
    <row r="696" ht="15.7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</row>
    <row r="697" ht="15.7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</row>
    <row r="698" ht="15.7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</row>
    <row r="699" ht="15.7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</row>
    <row r="700" ht="15.7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</row>
    <row r="701" ht="15.7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</row>
    <row r="702" ht="15.7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</row>
    <row r="703" ht="15.7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</row>
    <row r="704" ht="15.7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</row>
    <row r="705" ht="15.7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</row>
    <row r="706" ht="15.7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</row>
    <row r="707" ht="15.7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</row>
    <row r="708" ht="15.7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</row>
    <row r="709" ht="15.7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</row>
    <row r="710" ht="15.7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</row>
    <row r="711" ht="15.7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</row>
    <row r="712" ht="15.7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</row>
    <row r="713" ht="15.7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</row>
    <row r="714" ht="15.7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</row>
    <row r="715" ht="15.7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</row>
    <row r="716" ht="15.7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</row>
    <row r="717" ht="15.7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</row>
    <row r="718" ht="15.7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</row>
    <row r="719" ht="15.7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</row>
    <row r="720" ht="15.7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</row>
    <row r="721" ht="15.7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</row>
    <row r="722" ht="15.7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</row>
    <row r="723" ht="15.7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</row>
    <row r="724" ht="15.7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</row>
    <row r="725" ht="15.7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</row>
    <row r="726" ht="15.7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</row>
    <row r="727" ht="15.7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</row>
    <row r="728" ht="15.7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</row>
    <row r="729" ht="15.7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</row>
    <row r="730" ht="15.7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</row>
    <row r="731" ht="15.7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</row>
    <row r="732" ht="15.7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</row>
    <row r="733" ht="15.7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</row>
    <row r="734" ht="15.7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</row>
    <row r="735" ht="15.7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</row>
    <row r="736" ht="15.7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</row>
    <row r="737" ht="15.7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</row>
    <row r="738" ht="15.7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</row>
    <row r="739" ht="15.7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</row>
    <row r="740" ht="15.7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</row>
    <row r="741" ht="15.7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</row>
    <row r="742" ht="15.7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</row>
    <row r="743" ht="15.7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</row>
    <row r="744" ht="15.7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</row>
    <row r="745" ht="15.7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</row>
    <row r="746" ht="15.7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</row>
    <row r="747" ht="15.7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</row>
    <row r="748" ht="15.7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</row>
    <row r="749" ht="15.7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</row>
    <row r="750" ht="15.7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</row>
    <row r="751" ht="15.7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</row>
    <row r="752" ht="15.7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</row>
    <row r="753" ht="15.7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</row>
    <row r="754" ht="15.7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</row>
    <row r="755" ht="15.7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</row>
    <row r="756" ht="15.7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</row>
    <row r="757" ht="15.7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7"/>
    </row>
    <row r="758" ht="15.7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7"/>
    </row>
    <row r="759" ht="15.7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</row>
    <row r="760" ht="15.7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</row>
    <row r="761" ht="15.7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</row>
    <row r="762" ht="15.7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</row>
    <row r="763" ht="15.7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</row>
    <row r="764" ht="15.7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</row>
    <row r="765" ht="15.7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</row>
    <row r="766" ht="15.7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</row>
    <row r="767" ht="15.7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</row>
    <row r="768" ht="15.7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</row>
    <row r="769" ht="15.7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</row>
    <row r="770" ht="15.7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7"/>
    </row>
    <row r="771" ht="15.7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</row>
    <row r="772" ht="15.7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</row>
    <row r="773" ht="15.7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</row>
    <row r="774" ht="15.7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</row>
    <row r="775" ht="15.7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</row>
    <row r="776" ht="15.7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</row>
    <row r="777" ht="15.7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</row>
    <row r="778" ht="15.7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</row>
    <row r="779" ht="15.7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</row>
    <row r="780" ht="15.7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</row>
    <row r="781" ht="15.7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</row>
    <row r="782" ht="15.7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</row>
    <row r="783" ht="15.7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</row>
    <row r="784" ht="15.7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</row>
    <row r="785" ht="15.7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7"/>
    </row>
    <row r="786" ht="15.7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</row>
    <row r="787" ht="15.7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</row>
    <row r="788" ht="15.7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</row>
    <row r="789" ht="15.7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</row>
    <row r="790" ht="15.7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</row>
    <row r="791" ht="15.7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</row>
    <row r="792" ht="15.7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7"/>
    </row>
    <row r="793" ht="15.7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27"/>
    </row>
    <row r="794" ht="15.7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</row>
    <row r="795" ht="15.7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</row>
    <row r="796" ht="15.7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</row>
    <row r="797" ht="15.7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7"/>
    </row>
    <row r="798" ht="15.7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7"/>
    </row>
    <row r="799" ht="15.7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</row>
    <row r="800" ht="15.7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</row>
    <row r="801" ht="15.7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</row>
    <row r="802" ht="15.7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</row>
    <row r="803" ht="15.7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</row>
    <row r="804" ht="15.7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</row>
    <row r="805" ht="15.7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</row>
    <row r="806" ht="15.7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</row>
    <row r="807" ht="15.7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</row>
    <row r="808" ht="15.7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</row>
    <row r="809" ht="15.7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</row>
    <row r="810" ht="15.7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</row>
    <row r="811" ht="15.7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7"/>
    </row>
    <row r="812" ht="15.7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N812" s="27"/>
    </row>
    <row r="813" ht="15.7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27"/>
    </row>
    <row r="814" ht="15.7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</row>
    <row r="815" ht="15.7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</row>
    <row r="816" ht="15.7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7"/>
    </row>
    <row r="817" ht="15.7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7"/>
    </row>
    <row r="818" ht="15.7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7"/>
    </row>
    <row r="819" ht="15.7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</row>
    <row r="820" ht="15.7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</row>
    <row r="821" ht="15.7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</row>
    <row r="822" ht="15.7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</row>
    <row r="823" ht="15.7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</row>
    <row r="824" ht="15.7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</row>
    <row r="825" ht="15.7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</row>
    <row r="826" ht="15.7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</row>
    <row r="827" ht="15.7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</row>
    <row r="828" ht="15.7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7"/>
    </row>
    <row r="829" ht="15.7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</row>
    <row r="830" ht="15.7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7"/>
    </row>
    <row r="831" ht="15.7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</row>
    <row r="832" ht="15.7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7"/>
    </row>
    <row r="833" ht="15.7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7"/>
    </row>
    <row r="834" ht="15.7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</row>
    <row r="835" ht="15.7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</row>
    <row r="836" ht="15.7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7"/>
    </row>
    <row r="837" ht="15.7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7"/>
    </row>
    <row r="838" ht="15.7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</row>
    <row r="839" ht="15.7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</row>
    <row r="840" ht="15.7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</row>
    <row r="841" ht="15.7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7"/>
    </row>
    <row r="842" ht="15.7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7"/>
    </row>
    <row r="843" ht="15.7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</row>
    <row r="844" ht="15.7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</row>
    <row r="845" ht="15.7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27"/>
    </row>
    <row r="846" ht="15.7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27"/>
    </row>
    <row r="847" ht="15.7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</row>
    <row r="848" ht="15.7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7"/>
    </row>
    <row r="849" ht="15.7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</row>
    <row r="850" ht="15.7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</row>
    <row r="851" ht="15.7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</row>
    <row r="852" ht="15.7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N852" s="27"/>
    </row>
    <row r="853" ht="15.7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27"/>
    </row>
    <row r="854" ht="15.7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</row>
    <row r="855" ht="15.7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</row>
    <row r="856" ht="15.7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7"/>
    </row>
    <row r="857" ht="15.7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7"/>
    </row>
    <row r="858" ht="15.7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7"/>
    </row>
    <row r="859" ht="15.7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</row>
    <row r="860" ht="15.7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7"/>
    </row>
    <row r="861" ht="15.7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7"/>
    </row>
    <row r="862" ht="15.7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7"/>
    </row>
    <row r="863" ht="15.7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</row>
    <row r="864" ht="15.7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</row>
    <row r="865" ht="15.7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</row>
    <row r="866" ht="15.7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7"/>
    </row>
    <row r="867" ht="15.7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</row>
    <row r="868" ht="15.7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</row>
    <row r="869" ht="15.7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</row>
    <row r="870" ht="15.7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</row>
    <row r="871" ht="15.7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</row>
    <row r="872" ht="15.7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7"/>
    </row>
    <row r="873" ht="15.7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27"/>
    </row>
    <row r="874" ht="15.7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</row>
    <row r="875" ht="15.7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7"/>
    </row>
    <row r="876" ht="15.7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N876" s="27"/>
    </row>
    <row r="877" ht="15.7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27"/>
    </row>
    <row r="878" ht="15.7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27"/>
    </row>
    <row r="879" ht="15.7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</row>
    <row r="880" ht="15.7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N880" s="27"/>
    </row>
    <row r="881" ht="15.7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</row>
    <row r="882" ht="15.7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</row>
    <row r="883" ht="15.7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7"/>
    </row>
    <row r="884" ht="15.7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</row>
    <row r="885" ht="15.7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7"/>
    </row>
    <row r="886" ht="15.7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7"/>
    </row>
    <row r="887" ht="15.7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</row>
    <row r="888" ht="15.7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</row>
    <row r="889" ht="15.7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</row>
    <row r="890" ht="15.7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7"/>
    </row>
    <row r="891" ht="15.7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</row>
    <row r="892" ht="15.7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</row>
    <row r="893" ht="15.7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</row>
    <row r="894" ht="15.7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</row>
    <row r="895" ht="15.7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</row>
    <row r="896" ht="15.7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7"/>
    </row>
    <row r="897" ht="15.7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7"/>
    </row>
    <row r="898" ht="15.7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</row>
    <row r="899" ht="15.7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</row>
    <row r="900" ht="15.7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7"/>
    </row>
    <row r="901" ht="15.7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27"/>
    </row>
    <row r="902" ht="15.7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27"/>
    </row>
    <row r="903" ht="15.7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7"/>
    </row>
    <row r="904" ht="15.7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</row>
    <row r="905" ht="15.7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7"/>
    </row>
    <row r="906" ht="15.7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7"/>
    </row>
    <row r="907" ht="15.7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</row>
    <row r="908" ht="15.7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7"/>
    </row>
    <row r="909" ht="15.7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</row>
    <row r="910" ht="15.7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</row>
    <row r="911" ht="15.7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</row>
    <row r="912" ht="15.7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7"/>
    </row>
    <row r="913" ht="15.7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7"/>
    </row>
    <row r="914" ht="15.7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</row>
    <row r="915" ht="15.7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</row>
    <row r="916" ht="15.7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</row>
    <row r="917" ht="15.7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</row>
    <row r="918" ht="15.7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</row>
    <row r="919" ht="15.7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</row>
    <row r="920" ht="15.7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</row>
    <row r="921" ht="15.7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</row>
    <row r="922" ht="15.7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</row>
    <row r="923" ht="15.7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</row>
    <row r="924" ht="15.7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</row>
    <row r="925" ht="15.7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</row>
    <row r="926" ht="15.7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</row>
    <row r="927" ht="15.7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</row>
    <row r="928" ht="15.7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</row>
    <row r="929" ht="15.7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</row>
    <row r="930" ht="15.7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</row>
    <row r="931" ht="15.7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</row>
    <row r="932" ht="15.7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</row>
    <row r="933" ht="15.7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</row>
    <row r="934" ht="15.7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</row>
    <row r="935" ht="15.7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</row>
    <row r="936" ht="15.7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</row>
    <row r="937" ht="15.7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27"/>
    </row>
    <row r="938" ht="15.7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27"/>
    </row>
    <row r="939" ht="15.7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</row>
    <row r="940" ht="15.7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7"/>
    </row>
    <row r="941" ht="15.7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27"/>
    </row>
    <row r="942" ht="15.7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27"/>
    </row>
    <row r="943" ht="15.7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7"/>
    </row>
    <row r="944" ht="15.7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</row>
    <row r="945" ht="15.7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7"/>
    </row>
    <row r="946" ht="15.7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</row>
    <row r="947" ht="15.7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</row>
    <row r="948" ht="15.7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</row>
    <row r="949" ht="15.7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</row>
    <row r="950" ht="15.7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</row>
    <row r="951" ht="15.7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</row>
    <row r="952" ht="15.7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7"/>
    </row>
    <row r="953" ht="15.7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</row>
    <row r="954" ht="15.7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</row>
    <row r="955" ht="15.7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</row>
    <row r="956" ht="15.7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7"/>
    </row>
    <row r="957" ht="15.7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7"/>
    </row>
    <row r="958" ht="15.7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7"/>
    </row>
    <row r="959" ht="15.7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</row>
    <row r="960" ht="15.7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7"/>
    </row>
    <row r="961" ht="15.7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27"/>
    </row>
    <row r="962" ht="15.7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27"/>
    </row>
    <row r="963" ht="15.7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27"/>
    </row>
    <row r="964" ht="15.7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27"/>
    </row>
    <row r="965" ht="15.7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N965" s="27"/>
    </row>
    <row r="966" ht="15.7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  <c r="AN966" s="27"/>
    </row>
    <row r="967" ht="15.7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N967" s="27"/>
    </row>
    <row r="968" ht="15.7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  <c r="AN968" s="27"/>
    </row>
    <row r="969" ht="15.7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  <c r="AN969" s="27"/>
    </row>
    <row r="970" ht="15.7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N970" s="27"/>
    </row>
    <row r="971" ht="15.7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N971" s="27"/>
    </row>
    <row r="972" ht="15.7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  <c r="AN972" s="27"/>
    </row>
    <row r="973" ht="15.7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N973" s="27"/>
    </row>
    <row r="974" ht="15.7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7"/>
    </row>
    <row r="975" ht="15.7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27"/>
    </row>
    <row r="976" ht="15.7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7"/>
    </row>
    <row r="977" ht="15.7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27"/>
    </row>
    <row r="978" ht="15.7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27"/>
    </row>
    <row r="979" ht="15.7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7"/>
    </row>
    <row r="980" ht="15.7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27"/>
    </row>
    <row r="981" ht="15.7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27"/>
    </row>
    <row r="982" ht="15.7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27"/>
    </row>
    <row r="983" ht="15.7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</row>
    <row r="984" ht="15.7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</row>
    <row r="985" ht="15.7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27"/>
    </row>
    <row r="986" ht="15.7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27"/>
    </row>
    <row r="987" ht="15.7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</row>
    <row r="988" ht="15.7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7"/>
    </row>
    <row r="989" ht="15.7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27"/>
    </row>
    <row r="990" ht="15.7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27"/>
    </row>
    <row r="991" ht="15.7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</row>
    <row r="992" ht="15.7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</row>
    <row r="993" ht="15.7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  <c r="AL993" s="27"/>
      <c r="AM993" s="27"/>
      <c r="AN993" s="27"/>
    </row>
    <row r="994" ht="15.7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  <c r="AM994" s="27"/>
      <c r="AN994" s="27"/>
    </row>
    <row r="995" ht="15.7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  <c r="AJ995" s="27"/>
      <c r="AK995" s="27"/>
      <c r="AL995" s="27"/>
      <c r="AM995" s="27"/>
      <c r="AN995" s="27"/>
    </row>
    <row r="996" ht="15.7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  <c r="AI996" s="27"/>
      <c r="AJ996" s="27"/>
      <c r="AK996" s="27"/>
      <c r="AL996" s="27"/>
      <c r="AM996" s="27"/>
      <c r="AN996" s="27"/>
    </row>
    <row r="997" ht="15.7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  <c r="AI997" s="27"/>
      <c r="AJ997" s="27"/>
      <c r="AK997" s="27"/>
      <c r="AL997" s="27"/>
      <c r="AM997" s="27"/>
      <c r="AN997" s="27"/>
    </row>
    <row r="998" ht="15.7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  <c r="AI998" s="27"/>
      <c r="AJ998" s="27"/>
      <c r="AK998" s="27"/>
      <c r="AL998" s="27"/>
      <c r="AM998" s="27"/>
      <c r="AN998" s="27"/>
    </row>
    <row r="999" ht="15.7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  <c r="AH999" s="27"/>
      <c r="AI999" s="27"/>
      <c r="AJ999" s="27"/>
      <c r="AK999" s="27"/>
      <c r="AL999" s="27"/>
      <c r="AM999" s="27"/>
      <c r="AN999" s="27"/>
    </row>
    <row r="1000" ht="15.7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  <c r="AG1000" s="27"/>
      <c r="AH1000" s="27"/>
      <c r="AI1000" s="27"/>
      <c r="AJ1000" s="27"/>
      <c r="AK1000" s="27"/>
      <c r="AL1000" s="27"/>
      <c r="AM1000" s="27"/>
      <c r="AN1000" s="27"/>
    </row>
  </sheetData>
  <mergeCells count="52">
    <mergeCell ref="A1:AI2"/>
    <mergeCell ref="A5:AI5"/>
    <mergeCell ref="B7:E7"/>
    <mergeCell ref="Q7:T7"/>
    <mergeCell ref="A10:H10"/>
    <mergeCell ref="P10:W10"/>
    <mergeCell ref="P14:W14"/>
    <mergeCell ref="AE25:AI25"/>
    <mergeCell ref="AE26:AI26"/>
    <mergeCell ref="P30:W30"/>
    <mergeCell ref="P34:W34"/>
    <mergeCell ref="A42:AI42"/>
    <mergeCell ref="Q44:T44"/>
    <mergeCell ref="P47:W47"/>
    <mergeCell ref="P51:W51"/>
    <mergeCell ref="A14:H14"/>
    <mergeCell ref="A18:H18"/>
    <mergeCell ref="P18:W18"/>
    <mergeCell ref="AE21:AI21"/>
    <mergeCell ref="P22:W22"/>
    <mergeCell ref="AE22:AI22"/>
    <mergeCell ref="P26:W26"/>
    <mergeCell ref="A22:H22"/>
    <mergeCell ref="A26:H26"/>
    <mergeCell ref="A30:H30"/>
    <mergeCell ref="A34:H34"/>
    <mergeCell ref="A38:H38"/>
    <mergeCell ref="B44:E44"/>
    <mergeCell ref="A47:H47"/>
    <mergeCell ref="A59:H59"/>
    <mergeCell ref="A63:H63"/>
    <mergeCell ref="A67:H67"/>
    <mergeCell ref="A71:H71"/>
    <mergeCell ref="A75:H75"/>
    <mergeCell ref="A51:H51"/>
    <mergeCell ref="A55:H55"/>
    <mergeCell ref="P55:W55"/>
    <mergeCell ref="AE58:AI58"/>
    <mergeCell ref="P59:W59"/>
    <mergeCell ref="AE59:AI59"/>
    <mergeCell ref="P63:W63"/>
    <mergeCell ref="P88:W88"/>
    <mergeCell ref="P89:W89"/>
    <mergeCell ref="P92:W92"/>
    <mergeCell ref="P93:W93"/>
    <mergeCell ref="AE62:AI62"/>
    <mergeCell ref="AE63:AI63"/>
    <mergeCell ref="P67:W67"/>
    <mergeCell ref="P71:W71"/>
    <mergeCell ref="P80:W80"/>
    <mergeCell ref="Q82:T82"/>
    <mergeCell ref="P85:W85"/>
  </mergeCells>
  <printOptions/>
  <pageMargins bottom="1.0" footer="0.0" header="0.0" left="0.75" right="0.75" top="1.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5.75"/>
    <col customWidth="1" min="2" max="2" width="7.0"/>
    <col customWidth="1" hidden="1" min="3" max="3" width="6.13"/>
    <col customWidth="1" min="4" max="4" width="1.75"/>
    <col customWidth="1" min="5" max="5" width="7.0"/>
    <col customWidth="1" hidden="1" min="6" max="6" width="6.13"/>
    <col customWidth="1" min="7" max="7" width="1.75"/>
    <col customWidth="1" min="8" max="8" width="7.0"/>
    <col customWidth="1" hidden="1" min="9" max="9" width="6.13"/>
    <col customWidth="1" hidden="1" min="10" max="10" width="7.75"/>
    <col customWidth="1" hidden="1" min="11" max="11" width="7.38"/>
    <col customWidth="1" hidden="1" min="12" max="12" width="11.25"/>
    <col customWidth="1" hidden="1" min="13" max="13" width="8.0"/>
    <col customWidth="1" hidden="1" min="14" max="14" width="6.13"/>
    <col customWidth="1" min="15" max="15" width="8.75"/>
    <col customWidth="1" min="16" max="16" width="45.75"/>
    <col customWidth="1" min="17" max="17" width="7.0"/>
    <col customWidth="1" hidden="1" min="18" max="18" width="6.13"/>
    <col customWidth="1" min="19" max="19" width="1.75"/>
    <col customWidth="1" min="20" max="20" width="7.0"/>
    <col customWidth="1" hidden="1" min="21" max="21" width="6.13"/>
    <col customWidth="1" min="22" max="22" width="1.75"/>
    <col customWidth="1" min="23" max="23" width="7.0"/>
    <col customWidth="1" hidden="1" min="24" max="24" width="6.13"/>
    <col customWidth="1" hidden="1" min="25" max="25" width="7.75"/>
    <col customWidth="1" hidden="1" min="26" max="26" width="7.38"/>
    <col customWidth="1" hidden="1" min="27" max="27" width="11.25"/>
    <col customWidth="1" hidden="1" min="28" max="28" width="8.0"/>
    <col customWidth="1" hidden="1" min="29" max="29" width="6.13"/>
    <col customWidth="1" min="30" max="30" width="8.75"/>
    <col customWidth="1" min="31" max="31" width="45.75"/>
    <col customWidth="1" min="32" max="32" width="10.0"/>
    <col customWidth="1" min="33" max="35" width="8.75"/>
    <col customWidth="1" hidden="1" min="36" max="36" width="9.25"/>
    <col customWidth="1" hidden="1" min="37" max="37" width="12.0"/>
    <col customWidth="1" hidden="1" min="38" max="38" width="8.0"/>
    <col customWidth="1" hidden="1" min="39" max="40" width="41.13"/>
  </cols>
  <sheetData>
    <row r="1" ht="21.0" customHeight="1">
      <c r="A1" s="22" t="s">
        <v>0</v>
      </c>
      <c r="AJ1" s="6"/>
      <c r="AK1" s="6"/>
      <c r="AL1" s="6"/>
      <c r="AM1" s="6"/>
      <c r="AN1" s="6"/>
    </row>
    <row r="2" ht="21.0" customHeight="1">
      <c r="AJ2" s="6"/>
      <c r="AK2" s="6"/>
      <c r="AL2" s="6"/>
      <c r="AM2" s="6"/>
      <c r="AN2" s="6"/>
    </row>
    <row r="3" ht="15.0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</row>
    <row r="4" ht="15.0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</row>
    <row r="5">
      <c r="A5" s="117" t="s">
        <v>92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6"/>
      <c r="AJ5" s="27"/>
      <c r="AK5" s="27"/>
      <c r="AL5" s="27"/>
      <c r="AM5" s="27"/>
      <c r="AN5" s="27"/>
    </row>
    <row r="6" ht="15.0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</row>
    <row r="7" ht="30.75" customHeight="1">
      <c r="A7" s="118" t="s">
        <v>58</v>
      </c>
      <c r="B7" s="119" t="s">
        <v>59</v>
      </c>
      <c r="C7" s="30"/>
      <c r="D7" s="30"/>
      <c r="E7" s="31"/>
      <c r="F7" s="95"/>
      <c r="G7" s="64"/>
      <c r="H7" s="118" t="s">
        <v>60</v>
      </c>
      <c r="I7" s="34"/>
      <c r="J7" s="34"/>
      <c r="K7" s="34"/>
      <c r="L7" s="34"/>
      <c r="M7" s="35"/>
      <c r="N7" s="35"/>
      <c r="O7" s="34"/>
      <c r="P7" s="118" t="s">
        <v>58</v>
      </c>
      <c r="Q7" s="119" t="s">
        <v>59</v>
      </c>
      <c r="R7" s="30"/>
      <c r="S7" s="30"/>
      <c r="T7" s="31"/>
      <c r="U7" s="95"/>
      <c r="V7" s="64"/>
      <c r="W7" s="118" t="s">
        <v>60</v>
      </c>
      <c r="X7" s="34"/>
      <c r="Y7" s="35"/>
      <c r="Z7" s="35"/>
      <c r="AA7" s="35"/>
      <c r="AB7" s="35"/>
      <c r="AC7" s="35"/>
      <c r="AD7" s="34"/>
      <c r="AE7" s="118" t="s">
        <v>61</v>
      </c>
      <c r="AF7" s="118" t="s">
        <v>62</v>
      </c>
      <c r="AG7" s="118" t="s">
        <v>63</v>
      </c>
      <c r="AH7" s="118" t="s">
        <v>64</v>
      </c>
      <c r="AI7" s="118" t="s">
        <v>65</v>
      </c>
      <c r="AJ7" s="36"/>
      <c r="AK7" s="36"/>
      <c r="AL7" s="36"/>
      <c r="AM7" s="27"/>
      <c r="AN7" s="27"/>
    </row>
    <row r="8" ht="14.25" hidden="1" customHeight="1">
      <c r="A8" s="27"/>
      <c r="B8" s="37" t="s">
        <v>66</v>
      </c>
      <c r="C8" s="37" t="s">
        <v>67</v>
      </c>
      <c r="D8" s="37"/>
      <c r="E8" s="37" t="s">
        <v>66</v>
      </c>
      <c r="F8" s="37" t="s">
        <v>68</v>
      </c>
      <c r="G8" s="37"/>
      <c r="H8" s="37" t="s">
        <v>66</v>
      </c>
      <c r="I8" s="37" t="s">
        <v>69</v>
      </c>
      <c r="J8" s="37" t="s">
        <v>70</v>
      </c>
      <c r="K8" s="37" t="s">
        <v>71</v>
      </c>
      <c r="L8" s="37" t="s">
        <v>72</v>
      </c>
      <c r="M8" s="37" t="s">
        <v>73</v>
      </c>
      <c r="N8" s="37" t="s">
        <v>74</v>
      </c>
      <c r="O8" s="27"/>
      <c r="P8" s="27"/>
      <c r="Q8" s="37" t="s">
        <v>66</v>
      </c>
      <c r="R8" s="37" t="s">
        <v>67</v>
      </c>
      <c r="S8" s="37"/>
      <c r="T8" s="37" t="s">
        <v>66</v>
      </c>
      <c r="U8" s="37" t="s">
        <v>68</v>
      </c>
      <c r="V8" s="37"/>
      <c r="W8" s="37" t="s">
        <v>66</v>
      </c>
      <c r="X8" s="37" t="s">
        <v>69</v>
      </c>
      <c r="Y8" s="37" t="s">
        <v>70</v>
      </c>
      <c r="Z8" s="37" t="s">
        <v>71</v>
      </c>
      <c r="AA8" s="37" t="s">
        <v>72</v>
      </c>
      <c r="AB8" s="37" t="s">
        <v>73</v>
      </c>
      <c r="AC8" s="37" t="s">
        <v>74</v>
      </c>
      <c r="AD8" s="27"/>
      <c r="AE8" s="36"/>
      <c r="AF8" s="36"/>
      <c r="AG8" s="36"/>
      <c r="AH8" s="36"/>
      <c r="AI8" s="36"/>
      <c r="AJ8" s="37" t="s">
        <v>75</v>
      </c>
      <c r="AK8" s="37" t="s">
        <v>89</v>
      </c>
      <c r="AL8" s="39" t="s">
        <v>76</v>
      </c>
      <c r="AM8" s="40" t="s">
        <v>77</v>
      </c>
      <c r="AN8" s="40" t="s">
        <v>90</v>
      </c>
    </row>
    <row r="9" ht="14.25" customHeight="1">
      <c r="A9" s="41" t="str">
        <f>AE9</f>
        <v>Sammy Ben Tamer</v>
      </c>
      <c r="B9" s="42">
        <v>1.0</v>
      </c>
      <c r="C9" s="43">
        <f>IF(B9&gt;B11,1,0)</f>
        <v>0</v>
      </c>
      <c r="D9" s="44"/>
      <c r="E9" s="42">
        <v>2.0</v>
      </c>
      <c r="F9" s="43">
        <f>IF(E9&gt;E11,1,0)</f>
        <v>0</v>
      </c>
      <c r="G9" s="44"/>
      <c r="H9" s="45"/>
      <c r="I9" s="27">
        <f>IF(H9&gt;H11,1,0)</f>
        <v>0</v>
      </c>
      <c r="J9" s="27">
        <f>IF(B9="",0,1)</f>
        <v>1</v>
      </c>
      <c r="K9" s="27">
        <f>IF(C9+F9=2,3,IF(C9+F9=1,1,0))</f>
        <v>0</v>
      </c>
      <c r="L9" s="27">
        <f>IF(K9=3,3,IF(I9+K9=2,2,IF(K9=1,1,0)))</f>
        <v>0</v>
      </c>
      <c r="M9" s="27">
        <f>B9+E9</f>
        <v>3</v>
      </c>
      <c r="N9" s="27">
        <f>C9+F9+I9</f>
        <v>0</v>
      </c>
      <c r="O9" s="27"/>
      <c r="P9" s="41" t="str">
        <f>AE9</f>
        <v>Sammy Ben Tamer</v>
      </c>
      <c r="Q9" s="42">
        <v>4.0</v>
      </c>
      <c r="R9" s="43">
        <f>IF(Q9&gt;Q11,1,0)</f>
        <v>0</v>
      </c>
      <c r="S9" s="44"/>
      <c r="T9" s="42">
        <v>1.0</v>
      </c>
      <c r="U9" s="43">
        <f>IF(T9&gt;T11,1,0)</f>
        <v>0</v>
      </c>
      <c r="V9" s="44"/>
      <c r="W9" s="45"/>
      <c r="X9" s="27">
        <f>IF(W9&gt;W11,1,0)</f>
        <v>0</v>
      </c>
      <c r="Y9" s="27">
        <f>IF(Q9="",0,1)</f>
        <v>1</v>
      </c>
      <c r="Z9" s="27">
        <f>IF(R9+U9=2,3,IF(R9+U9=1,1,0))</f>
        <v>0</v>
      </c>
      <c r="AA9" s="27">
        <f>IF(Z9=3,3,IF(X9+Z9=2,2,IF(Z9=1,1,0)))</f>
        <v>0</v>
      </c>
      <c r="AB9" s="27">
        <f>Q9+T9</f>
        <v>5</v>
      </c>
      <c r="AC9" s="27">
        <f>R9+U9+X9</f>
        <v>0</v>
      </c>
      <c r="AD9" s="27"/>
      <c r="AE9" s="120" t="str">
        <f>'Players - Men'!B30</f>
        <v>Sammy Ben Tamer</v>
      </c>
      <c r="AF9" s="47">
        <f>J9+Y9+J13+Y13+J17</f>
        <v>5</v>
      </c>
      <c r="AG9" s="47">
        <f t="shared" ref="AG9:AI9" si="1">L9+AA9+L13+AA13+L17</f>
        <v>2</v>
      </c>
      <c r="AH9" s="47">
        <f t="shared" si="1"/>
        <v>30</v>
      </c>
      <c r="AI9" s="48">
        <f t="shared" si="1"/>
        <v>2</v>
      </c>
      <c r="AJ9" s="27">
        <f>MAX(AG9:AG19)</f>
        <v>15</v>
      </c>
      <c r="AK9" s="27">
        <f>LARGE(AG9:AG19, 2)</f>
        <v>11</v>
      </c>
      <c r="AL9" s="27">
        <f>SUM(AF9:AF19)</f>
        <v>30</v>
      </c>
      <c r="AM9" s="27" t="str">
        <f>IF(AG9=$AJ$9,AE9,IF(AG11=$AJ$9,AE11,IF(AG13=$AJ$9,AE13,IF(AG15=$AJ$9,AE15,IF(AG17=$AJ$9,AE17,"")))))</f>
        <v>Chris Vella</v>
      </c>
      <c r="AN9" s="27" t="str">
        <f>IF(AG9=$AK$9,AE9,IF(AG11=$AK$9,AE11,IF(AG13=$AK$9,AE13,IF(AG15=$AK$9,AE15,IF(AG17=$AK$9,AE17,"")))))</f>
        <v>Liam Vella</v>
      </c>
    </row>
    <row r="10" ht="14.25" customHeight="1">
      <c r="A10" s="49" t="s">
        <v>78</v>
      </c>
      <c r="H10" s="50"/>
      <c r="I10" s="51"/>
      <c r="J10" s="27"/>
      <c r="K10" s="27"/>
      <c r="L10" s="27"/>
      <c r="M10" s="27"/>
      <c r="N10" s="27"/>
      <c r="O10" s="27"/>
      <c r="P10" s="49" t="s">
        <v>78</v>
      </c>
      <c r="W10" s="50"/>
      <c r="X10" s="51"/>
      <c r="Y10" s="27"/>
      <c r="Z10" s="27"/>
      <c r="AA10" s="27"/>
      <c r="AB10" s="27"/>
      <c r="AC10" s="27"/>
      <c r="AD10" s="27"/>
      <c r="AE10" s="121"/>
      <c r="AF10" s="27"/>
      <c r="AG10" s="27"/>
      <c r="AH10" s="27"/>
      <c r="AI10" s="27"/>
      <c r="AJ10" s="27"/>
      <c r="AK10" s="36"/>
      <c r="AL10" s="36"/>
      <c r="AM10" s="27"/>
      <c r="AN10" s="27"/>
    </row>
    <row r="11" ht="14.25" customHeight="1">
      <c r="A11" s="52" t="str">
        <f>AE11</f>
        <v>Kevin Sciberras</v>
      </c>
      <c r="B11" s="42">
        <v>6.0</v>
      </c>
      <c r="C11" s="53">
        <f>IF(B11&gt;B9,1,0)</f>
        <v>1</v>
      </c>
      <c r="D11" s="54"/>
      <c r="E11" s="42">
        <v>6.0</v>
      </c>
      <c r="F11" s="53">
        <f>IF(E11&gt;E9,1,0)</f>
        <v>1</v>
      </c>
      <c r="G11" s="54"/>
      <c r="H11" s="45"/>
      <c r="I11" s="27">
        <f>IF(H11&gt;H9,1,0)</f>
        <v>0</v>
      </c>
      <c r="J11" s="27">
        <f>IF(B11="",0,1)</f>
        <v>1</v>
      </c>
      <c r="K11" s="27">
        <f>IF(C11+F11=2,3,IF(C11+F11=1,1,0))</f>
        <v>3</v>
      </c>
      <c r="L11" s="27">
        <f>IF(K11=3,3,IF(I11+K11=2,2,IF(K11=1,1,0)))</f>
        <v>3</v>
      </c>
      <c r="M11" s="27">
        <f>B11+E11</f>
        <v>12</v>
      </c>
      <c r="N11" s="27">
        <f>C11+F11+I11</f>
        <v>2</v>
      </c>
      <c r="O11" s="27"/>
      <c r="P11" s="52" t="str">
        <f>AE13</f>
        <v>Liam Vella</v>
      </c>
      <c r="Q11" s="42">
        <v>6.0</v>
      </c>
      <c r="R11" s="53">
        <f>IF(Q11&gt;Q9,1,0)</f>
        <v>1</v>
      </c>
      <c r="S11" s="54"/>
      <c r="T11" s="42">
        <v>6.0</v>
      </c>
      <c r="U11" s="53">
        <f>IF(T11&gt;T9,1,0)</f>
        <v>1</v>
      </c>
      <c r="V11" s="54"/>
      <c r="W11" s="45"/>
      <c r="X11" s="27">
        <f>IF(W11&gt;W9,1,0)</f>
        <v>0</v>
      </c>
      <c r="Y11" s="27">
        <f>IF(Q11="",0,1)</f>
        <v>1</v>
      </c>
      <c r="Z11" s="27">
        <f>IF(R11+U11=2,3,IF(R11+U11=1,1,0))</f>
        <v>3</v>
      </c>
      <c r="AA11" s="27">
        <f>IF(Z11=3,3,IF(X11+Z11=2,2,IF(Z11=1,1,0)))</f>
        <v>3</v>
      </c>
      <c r="AB11" s="27">
        <f>Q11+T11</f>
        <v>12</v>
      </c>
      <c r="AC11" s="27">
        <f>R11+U11+X11</f>
        <v>2</v>
      </c>
      <c r="AD11" s="27"/>
      <c r="AE11" s="120" t="str">
        <f>'Players - Men'!B31</f>
        <v>Kevin Sciberras</v>
      </c>
      <c r="AF11" s="47">
        <f>J11+Y25+J25+Y21+J21</f>
        <v>5</v>
      </c>
      <c r="AG11" s="47">
        <f t="shared" ref="AG11:AI11" si="2">L11+AA25+L25+AA21+L21</f>
        <v>6</v>
      </c>
      <c r="AH11" s="47">
        <f t="shared" si="2"/>
        <v>41</v>
      </c>
      <c r="AI11" s="48">
        <f t="shared" si="2"/>
        <v>4</v>
      </c>
      <c r="AJ11" s="36"/>
      <c r="AK11" s="36"/>
      <c r="AL11" s="36"/>
      <c r="AM11" s="27"/>
      <c r="AN11" s="27"/>
    </row>
    <row r="12" ht="14.25" customHeight="1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36"/>
      <c r="AG12" s="36"/>
      <c r="AH12" s="36"/>
      <c r="AI12" s="36"/>
      <c r="AJ12" s="36"/>
      <c r="AK12" s="36"/>
      <c r="AL12" s="36"/>
      <c r="AM12" s="27"/>
      <c r="AN12" s="27"/>
    </row>
    <row r="13" ht="14.25" customHeight="1">
      <c r="A13" s="41" t="str">
        <f>AE9</f>
        <v>Sammy Ben Tamer</v>
      </c>
      <c r="B13" s="42">
        <v>0.0</v>
      </c>
      <c r="C13" s="43">
        <f>IF(B13&gt;B15,1,0)</f>
        <v>0</v>
      </c>
      <c r="D13" s="44"/>
      <c r="E13" s="42">
        <v>4.0</v>
      </c>
      <c r="F13" s="43">
        <f>IF(E13&gt;E15,1,0)</f>
        <v>0</v>
      </c>
      <c r="G13" s="44"/>
      <c r="H13" s="45"/>
      <c r="I13" s="27">
        <f>IF(H13&gt;H15,1,0)</f>
        <v>0</v>
      </c>
      <c r="J13" s="27">
        <f>IF(B13="",0,1)</f>
        <v>1</v>
      </c>
      <c r="K13" s="27">
        <f>IF(C13+F13=2,3,IF(C13+F13=1,1,0))</f>
        <v>0</v>
      </c>
      <c r="L13" s="27">
        <f>IF(K13=3,3,IF(I13+K13=2,2,IF(K13=1,1,0)))</f>
        <v>0</v>
      </c>
      <c r="M13" s="27">
        <f>B13+E13</f>
        <v>4</v>
      </c>
      <c r="N13" s="27">
        <f>C13+F13+I13</f>
        <v>0</v>
      </c>
      <c r="O13" s="27"/>
      <c r="P13" s="41" t="str">
        <f>AE9</f>
        <v>Sammy Ben Tamer</v>
      </c>
      <c r="Q13" s="42">
        <v>6.0</v>
      </c>
      <c r="R13" s="43">
        <f>IF(Q13&gt;Q15,1,0)</f>
        <v>1</v>
      </c>
      <c r="S13" s="44"/>
      <c r="T13" s="42">
        <v>4.0</v>
      </c>
      <c r="U13" s="43">
        <f>IF(T13&gt;T15,1,0)</f>
        <v>0</v>
      </c>
      <c r="V13" s="44"/>
      <c r="W13" s="42">
        <v>10.0</v>
      </c>
      <c r="X13" s="27">
        <f>IF(W13&gt;W15,1,0)</f>
        <v>1</v>
      </c>
      <c r="Y13" s="27">
        <f>IF(Q13="",0,1)</f>
        <v>1</v>
      </c>
      <c r="Z13" s="27">
        <f>IF(R13+U13=2,3,IF(R13+U13=1,1,0))</f>
        <v>1</v>
      </c>
      <c r="AA13" s="27">
        <f>IF(Z13=3,3,IF(X13+Z13=2,2,IF(Z13=1,1,0)))</f>
        <v>2</v>
      </c>
      <c r="AB13" s="27">
        <f>Q13+T13</f>
        <v>10</v>
      </c>
      <c r="AC13" s="27">
        <f>R13+U13+X13</f>
        <v>2</v>
      </c>
      <c r="AD13" s="27"/>
      <c r="AE13" s="120" t="str">
        <f>'Players - Men'!B32</f>
        <v>Liam Vella</v>
      </c>
      <c r="AF13" s="47">
        <f>Y29+Y11+Y33+J33+J23</f>
        <v>5</v>
      </c>
      <c r="AG13" s="47">
        <f t="shared" ref="AG13:AI13" si="3">AA29+AA11+AA33+L33+L23</f>
        <v>11</v>
      </c>
      <c r="AH13" s="47">
        <f t="shared" si="3"/>
        <v>50</v>
      </c>
      <c r="AI13" s="48">
        <f t="shared" si="3"/>
        <v>8</v>
      </c>
      <c r="AJ13" s="36"/>
      <c r="AK13" s="36"/>
      <c r="AL13" s="36"/>
      <c r="AM13" s="27"/>
      <c r="AN13" s="27"/>
    </row>
    <row r="14" ht="14.25" customHeight="1">
      <c r="A14" s="49" t="s">
        <v>78</v>
      </c>
      <c r="H14" s="50"/>
      <c r="I14" s="51"/>
      <c r="J14" s="27"/>
      <c r="K14" s="27"/>
      <c r="L14" s="27"/>
      <c r="M14" s="27"/>
      <c r="N14" s="27"/>
      <c r="O14" s="27"/>
      <c r="P14" s="49" t="s">
        <v>78</v>
      </c>
      <c r="W14" s="50"/>
      <c r="X14" s="51"/>
      <c r="Y14" s="27"/>
      <c r="Z14" s="27"/>
      <c r="AA14" s="27"/>
      <c r="AB14" s="27"/>
      <c r="AC14" s="27"/>
      <c r="AD14" s="27"/>
      <c r="AE14" s="27"/>
      <c r="AF14" s="36"/>
      <c r="AG14" s="36"/>
      <c r="AH14" s="36"/>
      <c r="AI14" s="36"/>
      <c r="AJ14" s="36"/>
      <c r="AK14" s="36"/>
      <c r="AL14" s="36"/>
      <c r="AM14" s="27"/>
      <c r="AN14" s="27"/>
    </row>
    <row r="15" ht="14.25" customHeight="1">
      <c r="A15" s="52" t="str">
        <f>AE15</f>
        <v>Chris Vella</v>
      </c>
      <c r="B15" s="42">
        <v>6.0</v>
      </c>
      <c r="C15" s="53">
        <f>IF(B15&gt;B13,1,0)</f>
        <v>1</v>
      </c>
      <c r="D15" s="54"/>
      <c r="E15" s="42">
        <v>6.0</v>
      </c>
      <c r="F15" s="53">
        <f>IF(E15&gt;E13,1,0)</f>
        <v>1</v>
      </c>
      <c r="G15" s="54"/>
      <c r="H15" s="45"/>
      <c r="I15" s="27">
        <f>IF(H15&gt;H13,1,0)</f>
        <v>0</v>
      </c>
      <c r="J15" s="27">
        <f>IF(B15="",0,1)</f>
        <v>1</v>
      </c>
      <c r="K15" s="27">
        <f>IF(C15+F15=2,3,IF(C15+F15=1,1,0))</f>
        <v>3</v>
      </c>
      <c r="L15" s="27">
        <f>IF(K15=3,3,IF(I15+K15=2,2,IF(K15=1,1,0)))</f>
        <v>3</v>
      </c>
      <c r="M15" s="27">
        <f>B15+E15</f>
        <v>12</v>
      </c>
      <c r="N15" s="27">
        <f>C15+F15+I15</f>
        <v>2</v>
      </c>
      <c r="O15" s="27"/>
      <c r="P15" s="52" t="str">
        <f>AE17</f>
        <v>Braydon Galea</v>
      </c>
      <c r="Q15" s="42">
        <v>4.0</v>
      </c>
      <c r="R15" s="53">
        <f>IF(Q15&gt;Q13,1,0)</f>
        <v>0</v>
      </c>
      <c r="S15" s="54"/>
      <c r="T15" s="42">
        <v>6.0</v>
      </c>
      <c r="U15" s="53">
        <f>IF(T15&gt;T13,1,0)</f>
        <v>1</v>
      </c>
      <c r="V15" s="54"/>
      <c r="W15" s="42">
        <v>3.0</v>
      </c>
      <c r="X15" s="27">
        <f>IF(W15&gt;W13,1,0)</f>
        <v>0</v>
      </c>
      <c r="Y15" s="27">
        <f>IF(Q15="",0,1)</f>
        <v>1</v>
      </c>
      <c r="Z15" s="27">
        <f>IF(R15+U15=2,3,IF(R15+U15=1,1,0))</f>
        <v>1</v>
      </c>
      <c r="AA15" s="27">
        <f>IF(Z15=3,3,IF(X15+Z15=2,2,IF(Z15=1,1,0)))</f>
        <v>1</v>
      </c>
      <c r="AB15" s="27">
        <f>Q15+T15</f>
        <v>10</v>
      </c>
      <c r="AC15" s="27">
        <f>R15+U15+X15</f>
        <v>1</v>
      </c>
      <c r="AD15" s="27"/>
      <c r="AE15" s="120" t="str">
        <f>'Players - Men'!B33</f>
        <v>Chris Vella</v>
      </c>
      <c r="AF15" s="47">
        <f>Y31+J37+J15+Y23+J29</f>
        <v>5</v>
      </c>
      <c r="AG15" s="47">
        <f t="shared" ref="AG15:AI15" si="4">AA31+L37+L15+AA23+L29</f>
        <v>15</v>
      </c>
      <c r="AH15" s="47">
        <f t="shared" si="4"/>
        <v>60</v>
      </c>
      <c r="AI15" s="48">
        <f t="shared" si="4"/>
        <v>10</v>
      </c>
      <c r="AJ15" s="36"/>
      <c r="AK15" s="36"/>
      <c r="AL15" s="36"/>
      <c r="AM15" s="27"/>
      <c r="AN15" s="27"/>
    </row>
    <row r="16" ht="14.25" customHeight="1">
      <c r="A16" s="27"/>
      <c r="B16" s="36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36"/>
      <c r="AG16" s="36"/>
      <c r="AH16" s="36"/>
      <c r="AI16" s="36"/>
      <c r="AJ16" s="36"/>
      <c r="AK16" s="36"/>
      <c r="AL16" s="36"/>
      <c r="AM16" s="27"/>
      <c r="AN16" s="27"/>
    </row>
    <row r="17" ht="14.25" customHeight="1">
      <c r="A17" s="41" t="str">
        <f>AE9</f>
        <v>Sammy Ben Tamer</v>
      </c>
      <c r="B17" s="42">
        <v>4.0</v>
      </c>
      <c r="C17" s="43">
        <f>IF(B17&gt;B19,1,0)</f>
        <v>0</v>
      </c>
      <c r="D17" s="44"/>
      <c r="E17" s="42">
        <v>4.0</v>
      </c>
      <c r="F17" s="43">
        <f>IF(E17&gt;E19,1,0)</f>
        <v>0</v>
      </c>
      <c r="G17" s="44"/>
      <c r="H17" s="45"/>
      <c r="I17" s="27">
        <f>IF(H17&gt;H19,1,0)</f>
        <v>0</v>
      </c>
      <c r="J17" s="27">
        <f>IF(B17="",0,1)</f>
        <v>1</v>
      </c>
      <c r="K17" s="27">
        <f>IF(C17+F17=2,3,IF(C17+F17=1,1,0))</f>
        <v>0</v>
      </c>
      <c r="L17" s="27">
        <f>IF(K17=3,3,IF(I17+K17=2,2,IF(K17=1,1,0)))</f>
        <v>0</v>
      </c>
      <c r="M17" s="27">
        <f>B17+E17</f>
        <v>8</v>
      </c>
      <c r="N17" s="27">
        <f>C17+F17+I17</f>
        <v>0</v>
      </c>
      <c r="O17" s="27"/>
      <c r="P17" s="41" t="str">
        <f>AE17</f>
        <v>Braydon Galea</v>
      </c>
      <c r="Q17" s="42">
        <v>6.0</v>
      </c>
      <c r="R17" s="43">
        <f>IF(Q17&gt;Q19,1,0)</f>
        <v>1</v>
      </c>
      <c r="S17" s="44"/>
      <c r="T17" s="42">
        <v>6.0</v>
      </c>
      <c r="U17" s="43">
        <f>IF(T17&gt;T19,1,0)</f>
        <v>1</v>
      </c>
      <c r="V17" s="44"/>
      <c r="W17" s="45"/>
      <c r="X17" s="27">
        <f>IF(W17&gt;W19,1,0)</f>
        <v>0</v>
      </c>
      <c r="Y17" s="27">
        <f>IF(Q17="",0,1)</f>
        <v>1</v>
      </c>
      <c r="Z17" s="27">
        <f>IF(R17+U17=2,3,IF(R17+U17=1,1,0))</f>
        <v>3</v>
      </c>
      <c r="AA17" s="27">
        <f>IF(Z17=3,3,IF(X17+Z17=2,2,IF(Z17=1,1,0)))</f>
        <v>3</v>
      </c>
      <c r="AB17" s="27">
        <f>Q17+T17</f>
        <v>12</v>
      </c>
      <c r="AC17" s="27">
        <f>R17+U17+X17</f>
        <v>2</v>
      </c>
      <c r="AD17" s="27"/>
      <c r="AE17" s="120" t="str">
        <f>'Players - Men'!B34</f>
        <v>Braydon Galea</v>
      </c>
      <c r="AF17" s="47">
        <f>Y17+J39+J27+Y15+J35</f>
        <v>5</v>
      </c>
      <c r="AG17" s="47">
        <f t="shared" ref="AG17:AI17" si="5">AA17+L39+L27+AA15+L35</f>
        <v>8</v>
      </c>
      <c r="AH17" s="47">
        <f t="shared" si="5"/>
        <v>46</v>
      </c>
      <c r="AI17" s="48">
        <f t="shared" si="5"/>
        <v>6</v>
      </c>
      <c r="AJ17" s="36"/>
      <c r="AK17" s="36"/>
      <c r="AL17" s="36"/>
      <c r="AM17" s="27"/>
      <c r="AN17" s="27"/>
    </row>
    <row r="18" ht="14.25" customHeight="1">
      <c r="A18" s="49" t="s">
        <v>78</v>
      </c>
      <c r="H18" s="50"/>
      <c r="I18" s="51"/>
      <c r="J18" s="27"/>
      <c r="K18" s="27"/>
      <c r="L18" s="27"/>
      <c r="M18" s="27"/>
      <c r="N18" s="27"/>
      <c r="O18" s="27"/>
      <c r="P18" s="49" t="s">
        <v>78</v>
      </c>
      <c r="W18" s="50"/>
      <c r="X18" s="51"/>
      <c r="Y18" s="27"/>
      <c r="Z18" s="27"/>
      <c r="AA18" s="27"/>
      <c r="AB18" s="27"/>
      <c r="AC18" s="27"/>
      <c r="AD18" s="27"/>
      <c r="AE18" s="27"/>
      <c r="AF18" s="36"/>
      <c r="AG18" s="36"/>
      <c r="AH18" s="36"/>
      <c r="AI18" s="36"/>
      <c r="AJ18" s="36"/>
      <c r="AK18" s="36"/>
      <c r="AL18" s="36"/>
      <c r="AM18" s="27"/>
      <c r="AN18" s="27"/>
    </row>
    <row r="19" ht="14.25" customHeight="1">
      <c r="A19" s="52" t="str">
        <f>AE19</f>
        <v>Michael Bugeja</v>
      </c>
      <c r="B19" s="42">
        <v>6.0</v>
      </c>
      <c r="C19" s="53">
        <f>IF(B19&gt;B17,1,0)</f>
        <v>1</v>
      </c>
      <c r="D19" s="54"/>
      <c r="E19" s="42">
        <v>6.0</v>
      </c>
      <c r="F19" s="53">
        <f>IF(E19&gt;E17,1,0)</f>
        <v>1</v>
      </c>
      <c r="G19" s="54"/>
      <c r="H19" s="45"/>
      <c r="I19" s="27">
        <f>IF(H19&gt;H17,1,0)</f>
        <v>0</v>
      </c>
      <c r="J19" s="27">
        <f>IF(B19="",0,1)</f>
        <v>1</v>
      </c>
      <c r="K19" s="27">
        <f>IF(C19+F19=2,3,IF(C19+F19=1,1,0))</f>
        <v>3</v>
      </c>
      <c r="L19" s="27">
        <f>IF(K19=3,3,IF(I19+K19=2,2,IF(K19=1,1,0)))</f>
        <v>3</v>
      </c>
      <c r="M19" s="27">
        <f>B19+E19</f>
        <v>12</v>
      </c>
      <c r="N19" s="27">
        <f>C19+F19+I19</f>
        <v>2</v>
      </c>
      <c r="O19" s="27"/>
      <c r="P19" s="52" t="str">
        <f>AE19</f>
        <v>Michael Bugeja</v>
      </c>
      <c r="Q19" s="42">
        <v>2.0</v>
      </c>
      <c r="R19" s="53">
        <f>IF(Q19&gt;Q17,1,0)</f>
        <v>0</v>
      </c>
      <c r="S19" s="54"/>
      <c r="T19" s="42">
        <v>2.0</v>
      </c>
      <c r="U19" s="53">
        <f>IF(T19&gt;T17,1,0)</f>
        <v>0</v>
      </c>
      <c r="V19" s="54"/>
      <c r="W19" s="45"/>
      <c r="X19" s="27">
        <f>IF(W19&gt;W17,1,0)</f>
        <v>0</v>
      </c>
      <c r="Y19" s="27">
        <f>IF(Q19="",0,1)</f>
        <v>1</v>
      </c>
      <c r="Z19" s="27">
        <f>IF(R19+U19=2,3,IF(R19+U19=1,1,0))</f>
        <v>0</v>
      </c>
      <c r="AA19" s="27">
        <f>IF(Z19=3,3,IF(X19+Z19=2,2,IF(Z19=1,1,0)))</f>
        <v>0</v>
      </c>
      <c r="AB19" s="27">
        <f>Q19+T19</f>
        <v>4</v>
      </c>
      <c r="AC19" s="27">
        <f>R19+U19+X19</f>
        <v>0</v>
      </c>
      <c r="AD19" s="27"/>
      <c r="AE19" s="120" t="str">
        <f>'Players - Men'!B35</f>
        <v>Michael Bugeja</v>
      </c>
      <c r="AF19" s="47">
        <f>Y19+Y27+Y35+J19+J31</f>
        <v>5</v>
      </c>
      <c r="AG19" s="47">
        <f t="shared" ref="AG19:AI19" si="6">AA19+AA27+AA35+L19+L31</f>
        <v>3</v>
      </c>
      <c r="AH19" s="47">
        <f t="shared" si="6"/>
        <v>32</v>
      </c>
      <c r="AI19" s="48">
        <f t="shared" si="6"/>
        <v>2</v>
      </c>
      <c r="AJ19" s="27"/>
      <c r="AK19" s="36"/>
      <c r="AL19" s="36"/>
      <c r="AM19" s="27"/>
      <c r="AN19" s="27"/>
    </row>
    <row r="20" ht="14.2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36"/>
      <c r="AL20" s="27"/>
      <c r="AM20" s="27"/>
      <c r="AN20" s="27"/>
    </row>
    <row r="21" ht="14.25" customHeight="1">
      <c r="A21" s="41" t="str">
        <f>AE11</f>
        <v>Kevin Sciberras</v>
      </c>
      <c r="B21" s="42">
        <v>2.0</v>
      </c>
      <c r="C21" s="43">
        <f>IF(B21&gt;B23,1,0)</f>
        <v>0</v>
      </c>
      <c r="D21" s="44"/>
      <c r="E21" s="42">
        <v>4.0</v>
      </c>
      <c r="F21" s="43">
        <f>IF(E21&gt;E23,1,0)</f>
        <v>0</v>
      </c>
      <c r="G21" s="44"/>
      <c r="H21" s="45"/>
      <c r="I21" s="27">
        <f>IF(H21&gt;H23,1,0)</f>
        <v>0</v>
      </c>
      <c r="J21" s="27">
        <f>IF(B21="",0,1)</f>
        <v>1</v>
      </c>
      <c r="K21" s="27">
        <f>IF(C21+F21=2,3,IF(C21+F21=1,1,0))</f>
        <v>0</v>
      </c>
      <c r="L21" s="27">
        <f>IF(K21=3,3,IF(I21+K21=2,2,IF(K21=1,1,0)))</f>
        <v>0</v>
      </c>
      <c r="M21" s="27">
        <f>B21+E21</f>
        <v>6</v>
      </c>
      <c r="N21" s="27">
        <f>C21+F21+I21</f>
        <v>0</v>
      </c>
      <c r="O21" s="27"/>
      <c r="P21" s="41" t="str">
        <f>AE11</f>
        <v>Kevin Sciberras</v>
      </c>
      <c r="Q21" s="42">
        <v>1.0</v>
      </c>
      <c r="R21" s="43">
        <f>IF(Q21&gt;Q23,1,0)</f>
        <v>0</v>
      </c>
      <c r="S21" s="44"/>
      <c r="T21" s="42">
        <v>3.0</v>
      </c>
      <c r="U21" s="43">
        <f>IF(T21&gt;T23,1,0)</f>
        <v>0</v>
      </c>
      <c r="V21" s="44"/>
      <c r="W21" s="45"/>
      <c r="X21" s="27">
        <f>IF(W21&gt;W23,1,0)</f>
        <v>0</v>
      </c>
      <c r="Y21" s="27">
        <f>IF(Q21="",0,1)</f>
        <v>1</v>
      </c>
      <c r="Z21" s="27">
        <f>IF(R21+U21=2,3,IF(R21+U21=1,1,0))</f>
        <v>0</v>
      </c>
      <c r="AA21" s="27">
        <f>IF(Z21=3,3,IF(X21+Z21=2,2,IF(Z21=1,1,0)))</f>
        <v>0</v>
      </c>
      <c r="AB21" s="27">
        <f>Q21+T21</f>
        <v>4</v>
      </c>
      <c r="AC21" s="27">
        <f>R21+U21+X21</f>
        <v>0</v>
      </c>
      <c r="AD21" s="27"/>
      <c r="AE21" s="122" t="s">
        <v>83</v>
      </c>
      <c r="AF21" s="30"/>
      <c r="AG21" s="30"/>
      <c r="AH21" s="30"/>
      <c r="AI21" s="31"/>
      <c r="AJ21" s="27"/>
      <c r="AK21" s="27"/>
      <c r="AL21" s="27"/>
      <c r="AM21" s="27"/>
      <c r="AN21" s="27"/>
    </row>
    <row r="22" ht="14.25" customHeight="1">
      <c r="A22" s="49" t="s">
        <v>78</v>
      </c>
      <c r="H22" s="50"/>
      <c r="I22" s="51"/>
      <c r="J22" s="27"/>
      <c r="K22" s="27"/>
      <c r="L22" s="27"/>
      <c r="M22" s="27"/>
      <c r="N22" s="27"/>
      <c r="O22" s="27"/>
      <c r="P22" s="49" t="s">
        <v>78</v>
      </c>
      <c r="W22" s="50"/>
      <c r="X22" s="51"/>
      <c r="Y22" s="27"/>
      <c r="Z22" s="27"/>
      <c r="AA22" s="27"/>
      <c r="AB22" s="27"/>
      <c r="AC22" s="27"/>
      <c r="AD22" s="27"/>
      <c r="AE22" s="57" t="s">
        <v>51</v>
      </c>
      <c r="AF22" s="30"/>
      <c r="AG22" s="30"/>
      <c r="AH22" s="30"/>
      <c r="AI22" s="31"/>
      <c r="AJ22" s="27"/>
      <c r="AK22" s="36"/>
      <c r="AL22" s="27"/>
      <c r="AM22" s="27"/>
      <c r="AN22" s="27"/>
    </row>
    <row r="23" ht="14.25" customHeight="1">
      <c r="A23" s="52" t="str">
        <f>AE13</f>
        <v>Liam Vella</v>
      </c>
      <c r="B23" s="42">
        <v>6.0</v>
      </c>
      <c r="C23" s="53">
        <f>IF(B23&gt;B21,1,0)</f>
        <v>1</v>
      </c>
      <c r="D23" s="54"/>
      <c r="E23" s="42">
        <v>6.0</v>
      </c>
      <c r="F23" s="53">
        <f>IF(E23&gt;E21,1,0)</f>
        <v>1</v>
      </c>
      <c r="G23" s="54"/>
      <c r="H23" s="45"/>
      <c r="I23" s="27">
        <f>IF(H23&gt;H21,1,0)</f>
        <v>0</v>
      </c>
      <c r="J23" s="27">
        <f>IF(B23="",0,1)</f>
        <v>1</v>
      </c>
      <c r="K23" s="27">
        <f>IF(C23+F23=2,3,IF(C23+F23=1,1,0))</f>
        <v>3</v>
      </c>
      <c r="L23" s="27">
        <f>IF(K23=3,3,IF(I23+K23=2,2,IF(K23=1,1,0)))</f>
        <v>3</v>
      </c>
      <c r="M23" s="27">
        <f>B23+E23</f>
        <v>12</v>
      </c>
      <c r="N23" s="27">
        <f>C23+F23+I23</f>
        <v>2</v>
      </c>
      <c r="O23" s="27"/>
      <c r="P23" s="52" t="str">
        <f>AE15</f>
        <v>Chris Vella</v>
      </c>
      <c r="Q23" s="42">
        <v>6.0</v>
      </c>
      <c r="R23" s="53">
        <f>IF(Q23&gt;Q21,1,0)</f>
        <v>1</v>
      </c>
      <c r="S23" s="54"/>
      <c r="T23" s="42">
        <v>6.0</v>
      </c>
      <c r="U23" s="53">
        <f>IF(T23&gt;T21,1,0)</f>
        <v>1</v>
      </c>
      <c r="V23" s="54"/>
      <c r="W23" s="45"/>
      <c r="X23" s="27">
        <f>IF(W23&gt;W21,1,0)</f>
        <v>0</v>
      </c>
      <c r="Y23" s="27">
        <f>IF(Q23="",0,1)</f>
        <v>1</v>
      </c>
      <c r="Z23" s="27">
        <f>IF(R23+U23=2,3,IF(R23+U23=1,1,0))</f>
        <v>3</v>
      </c>
      <c r="AA23" s="27">
        <f>IF(Z23=3,3,IF(X23+Z23=2,2,IF(Z23=1,1,0)))</f>
        <v>3</v>
      </c>
      <c r="AB23" s="27">
        <f>Q23+T23</f>
        <v>12</v>
      </c>
      <c r="AC23" s="27">
        <f>R23+U23+X23</f>
        <v>2</v>
      </c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</row>
    <row r="24" ht="14.2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</row>
    <row r="25" ht="14.25" customHeight="1">
      <c r="A25" s="41" t="str">
        <f>AE11</f>
        <v>Kevin Sciberras</v>
      </c>
      <c r="B25" s="42">
        <v>3.0</v>
      </c>
      <c r="C25" s="43">
        <f>IF(B25&gt;B27,1,0)</f>
        <v>0</v>
      </c>
      <c r="D25" s="44"/>
      <c r="E25" s="42">
        <v>4.0</v>
      </c>
      <c r="F25" s="43">
        <f>IF(E25&gt;E27,1,0)</f>
        <v>0</v>
      </c>
      <c r="G25" s="44"/>
      <c r="H25" s="45"/>
      <c r="I25" s="27">
        <f>IF(H25&gt;H27,1,0)</f>
        <v>0</v>
      </c>
      <c r="J25" s="27">
        <f>IF(B25="",0,1)</f>
        <v>1</v>
      </c>
      <c r="K25" s="27">
        <f>IF(C25+F25=2,3,IF(C25+F25=1,1,0))</f>
        <v>0</v>
      </c>
      <c r="L25" s="27">
        <f>IF(K25=3,3,IF(I25+K25=2,2,IF(K25=1,1,0)))</f>
        <v>0</v>
      </c>
      <c r="M25" s="27">
        <f>B25+E25</f>
        <v>7</v>
      </c>
      <c r="N25" s="27">
        <f>C25+F25+I25</f>
        <v>0</v>
      </c>
      <c r="O25" s="27"/>
      <c r="P25" s="41" t="str">
        <f>AE11</f>
        <v>Kevin Sciberras</v>
      </c>
      <c r="Q25" s="42">
        <v>6.0</v>
      </c>
      <c r="R25" s="43">
        <f>IF(Q25&gt;Q27,1,0)</f>
        <v>1</v>
      </c>
      <c r="S25" s="44"/>
      <c r="T25" s="42">
        <v>6.0</v>
      </c>
      <c r="U25" s="43">
        <f>IF(T25&gt;T27,1,0)</f>
        <v>1</v>
      </c>
      <c r="V25" s="44"/>
      <c r="W25" s="45"/>
      <c r="X25" s="27">
        <f>IF(W25&gt;W27,1,0)</f>
        <v>0</v>
      </c>
      <c r="Y25" s="27">
        <f>IF(Q25="",0,1)</f>
        <v>1</v>
      </c>
      <c r="Z25" s="27">
        <f>IF(R25+U25=2,3,IF(R25+U25=1,1,0))</f>
        <v>3</v>
      </c>
      <c r="AA25" s="27">
        <f>IF(Z25=3,3,IF(X25+Z25=2,2,IF(Z25=1,1,0)))</f>
        <v>3</v>
      </c>
      <c r="AB25" s="27">
        <f>Q25+T25</f>
        <v>12</v>
      </c>
      <c r="AC25" s="27">
        <f>R25+U25+X25</f>
        <v>2</v>
      </c>
      <c r="AD25" s="27"/>
      <c r="AE25" s="122" t="s">
        <v>84</v>
      </c>
      <c r="AF25" s="30"/>
      <c r="AG25" s="30"/>
      <c r="AH25" s="30"/>
      <c r="AI25" s="31"/>
      <c r="AJ25" s="27"/>
      <c r="AK25" s="27"/>
      <c r="AL25" s="27"/>
      <c r="AM25" s="27"/>
      <c r="AN25" s="27"/>
    </row>
    <row r="26" ht="14.25" customHeight="1">
      <c r="A26" s="49" t="s">
        <v>78</v>
      </c>
      <c r="H26" s="50"/>
      <c r="I26" s="51"/>
      <c r="J26" s="27"/>
      <c r="K26" s="27"/>
      <c r="L26" s="27"/>
      <c r="M26" s="27"/>
      <c r="N26" s="27"/>
      <c r="O26" s="27"/>
      <c r="P26" s="49" t="s">
        <v>78</v>
      </c>
      <c r="W26" s="50"/>
      <c r="X26" s="51"/>
      <c r="Y26" s="27"/>
      <c r="Z26" s="27"/>
      <c r="AA26" s="27"/>
      <c r="AB26" s="27"/>
      <c r="AC26" s="27"/>
      <c r="AD26" s="27"/>
      <c r="AE26" s="116"/>
      <c r="AF26" s="30"/>
      <c r="AG26" s="30"/>
      <c r="AH26" s="30"/>
      <c r="AI26" s="31"/>
      <c r="AJ26" s="27"/>
      <c r="AK26" s="27"/>
      <c r="AL26" s="27"/>
      <c r="AM26" s="27"/>
      <c r="AN26" s="27"/>
    </row>
    <row r="27" ht="14.25" customHeight="1">
      <c r="A27" s="52" t="str">
        <f>AE17</f>
        <v>Braydon Galea</v>
      </c>
      <c r="B27" s="42">
        <v>6.0</v>
      </c>
      <c r="C27" s="53">
        <f>IF(B27&gt;B25,1,0)</f>
        <v>1</v>
      </c>
      <c r="D27" s="54"/>
      <c r="E27" s="42">
        <v>6.0</v>
      </c>
      <c r="F27" s="53">
        <f>IF(E27&gt;E25,1,0)</f>
        <v>1</v>
      </c>
      <c r="G27" s="54"/>
      <c r="H27" s="45"/>
      <c r="I27" s="27">
        <f>IF(H27&gt;H25,1,0)</f>
        <v>0</v>
      </c>
      <c r="J27" s="27">
        <f>IF(B27="",0,1)</f>
        <v>1</v>
      </c>
      <c r="K27" s="27">
        <f>IF(C27+F27=2,3,IF(C27+F27=1,1,0))</f>
        <v>3</v>
      </c>
      <c r="L27" s="27">
        <f>IF(K27=3,3,IF(I27+K27=2,2,IF(K27=1,1,0)))</f>
        <v>3</v>
      </c>
      <c r="M27" s="27">
        <f>B27+E27</f>
        <v>12</v>
      </c>
      <c r="N27" s="27">
        <f>C27+F27+I27</f>
        <v>2</v>
      </c>
      <c r="O27" s="27"/>
      <c r="P27" s="52" t="str">
        <f>AE19</f>
        <v>Michael Bugeja</v>
      </c>
      <c r="Q27" s="42">
        <v>1.0</v>
      </c>
      <c r="R27" s="53">
        <f>IF(Q27&gt;Q25,1,0)</f>
        <v>0</v>
      </c>
      <c r="S27" s="54"/>
      <c r="T27" s="42">
        <v>4.0</v>
      </c>
      <c r="U27" s="53">
        <f>IF(T27&gt;T25,1,0)</f>
        <v>0</v>
      </c>
      <c r="V27" s="54"/>
      <c r="W27" s="45"/>
      <c r="X27" s="27">
        <f>IF(W27&gt;W25,1,0)</f>
        <v>0</v>
      </c>
      <c r="Y27" s="27">
        <f>IF(Q27="",0,1)</f>
        <v>1</v>
      </c>
      <c r="Z27" s="27">
        <f>IF(R27+U27=2,3,IF(R27+U27=1,1,0))</f>
        <v>0</v>
      </c>
      <c r="AA27" s="27">
        <f>IF(Z27=3,3,IF(X27+Z27=2,2,IF(Z27=1,1,0)))</f>
        <v>0</v>
      </c>
      <c r="AB27" s="27">
        <f>Q27+T27</f>
        <v>5</v>
      </c>
      <c r="AC27" s="27">
        <f>R27+U27+X27</f>
        <v>0</v>
      </c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</row>
    <row r="28" ht="14.2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36"/>
      <c r="AI28" s="27"/>
      <c r="AJ28" s="27"/>
      <c r="AK28" s="27"/>
      <c r="AL28" s="27"/>
      <c r="AM28" s="27"/>
      <c r="AN28" s="27"/>
    </row>
    <row r="29" ht="14.25" customHeight="1">
      <c r="A29" s="41" t="str">
        <f>AE15</f>
        <v>Chris Vella</v>
      </c>
      <c r="B29" s="42">
        <v>6.0</v>
      </c>
      <c r="C29" s="43">
        <f>IF(B29&gt;B31,1,0)</f>
        <v>1</v>
      </c>
      <c r="D29" s="44"/>
      <c r="E29" s="42">
        <v>6.0</v>
      </c>
      <c r="F29" s="43">
        <f>IF(E29&gt;E31,1,0)</f>
        <v>1</v>
      </c>
      <c r="G29" s="44"/>
      <c r="H29" s="45"/>
      <c r="I29" s="27">
        <f>IF(H29&gt;H31,1,0)</f>
        <v>0</v>
      </c>
      <c r="J29" s="27">
        <f>IF(B29="",0,1)</f>
        <v>1</v>
      </c>
      <c r="K29" s="27">
        <f>IF(C29+F29=2,3,IF(C29+F29=1,1,0))</f>
        <v>3</v>
      </c>
      <c r="L29" s="27">
        <f>IF(K29=3,3,IF(I29+K29=2,2,IF(K29=1,1,0)))</f>
        <v>3</v>
      </c>
      <c r="M29" s="27">
        <f>B29+E29</f>
        <v>12</v>
      </c>
      <c r="N29" s="27">
        <f>C29+F29+I29</f>
        <v>2</v>
      </c>
      <c r="O29" s="27"/>
      <c r="P29" s="41" t="str">
        <f>AE13</f>
        <v>Liam Vella</v>
      </c>
      <c r="Q29" s="42">
        <v>3.0</v>
      </c>
      <c r="R29" s="43">
        <f>IF(Q29&gt;Q31,1,0)</f>
        <v>0</v>
      </c>
      <c r="S29" s="44"/>
      <c r="T29" s="42">
        <v>2.0</v>
      </c>
      <c r="U29" s="43">
        <f>IF(T29&gt;T31,1,0)</f>
        <v>0</v>
      </c>
      <c r="V29" s="44"/>
      <c r="W29" s="45"/>
      <c r="X29" s="27">
        <f>IF(W29&gt;W31,1,0)</f>
        <v>0</v>
      </c>
      <c r="Y29" s="27">
        <f>IF(Q29="",0,1)</f>
        <v>1</v>
      </c>
      <c r="Z29" s="27">
        <f>IF(R29+U29=2,3,IF(R29+U29=1,1,0))</f>
        <v>0</v>
      </c>
      <c r="AA29" s="27">
        <f>IF(Z29=3,3,IF(X29+Z29=2,2,IF(Z29=1,1,0)))</f>
        <v>0</v>
      </c>
      <c r="AB29" s="27">
        <f>Q29+T29</f>
        <v>5</v>
      </c>
      <c r="AC29" s="27">
        <f>R29+U29+X29</f>
        <v>0</v>
      </c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</row>
    <row r="30" ht="14.25" customHeight="1">
      <c r="A30" s="49" t="s">
        <v>78</v>
      </c>
      <c r="H30" s="50"/>
      <c r="I30" s="51"/>
      <c r="J30" s="27"/>
      <c r="K30" s="27"/>
      <c r="L30" s="27"/>
      <c r="M30" s="27"/>
      <c r="N30" s="27"/>
      <c r="O30" s="27"/>
      <c r="P30" s="49" t="s">
        <v>78</v>
      </c>
      <c r="W30" s="50"/>
      <c r="X30" s="51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58"/>
      <c r="AM30" s="27"/>
      <c r="AN30" s="27"/>
    </row>
    <row r="31" ht="14.25" customHeight="1">
      <c r="A31" s="52" t="str">
        <f>AE19</f>
        <v>Michael Bugeja</v>
      </c>
      <c r="B31" s="42">
        <v>2.0</v>
      </c>
      <c r="C31" s="53">
        <f>IF(B31&gt;B29,1,0)</f>
        <v>0</v>
      </c>
      <c r="D31" s="54"/>
      <c r="E31" s="42">
        <v>3.0</v>
      </c>
      <c r="F31" s="53">
        <f>IF(E31&gt;E29,1,0)</f>
        <v>0</v>
      </c>
      <c r="G31" s="54"/>
      <c r="H31" s="45"/>
      <c r="I31" s="27">
        <f>IF(H31&gt;H29,1,0)</f>
        <v>0</v>
      </c>
      <c r="J31" s="27">
        <f>IF(B31="",0,1)</f>
        <v>1</v>
      </c>
      <c r="K31" s="27">
        <f>IF(C31+F31=2,3,IF(C31+F31=1,1,0))</f>
        <v>0</v>
      </c>
      <c r="L31" s="27">
        <f>IF(K31=3,3,IF(I31+K31=2,2,IF(K31=1,1,0)))</f>
        <v>0</v>
      </c>
      <c r="M31" s="27">
        <f>B31+E31</f>
        <v>5</v>
      </c>
      <c r="N31" s="27">
        <f>C31+F31+I31</f>
        <v>0</v>
      </c>
      <c r="O31" s="27"/>
      <c r="P31" s="52" t="str">
        <f>AE15</f>
        <v>Chris Vella</v>
      </c>
      <c r="Q31" s="42">
        <v>6.0</v>
      </c>
      <c r="R31" s="53">
        <f>IF(Q31&gt;Q29,1,0)</f>
        <v>1</v>
      </c>
      <c r="S31" s="54"/>
      <c r="T31" s="42">
        <v>6.0</v>
      </c>
      <c r="U31" s="53">
        <f>IF(T31&gt;T29,1,0)</f>
        <v>1</v>
      </c>
      <c r="V31" s="54"/>
      <c r="W31" s="45"/>
      <c r="X31" s="27">
        <f>IF(W31&gt;W29,1,0)</f>
        <v>0</v>
      </c>
      <c r="Y31" s="27">
        <f>IF(Q31="",0,1)</f>
        <v>1</v>
      </c>
      <c r="Z31" s="27">
        <f>IF(R31+U31=2,3,IF(R31+U31=1,1,0))</f>
        <v>3</v>
      </c>
      <c r="AA31" s="27">
        <f>IF(Z31=3,3,IF(X31+Z31=2,2,IF(Z31=1,1,0)))</f>
        <v>3</v>
      </c>
      <c r="AB31" s="27">
        <f>Q31+T31</f>
        <v>12</v>
      </c>
      <c r="AC31" s="27">
        <f>R31+U31+X31</f>
        <v>2</v>
      </c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36"/>
    </row>
    <row r="32" ht="14.25" customHeight="1">
      <c r="A32" s="27"/>
      <c r="B32" s="27"/>
      <c r="C32" s="27"/>
      <c r="D32" s="27"/>
      <c r="E32" s="36"/>
      <c r="F32" s="27"/>
      <c r="G32" s="27"/>
      <c r="H32" s="36"/>
      <c r="I32" s="27"/>
      <c r="J32" s="36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36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58"/>
      <c r="AM32" s="27"/>
      <c r="AN32" s="27"/>
    </row>
    <row r="33" ht="14.25" customHeight="1">
      <c r="A33" s="41" t="str">
        <f>AE13</f>
        <v>Liam Vella</v>
      </c>
      <c r="B33" s="42">
        <v>6.0</v>
      </c>
      <c r="C33" s="43">
        <f>IF(B33&gt;B35,1,0)</f>
        <v>1</v>
      </c>
      <c r="D33" s="44"/>
      <c r="E33" s="42">
        <v>3.0</v>
      </c>
      <c r="F33" s="43">
        <f>IF(E33&gt;E35,1,0)</f>
        <v>0</v>
      </c>
      <c r="G33" s="44"/>
      <c r="H33" s="42">
        <v>10.0</v>
      </c>
      <c r="I33" s="27">
        <f>IF(H33&gt;H35,1,0)</f>
        <v>1</v>
      </c>
      <c r="J33" s="27">
        <f>IF(B33="",0,1)</f>
        <v>1</v>
      </c>
      <c r="K33" s="27">
        <f>IF(C33+F33=2,3,IF(C33+F33=1,1,0))</f>
        <v>1</v>
      </c>
      <c r="L33" s="27">
        <f>IF(K33=3,3,IF(I33+K33=2,2,IF(K33=1,1,0)))</f>
        <v>2</v>
      </c>
      <c r="M33" s="27">
        <f>B33+E33</f>
        <v>9</v>
      </c>
      <c r="N33" s="27">
        <f>C33+F33+I33</f>
        <v>2</v>
      </c>
      <c r="O33" s="27"/>
      <c r="P33" s="41" t="str">
        <f>AE13</f>
        <v>Liam Vella</v>
      </c>
      <c r="Q33" s="42">
        <v>6.0</v>
      </c>
      <c r="R33" s="43">
        <f>IF(Q33&gt;Q35,1,0)</f>
        <v>1</v>
      </c>
      <c r="S33" s="44"/>
      <c r="T33" s="42">
        <v>6.0</v>
      </c>
      <c r="U33" s="43">
        <f>IF(T33&gt;T35,1,0)</f>
        <v>1</v>
      </c>
      <c r="V33" s="44"/>
      <c r="W33" s="45"/>
      <c r="X33" s="27">
        <f>IF(W33&gt;W35,1,0)</f>
        <v>0</v>
      </c>
      <c r="Y33" s="27">
        <f>IF(Q33="",0,1)</f>
        <v>1</v>
      </c>
      <c r="Z33" s="27">
        <f>IF(R33+U33=2,3,IF(R33+U33=1,1,0))</f>
        <v>3</v>
      </c>
      <c r="AA33" s="27">
        <f>IF(Z33=3,3,IF(X33+Z33=2,2,IF(Z33=1,1,0)))</f>
        <v>3</v>
      </c>
      <c r="AB33" s="27">
        <f>Q33+T33</f>
        <v>12</v>
      </c>
      <c r="AC33" s="27">
        <f>R33+U33+X33</f>
        <v>2</v>
      </c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</row>
    <row r="34" ht="14.25" customHeight="1">
      <c r="A34" s="49" t="s">
        <v>78</v>
      </c>
      <c r="H34" s="50"/>
      <c r="I34" s="51"/>
      <c r="J34" s="27"/>
      <c r="K34" s="27"/>
      <c r="L34" s="27"/>
      <c r="M34" s="27"/>
      <c r="N34" s="27"/>
      <c r="O34" s="27"/>
      <c r="P34" s="49" t="s">
        <v>78</v>
      </c>
      <c r="W34" s="50"/>
      <c r="X34" s="51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</row>
    <row r="35" ht="14.25" customHeight="1">
      <c r="A35" s="52" t="str">
        <f>AE17</f>
        <v>Braydon Galea</v>
      </c>
      <c r="B35" s="42">
        <v>2.0</v>
      </c>
      <c r="C35" s="53">
        <f>IF(B35&gt;B33,1,0)</f>
        <v>0</v>
      </c>
      <c r="D35" s="54"/>
      <c r="E35" s="42">
        <v>6.0</v>
      </c>
      <c r="F35" s="53">
        <f>IF(E35&gt;E33,1,0)</f>
        <v>1</v>
      </c>
      <c r="G35" s="54"/>
      <c r="H35" s="42">
        <v>4.0</v>
      </c>
      <c r="I35" s="27">
        <f>IF(H35&gt;H33,1,0)</f>
        <v>0</v>
      </c>
      <c r="J35" s="27">
        <f>IF(B35="",0,1)</f>
        <v>1</v>
      </c>
      <c r="K35" s="27">
        <f>IF(C35+F35=2,3,IF(C35+F35=1,1,0))</f>
        <v>1</v>
      </c>
      <c r="L35" s="27">
        <f>IF(K35=3,3,IF(I35+K35=2,2,IF(K35=1,1,0)))</f>
        <v>1</v>
      </c>
      <c r="M35" s="27">
        <f>B35+E35</f>
        <v>8</v>
      </c>
      <c r="N35" s="27">
        <f>C35+F35+I35</f>
        <v>1</v>
      </c>
      <c r="O35" s="27"/>
      <c r="P35" s="52" t="str">
        <f>AE19</f>
        <v>Michael Bugeja</v>
      </c>
      <c r="Q35" s="42">
        <v>4.0</v>
      </c>
      <c r="R35" s="53">
        <f>IF(Q35&gt;Q33,1,0)</f>
        <v>0</v>
      </c>
      <c r="S35" s="54"/>
      <c r="T35" s="42">
        <v>2.0</v>
      </c>
      <c r="U35" s="53">
        <f>IF(T35&gt;T33,1,0)</f>
        <v>0</v>
      </c>
      <c r="V35" s="54"/>
      <c r="W35" s="45"/>
      <c r="X35" s="27">
        <f>IF(W35&gt;W33,1,0)</f>
        <v>0</v>
      </c>
      <c r="Y35" s="27">
        <f>IF(Q35="",0,1)</f>
        <v>1</v>
      </c>
      <c r="Z35" s="27">
        <f>IF(R35+U35=2,3,IF(R35+U35=1,1,0))</f>
        <v>0</v>
      </c>
      <c r="AA35" s="27">
        <f>IF(Z35=3,3,IF(X35+Z35=2,2,IF(Z35=1,1,0)))</f>
        <v>0</v>
      </c>
      <c r="AB35" s="27">
        <f>Q35+T35</f>
        <v>6</v>
      </c>
      <c r="AC35" s="27">
        <f>R35+U35+X35</f>
        <v>0</v>
      </c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</row>
    <row r="36" ht="14.2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36"/>
      <c r="AI36" s="27"/>
      <c r="AJ36" s="27"/>
      <c r="AK36" s="36"/>
      <c r="AL36" s="27"/>
      <c r="AM36" s="27"/>
      <c r="AN36" s="27"/>
    </row>
    <row r="37" ht="14.25" customHeight="1">
      <c r="A37" s="41" t="str">
        <f>AE15</f>
        <v>Chris Vella</v>
      </c>
      <c r="B37" s="42">
        <v>6.0</v>
      </c>
      <c r="C37" s="43">
        <f>IF(B37&gt;B39,1,0)</f>
        <v>1</v>
      </c>
      <c r="D37" s="44"/>
      <c r="E37" s="42">
        <v>6.0</v>
      </c>
      <c r="F37" s="43">
        <f>IF(E37&gt;E39,1,0)</f>
        <v>1</v>
      </c>
      <c r="G37" s="44"/>
      <c r="H37" s="45"/>
      <c r="I37" s="27">
        <f>IF(H37&gt;H39,1,0)</f>
        <v>0</v>
      </c>
      <c r="J37" s="27">
        <f>IF(B37="",0,1)</f>
        <v>1</v>
      </c>
      <c r="K37" s="27">
        <f>IF(C37+F37=2,3,IF(C37+F37=1,1,0))</f>
        <v>3</v>
      </c>
      <c r="L37" s="27">
        <f>IF(K37=3,3,IF(I37+K37=2,2,IF(K37=1,1,0)))</f>
        <v>3</v>
      </c>
      <c r="M37" s="27">
        <f>B37+E37</f>
        <v>12</v>
      </c>
      <c r="N37" s="27">
        <f>C37+F37+I37</f>
        <v>2</v>
      </c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36"/>
      <c r="AL37" s="27"/>
      <c r="AM37" s="27"/>
      <c r="AN37" s="27"/>
    </row>
    <row r="38" ht="14.25" customHeight="1">
      <c r="A38" s="49" t="s">
        <v>78</v>
      </c>
      <c r="H38" s="50"/>
      <c r="I38" s="51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59"/>
      <c r="AK38" s="27"/>
      <c r="AL38" s="27"/>
      <c r="AM38" s="27"/>
      <c r="AN38" s="27"/>
    </row>
    <row r="39" ht="14.25" customHeight="1">
      <c r="A39" s="52" t="str">
        <f>AE17</f>
        <v>Braydon Galea</v>
      </c>
      <c r="B39" s="42">
        <v>2.0</v>
      </c>
      <c r="C39" s="53">
        <f>IF(B39&gt;B37,1,0)</f>
        <v>0</v>
      </c>
      <c r="D39" s="54"/>
      <c r="E39" s="42">
        <v>2.0</v>
      </c>
      <c r="F39" s="53">
        <f>IF(E39&gt;E37,1,0)</f>
        <v>0</v>
      </c>
      <c r="G39" s="54"/>
      <c r="H39" s="45"/>
      <c r="I39" s="27">
        <f>IF(H39&gt;H37,1,0)</f>
        <v>0</v>
      </c>
      <c r="J39" s="27">
        <f>IF(B39="",0,1)</f>
        <v>1</v>
      </c>
      <c r="K39" s="27">
        <f>IF(C39+F39=2,3,IF(C39+F39=1,1,0))</f>
        <v>0</v>
      </c>
      <c r="L39" s="27">
        <f>IF(K39=3,3,IF(I39+K39=2,2,IF(K39=1,1,0)))</f>
        <v>0</v>
      </c>
      <c r="M39" s="27">
        <f>B39+E39</f>
        <v>4</v>
      </c>
      <c r="N39" s="27">
        <f>C39+F39+I39</f>
        <v>0</v>
      </c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</row>
    <row r="40" ht="14.2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</row>
    <row r="41" ht="14.2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</row>
    <row r="42" ht="14.2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59"/>
      <c r="AK42" s="27"/>
      <c r="AL42" s="27"/>
      <c r="AM42" s="27"/>
      <c r="AN42" s="27"/>
    </row>
    <row r="43" ht="14.2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</row>
    <row r="44" ht="14.2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</row>
    <row r="45">
      <c r="A45" s="123" t="s">
        <v>93</v>
      </c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6"/>
      <c r="AJ45" s="27"/>
      <c r="AK45" s="27"/>
      <c r="AL45" s="27"/>
      <c r="AM45" s="27"/>
      <c r="AN45" s="27"/>
    </row>
    <row r="46" ht="14.2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</row>
    <row r="47">
      <c r="A47" s="124" t="s">
        <v>58</v>
      </c>
      <c r="B47" s="125" t="s">
        <v>59</v>
      </c>
      <c r="C47" s="30"/>
      <c r="D47" s="30"/>
      <c r="E47" s="31"/>
      <c r="F47" s="126"/>
      <c r="G47" s="127"/>
      <c r="H47" s="124" t="s">
        <v>60</v>
      </c>
      <c r="I47" s="27"/>
      <c r="J47" s="27"/>
      <c r="K47" s="27"/>
      <c r="L47" s="27"/>
      <c r="M47" s="36"/>
      <c r="N47" s="36"/>
      <c r="O47" s="27"/>
      <c r="P47" s="124" t="s">
        <v>58</v>
      </c>
      <c r="Q47" s="125" t="s">
        <v>59</v>
      </c>
      <c r="R47" s="30"/>
      <c r="S47" s="30"/>
      <c r="T47" s="31"/>
      <c r="U47" s="126"/>
      <c r="V47" s="127"/>
      <c r="W47" s="124" t="s">
        <v>60</v>
      </c>
      <c r="X47" s="27"/>
      <c r="Y47" s="36"/>
      <c r="Z47" s="36"/>
      <c r="AA47" s="36"/>
      <c r="AB47" s="36"/>
      <c r="AC47" s="36"/>
      <c r="AD47" s="27"/>
      <c r="AE47" s="124" t="s">
        <v>61</v>
      </c>
      <c r="AF47" s="124" t="s">
        <v>62</v>
      </c>
      <c r="AG47" s="124" t="s">
        <v>63</v>
      </c>
      <c r="AH47" s="124" t="s">
        <v>64</v>
      </c>
      <c r="AI47" s="124" t="s">
        <v>65</v>
      </c>
      <c r="AJ47" s="59"/>
      <c r="AK47" s="27"/>
      <c r="AL47" s="36"/>
      <c r="AM47" s="27"/>
      <c r="AN47" s="27"/>
    </row>
    <row r="48" ht="41.25" hidden="1" customHeight="1">
      <c r="A48" s="27"/>
      <c r="B48" s="37" t="s">
        <v>66</v>
      </c>
      <c r="C48" s="37" t="s">
        <v>67</v>
      </c>
      <c r="D48" s="37"/>
      <c r="E48" s="37" t="s">
        <v>66</v>
      </c>
      <c r="F48" s="37" t="s">
        <v>68</v>
      </c>
      <c r="G48" s="37"/>
      <c r="H48" s="37" t="s">
        <v>66</v>
      </c>
      <c r="I48" s="37" t="s">
        <v>69</v>
      </c>
      <c r="J48" s="37" t="s">
        <v>70</v>
      </c>
      <c r="K48" s="37" t="s">
        <v>71</v>
      </c>
      <c r="L48" s="37" t="s">
        <v>72</v>
      </c>
      <c r="M48" s="37" t="s">
        <v>73</v>
      </c>
      <c r="N48" s="37" t="s">
        <v>74</v>
      </c>
      <c r="O48" s="27"/>
      <c r="P48" s="27"/>
      <c r="Q48" s="37" t="s">
        <v>66</v>
      </c>
      <c r="R48" s="37" t="s">
        <v>67</v>
      </c>
      <c r="S48" s="37"/>
      <c r="T48" s="37" t="s">
        <v>66</v>
      </c>
      <c r="U48" s="37" t="s">
        <v>68</v>
      </c>
      <c r="V48" s="37"/>
      <c r="W48" s="37" t="s">
        <v>66</v>
      </c>
      <c r="X48" s="37" t="s">
        <v>69</v>
      </c>
      <c r="Y48" s="37" t="s">
        <v>70</v>
      </c>
      <c r="Z48" s="37" t="s">
        <v>71</v>
      </c>
      <c r="AA48" s="37" t="s">
        <v>72</v>
      </c>
      <c r="AB48" s="37" t="s">
        <v>73</v>
      </c>
      <c r="AC48" s="37" t="s">
        <v>74</v>
      </c>
      <c r="AD48" s="27"/>
      <c r="AE48" s="36"/>
      <c r="AF48" s="36"/>
      <c r="AG48" s="36"/>
      <c r="AH48" s="36"/>
      <c r="AI48" s="36"/>
      <c r="AJ48" s="27"/>
      <c r="AK48" s="27"/>
      <c r="AL48" s="27"/>
      <c r="AM48" s="27"/>
      <c r="AN48" s="27"/>
    </row>
    <row r="49" ht="14.25" customHeight="1">
      <c r="A49" s="41" t="str">
        <f>AE49</f>
        <v>Matthew Caruana</v>
      </c>
      <c r="B49" s="42">
        <v>6.0</v>
      </c>
      <c r="C49" s="43">
        <f>IF(B49&gt;B51,1,0)</f>
        <v>1</v>
      </c>
      <c r="D49" s="44"/>
      <c r="E49" s="42">
        <v>6.0</v>
      </c>
      <c r="F49" s="43">
        <f>IF(E49&gt;E51,1,0)</f>
        <v>1</v>
      </c>
      <c r="G49" s="44"/>
      <c r="H49" s="45"/>
      <c r="I49" s="27">
        <f>IF(H49&gt;H51,1,0)</f>
        <v>0</v>
      </c>
      <c r="J49" s="27">
        <f>IF(B49="",0,1)</f>
        <v>1</v>
      </c>
      <c r="K49" s="27">
        <f>IF(C49+F49=2,3,IF(C49+F49=1,1,0))</f>
        <v>3</v>
      </c>
      <c r="L49" s="27">
        <f>IF(K49=3,3,IF(I49+K49=2,2,IF(K49=1,1,0)))</f>
        <v>3</v>
      </c>
      <c r="M49" s="27">
        <f>B49+E49</f>
        <v>12</v>
      </c>
      <c r="N49" s="27">
        <f>C49+F49+I49</f>
        <v>2</v>
      </c>
      <c r="O49" s="27"/>
      <c r="P49" s="41" t="str">
        <f>AE49</f>
        <v>Matthew Caruana</v>
      </c>
      <c r="Q49" s="42">
        <v>6.0</v>
      </c>
      <c r="R49" s="43">
        <f>IF(Q49&gt;Q51,1,0)</f>
        <v>1</v>
      </c>
      <c r="S49" s="44"/>
      <c r="T49" s="42">
        <v>6.0</v>
      </c>
      <c r="U49" s="43">
        <f>IF(T49&gt;T51,1,0)</f>
        <v>1</v>
      </c>
      <c r="V49" s="44"/>
      <c r="W49" s="45"/>
      <c r="X49" s="27">
        <f>IF(W49&gt;W51,1,0)</f>
        <v>0</v>
      </c>
      <c r="Y49" s="27">
        <f>IF(Q49="",0,1)</f>
        <v>1</v>
      </c>
      <c r="Z49" s="27">
        <f>IF(R49+U49=2,3,IF(R49+U49=1,1,0))</f>
        <v>3</v>
      </c>
      <c r="AA49" s="27">
        <f>IF(Z49=3,3,IF(X49+Z49=2,2,IF(Z49=1,1,0)))</f>
        <v>3</v>
      </c>
      <c r="AB49" s="27">
        <f>Q49+T49</f>
        <v>12</v>
      </c>
      <c r="AC49" s="27">
        <f>R49+U49+X49</f>
        <v>2</v>
      </c>
      <c r="AD49" s="27"/>
      <c r="AE49" s="128" t="str">
        <f>'Players - Men'!E30</f>
        <v>Matthew Caruana</v>
      </c>
      <c r="AF49" s="47">
        <f>J49+Y49+J53+Y53+J57</f>
        <v>5</v>
      </c>
      <c r="AG49" s="47">
        <f t="shared" ref="AG49:AI49" si="7">L49+AA49+L53+AA53+L57</f>
        <v>15</v>
      </c>
      <c r="AH49" s="47">
        <f t="shared" si="7"/>
        <v>60</v>
      </c>
      <c r="AI49" s="48">
        <f t="shared" si="7"/>
        <v>10</v>
      </c>
      <c r="AJ49" s="27"/>
      <c r="AK49" s="27"/>
      <c r="AL49" s="27"/>
      <c r="AM49" s="27"/>
      <c r="AN49" s="27"/>
    </row>
    <row r="50" ht="14.25" customHeight="1">
      <c r="A50" s="49" t="s">
        <v>78</v>
      </c>
      <c r="H50" s="50"/>
      <c r="I50" s="51"/>
      <c r="J50" s="27"/>
      <c r="K50" s="27"/>
      <c r="L50" s="27"/>
      <c r="M50" s="27"/>
      <c r="N50" s="27"/>
      <c r="O50" s="27"/>
      <c r="P50" s="49" t="s">
        <v>78</v>
      </c>
      <c r="W50" s="50"/>
      <c r="X50" s="51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</row>
    <row r="51" ht="14.25" customHeight="1">
      <c r="A51" s="52" t="str">
        <f>AE51</f>
        <v>Jurgen Cachia</v>
      </c>
      <c r="B51" s="42">
        <v>2.0</v>
      </c>
      <c r="C51" s="53">
        <f>IF(B51&gt;B49,1,0)</f>
        <v>0</v>
      </c>
      <c r="D51" s="54"/>
      <c r="E51" s="42">
        <v>3.0</v>
      </c>
      <c r="F51" s="53">
        <f>IF(E51&gt;E49,1,0)</f>
        <v>0</v>
      </c>
      <c r="G51" s="54"/>
      <c r="H51" s="45"/>
      <c r="I51" s="27">
        <f>IF(H51&gt;H49,1,0)</f>
        <v>0</v>
      </c>
      <c r="J51" s="27">
        <f>IF(B51="",0,1)</f>
        <v>1</v>
      </c>
      <c r="K51" s="27">
        <f>IF(C51+F51=2,3,IF(C51+F51=1,1,0))</f>
        <v>0</v>
      </c>
      <c r="L51" s="27">
        <f>IF(K51=3,3,IF(I51+K51=2,2,IF(K51=1,1,0)))</f>
        <v>0</v>
      </c>
      <c r="M51" s="27">
        <f>B51+E51</f>
        <v>5</v>
      </c>
      <c r="N51" s="27">
        <f>C51+F51+I51</f>
        <v>0</v>
      </c>
      <c r="O51" s="27"/>
      <c r="P51" s="52" t="str">
        <f>AE53</f>
        <v>Redent Scicluna</v>
      </c>
      <c r="Q51" s="42">
        <v>0.0</v>
      </c>
      <c r="R51" s="53">
        <f>IF(Q51&gt;Q49,1,0)</f>
        <v>0</v>
      </c>
      <c r="S51" s="54"/>
      <c r="T51" s="42">
        <v>0.0</v>
      </c>
      <c r="U51" s="53">
        <f>IF(T51&gt;T49,1,0)</f>
        <v>0</v>
      </c>
      <c r="V51" s="54"/>
      <c r="W51" s="45"/>
      <c r="X51" s="27">
        <f>IF(W51&gt;W49,1,0)</f>
        <v>0</v>
      </c>
      <c r="Y51" s="27">
        <f>IF(Q51="",0,1)</f>
        <v>1</v>
      </c>
      <c r="Z51" s="27">
        <f>IF(R51+U51=2,3,IF(R51+U51=1,1,0))</f>
        <v>0</v>
      </c>
      <c r="AA51" s="27">
        <f>IF(Z51=3,3,IF(X51+Z51=2,2,IF(Z51=1,1,0)))</f>
        <v>0</v>
      </c>
      <c r="AB51" s="27">
        <f>Q51+T51</f>
        <v>0</v>
      </c>
      <c r="AC51" s="27">
        <f>R51+U51+X51</f>
        <v>0</v>
      </c>
      <c r="AD51" s="27"/>
      <c r="AE51" s="128" t="str">
        <f>'Players - Men'!E31</f>
        <v>Jurgen Cachia</v>
      </c>
      <c r="AF51" s="47">
        <f>J51+Y65+J65+Y61+J61</f>
        <v>5</v>
      </c>
      <c r="AG51" s="47">
        <f t="shared" ref="AG51:AI51" si="8">L51+AA65+L65+AA61+L61</f>
        <v>11</v>
      </c>
      <c r="AH51" s="47">
        <f t="shared" si="8"/>
        <v>50</v>
      </c>
      <c r="AI51" s="48">
        <f t="shared" si="8"/>
        <v>8</v>
      </c>
      <c r="AJ51" s="27"/>
      <c r="AK51" s="27"/>
      <c r="AL51" s="27"/>
      <c r="AM51" s="27"/>
      <c r="AN51" s="27"/>
    </row>
    <row r="52" ht="14.2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36"/>
      <c r="AG52" s="36"/>
      <c r="AH52" s="36"/>
      <c r="AI52" s="36"/>
      <c r="AJ52" s="59"/>
      <c r="AK52" s="27"/>
      <c r="AL52" s="27"/>
      <c r="AM52" s="27"/>
      <c r="AN52" s="36"/>
    </row>
    <row r="53" ht="14.25" customHeight="1">
      <c r="A53" s="41" t="str">
        <f>AE49</f>
        <v>Matthew Caruana</v>
      </c>
      <c r="B53" s="42">
        <v>6.0</v>
      </c>
      <c r="C53" s="43">
        <f>IF(B53&gt;B55,1,0)</f>
        <v>1</v>
      </c>
      <c r="D53" s="44"/>
      <c r="E53" s="42">
        <v>6.0</v>
      </c>
      <c r="F53" s="43">
        <f>IF(E53&gt;E55,1,0)</f>
        <v>1</v>
      </c>
      <c r="G53" s="44"/>
      <c r="H53" s="45"/>
      <c r="I53" s="27">
        <f>IF(H53&gt;H55,1,0)</f>
        <v>0</v>
      </c>
      <c r="J53" s="27">
        <f>IF(B53="",0,1)</f>
        <v>1</v>
      </c>
      <c r="K53" s="27">
        <f>IF(C53+F53=2,3,IF(C53+F53=1,1,0))</f>
        <v>3</v>
      </c>
      <c r="L53" s="27">
        <f>IF(K53=3,3,IF(I53+K53=2,2,IF(K53=1,1,0)))</f>
        <v>3</v>
      </c>
      <c r="M53" s="27">
        <f>B53+E53</f>
        <v>12</v>
      </c>
      <c r="N53" s="27">
        <f>C53+F53+I53</f>
        <v>2</v>
      </c>
      <c r="O53" s="27"/>
      <c r="P53" s="41" t="str">
        <f>AE49</f>
        <v>Matthew Caruana</v>
      </c>
      <c r="Q53" s="42">
        <v>6.0</v>
      </c>
      <c r="R53" s="43">
        <f>IF(Q53&gt;Q55,1,0)</f>
        <v>1</v>
      </c>
      <c r="S53" s="44"/>
      <c r="T53" s="42">
        <v>6.0</v>
      </c>
      <c r="U53" s="43">
        <f>IF(T53&gt;T55,1,0)</f>
        <v>1</v>
      </c>
      <c r="V53" s="44"/>
      <c r="W53" s="45"/>
      <c r="X53" s="27">
        <f>IF(W53&gt;W55,1,0)</f>
        <v>0</v>
      </c>
      <c r="Y53" s="27">
        <f>IF(Q53="",0,1)</f>
        <v>1</v>
      </c>
      <c r="Z53" s="27">
        <f>IF(R53+U53=2,3,IF(R53+U53=1,1,0))</f>
        <v>3</v>
      </c>
      <c r="AA53" s="27">
        <f>IF(Z53=3,3,IF(X53+Z53=2,2,IF(Z53=1,1,0)))</f>
        <v>3</v>
      </c>
      <c r="AB53" s="27">
        <f>Q53+T53</f>
        <v>12</v>
      </c>
      <c r="AC53" s="27">
        <f>R53+U53+X53</f>
        <v>2</v>
      </c>
      <c r="AD53" s="27"/>
      <c r="AE53" s="128" t="str">
        <f>'Players - Men'!E32</f>
        <v>Redent Scicluna</v>
      </c>
      <c r="AF53" s="47">
        <f>Y69+Y51+Y73+J73+J63</f>
        <v>5</v>
      </c>
      <c r="AG53" s="47">
        <f t="shared" ref="AG53:AI53" si="9">AA69+AA51+AA73+L73+L63</f>
        <v>8</v>
      </c>
      <c r="AH53" s="47">
        <f t="shared" si="9"/>
        <v>39</v>
      </c>
      <c r="AI53" s="48">
        <f t="shared" si="9"/>
        <v>6</v>
      </c>
      <c r="AJ53" s="27"/>
      <c r="AK53" s="27"/>
      <c r="AL53" s="27"/>
      <c r="AM53" s="27"/>
      <c r="AN53" s="27"/>
    </row>
    <row r="54" ht="14.25" customHeight="1">
      <c r="A54" s="49" t="s">
        <v>78</v>
      </c>
      <c r="H54" s="50"/>
      <c r="I54" s="51"/>
      <c r="J54" s="27"/>
      <c r="K54" s="27"/>
      <c r="L54" s="27"/>
      <c r="M54" s="27"/>
      <c r="N54" s="27"/>
      <c r="O54" s="27"/>
      <c r="P54" s="49" t="s">
        <v>78</v>
      </c>
      <c r="W54" s="50"/>
      <c r="X54" s="51"/>
      <c r="Y54" s="27"/>
      <c r="Z54" s="27"/>
      <c r="AA54" s="27"/>
      <c r="AB54" s="27"/>
      <c r="AC54" s="27"/>
      <c r="AD54" s="27"/>
      <c r="AE54" s="27"/>
      <c r="AF54" s="36"/>
      <c r="AG54" s="36"/>
      <c r="AH54" s="36"/>
      <c r="AI54" s="36"/>
      <c r="AJ54" s="27"/>
      <c r="AK54" s="27"/>
      <c r="AL54" s="27"/>
      <c r="AM54" s="27"/>
      <c r="AN54" s="27"/>
    </row>
    <row r="55" ht="14.25" customHeight="1">
      <c r="A55" s="52" t="str">
        <f>AE55</f>
        <v>Glenn Micallef</v>
      </c>
      <c r="B55" s="42">
        <v>1.0</v>
      </c>
      <c r="C55" s="53">
        <f>IF(B55&gt;B53,1,0)</f>
        <v>0</v>
      </c>
      <c r="D55" s="54"/>
      <c r="E55" s="42">
        <v>1.0</v>
      </c>
      <c r="F55" s="53">
        <f>IF(E55&gt;E53,1,0)</f>
        <v>0</v>
      </c>
      <c r="G55" s="54"/>
      <c r="H55" s="45"/>
      <c r="I55" s="27">
        <f>IF(H55&gt;H53,1,0)</f>
        <v>0</v>
      </c>
      <c r="J55" s="27">
        <f>IF(B55="",0,1)</f>
        <v>1</v>
      </c>
      <c r="K55" s="27">
        <f>IF(C55+F55=2,3,IF(C55+F55=1,1,0))</f>
        <v>0</v>
      </c>
      <c r="L55" s="27">
        <f>IF(K55=3,3,IF(I55+K55=2,2,IF(K55=1,1,0)))</f>
        <v>0</v>
      </c>
      <c r="M55" s="27">
        <f>B55+E55</f>
        <v>2</v>
      </c>
      <c r="N55" s="27">
        <f>C55+F55+I55</f>
        <v>0</v>
      </c>
      <c r="O55" s="27"/>
      <c r="P55" s="52" t="str">
        <f>AE57</f>
        <v>JP Sciberras</v>
      </c>
      <c r="Q55" s="42">
        <v>0.0</v>
      </c>
      <c r="R55" s="53">
        <f>IF(Q55&gt;Q53,1,0)</f>
        <v>0</v>
      </c>
      <c r="S55" s="54"/>
      <c r="T55" s="42">
        <v>4.0</v>
      </c>
      <c r="U55" s="53">
        <f>IF(T55&gt;T53,1,0)</f>
        <v>0</v>
      </c>
      <c r="V55" s="54"/>
      <c r="W55" s="45"/>
      <c r="X55" s="27">
        <f>IF(W55&gt;W53,1,0)</f>
        <v>0</v>
      </c>
      <c r="Y55" s="27">
        <f>IF(Q55="",0,1)</f>
        <v>1</v>
      </c>
      <c r="Z55" s="27">
        <f>IF(R55+U55=2,3,IF(R55+U55=1,1,0))</f>
        <v>0</v>
      </c>
      <c r="AA55" s="27">
        <f>IF(Z55=3,3,IF(X55+Z55=2,2,IF(Z55=1,1,0)))</f>
        <v>0</v>
      </c>
      <c r="AB55" s="27">
        <f>Q55+T55</f>
        <v>4</v>
      </c>
      <c r="AC55" s="27">
        <f>R55+U55+X55</f>
        <v>0</v>
      </c>
      <c r="AD55" s="27"/>
      <c r="AE55" s="128" t="str">
        <f>'Players - Men'!E33</f>
        <v>Glenn Micallef</v>
      </c>
      <c r="AF55" s="47">
        <f>Y71+J77+J55+Y63+J69</f>
        <v>5</v>
      </c>
      <c r="AG55" s="47">
        <f t="shared" ref="AG55:AI55" si="10">AA71+L77+L55+AA63+L69</f>
        <v>5</v>
      </c>
      <c r="AH55" s="47">
        <f t="shared" si="10"/>
        <v>34</v>
      </c>
      <c r="AI55" s="48">
        <f t="shared" si="10"/>
        <v>5</v>
      </c>
      <c r="AJ55" s="27"/>
      <c r="AK55" s="27"/>
      <c r="AL55" s="27"/>
      <c r="AM55" s="27"/>
      <c r="AN55" s="27"/>
    </row>
    <row r="56" ht="14.25" customHeight="1">
      <c r="A56" s="27"/>
      <c r="B56" s="36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36"/>
      <c r="AG56" s="36"/>
      <c r="AH56" s="36"/>
      <c r="AI56" s="36"/>
      <c r="AJ56" s="27"/>
      <c r="AK56" s="36"/>
      <c r="AL56" s="27"/>
      <c r="AM56" s="27"/>
      <c r="AN56" s="27"/>
    </row>
    <row r="57" ht="14.25" customHeight="1">
      <c r="A57" s="41" t="str">
        <f>AE49</f>
        <v>Matthew Caruana</v>
      </c>
      <c r="B57" s="42">
        <v>6.0</v>
      </c>
      <c r="C57" s="43">
        <f>IF(B57&gt;B59,1,0)</f>
        <v>1</v>
      </c>
      <c r="D57" s="44"/>
      <c r="E57" s="42">
        <v>6.0</v>
      </c>
      <c r="F57" s="43">
        <f>IF(E57&gt;E59,1,0)</f>
        <v>1</v>
      </c>
      <c r="G57" s="44"/>
      <c r="H57" s="45"/>
      <c r="I57" s="27">
        <f>IF(H57&gt;H59,1,0)</f>
        <v>0</v>
      </c>
      <c r="J57" s="27">
        <f>IF(B57="",0,1)</f>
        <v>1</v>
      </c>
      <c r="K57" s="27">
        <f>IF(C57+F57=2,3,IF(C57+F57=1,1,0))</f>
        <v>3</v>
      </c>
      <c r="L57" s="27">
        <f>IF(K57=3,3,IF(I57+K57=2,2,IF(K57=1,1,0)))</f>
        <v>3</v>
      </c>
      <c r="M57" s="27">
        <f>B57+E57</f>
        <v>12</v>
      </c>
      <c r="N57" s="27">
        <f>C57+F57+I57</f>
        <v>2</v>
      </c>
      <c r="O57" s="27"/>
      <c r="P57" s="41" t="str">
        <f>AE57</f>
        <v>JP Sciberras</v>
      </c>
      <c r="Q57" s="42">
        <v>4.0</v>
      </c>
      <c r="R57" s="43">
        <f>IF(Q57&gt;Q59,1,0)</f>
        <v>0</v>
      </c>
      <c r="S57" s="44"/>
      <c r="T57" s="42">
        <v>6.0</v>
      </c>
      <c r="U57" s="43">
        <f>IF(T57&gt;T59,1,0)</f>
        <v>1</v>
      </c>
      <c r="V57" s="44"/>
      <c r="W57" s="42">
        <v>10.0</v>
      </c>
      <c r="X57" s="27">
        <f>IF(W57&gt;W59,1,0)</f>
        <v>1</v>
      </c>
      <c r="Y57" s="27">
        <f>IF(Q57="",0,1)</f>
        <v>1</v>
      </c>
      <c r="Z57" s="27">
        <f>IF(R57+U57=2,3,IF(R57+U57=1,1,0))</f>
        <v>1</v>
      </c>
      <c r="AA57" s="27">
        <f>IF(Z57=3,3,IF(X57+Z57=2,2,IF(Z57=1,1,0)))</f>
        <v>2</v>
      </c>
      <c r="AB57" s="27">
        <f>Q57+T57</f>
        <v>10</v>
      </c>
      <c r="AC57" s="27">
        <f>R57+U57+X57</f>
        <v>2</v>
      </c>
      <c r="AD57" s="27"/>
      <c r="AE57" s="128" t="str">
        <f>'Players - Men'!E34</f>
        <v>JP Sciberras</v>
      </c>
      <c r="AF57" s="47">
        <f>Y57+J79+J67+Y55+J75</f>
        <v>5</v>
      </c>
      <c r="AG57" s="47">
        <f t="shared" ref="AG57:AI57" si="11">AA57+L79+L67+AA55+L75</f>
        <v>4</v>
      </c>
      <c r="AH57" s="47">
        <f t="shared" si="11"/>
        <v>32</v>
      </c>
      <c r="AI57" s="48">
        <f t="shared" si="11"/>
        <v>4</v>
      </c>
      <c r="AJ57" s="27"/>
      <c r="AK57" s="27"/>
      <c r="AL57" s="27"/>
      <c r="AM57" s="27"/>
      <c r="AN57" s="27"/>
    </row>
    <row r="58" ht="14.25" customHeight="1">
      <c r="A58" s="49" t="s">
        <v>78</v>
      </c>
      <c r="H58" s="50"/>
      <c r="I58" s="51"/>
      <c r="J58" s="27"/>
      <c r="K58" s="27"/>
      <c r="L58" s="27"/>
      <c r="M58" s="27"/>
      <c r="N58" s="27"/>
      <c r="O58" s="27"/>
      <c r="P58" s="49" t="s">
        <v>78</v>
      </c>
      <c r="W58" s="50"/>
      <c r="X58" s="51"/>
      <c r="Y58" s="27"/>
      <c r="Z58" s="27"/>
      <c r="AA58" s="27"/>
      <c r="AB58" s="27"/>
      <c r="AC58" s="27"/>
      <c r="AD58" s="27"/>
      <c r="AE58" s="27"/>
      <c r="AF58" s="36"/>
      <c r="AG58" s="36"/>
      <c r="AH58" s="36"/>
      <c r="AI58" s="36"/>
      <c r="AJ58" s="27"/>
      <c r="AK58" s="27"/>
      <c r="AL58" s="27"/>
      <c r="AM58" s="27"/>
      <c r="AN58" s="27"/>
    </row>
    <row r="59" ht="14.25" customHeight="1">
      <c r="A59" s="52" t="str">
        <f>AE59</f>
        <v>Matthew Napier</v>
      </c>
      <c r="B59" s="42">
        <v>0.0</v>
      </c>
      <c r="C59" s="53">
        <f>IF(B59&gt;B57,1,0)</f>
        <v>0</v>
      </c>
      <c r="D59" s="54"/>
      <c r="E59" s="42">
        <v>3.0</v>
      </c>
      <c r="F59" s="53">
        <f>IF(E59&gt;E57,1,0)</f>
        <v>0</v>
      </c>
      <c r="G59" s="54"/>
      <c r="H59" s="45"/>
      <c r="I59" s="27">
        <f>IF(H59&gt;H57,1,0)</f>
        <v>0</v>
      </c>
      <c r="J59" s="27">
        <f>IF(B59="",0,1)</f>
        <v>1</v>
      </c>
      <c r="K59" s="27">
        <f>IF(C59+F59=2,3,IF(C59+F59=1,1,0))</f>
        <v>0</v>
      </c>
      <c r="L59" s="27">
        <f>IF(K59=3,3,IF(I59+K59=2,2,IF(K59=1,1,0)))</f>
        <v>0</v>
      </c>
      <c r="M59" s="27">
        <f>B59+E59</f>
        <v>3</v>
      </c>
      <c r="N59" s="27">
        <f>C59+F59+I59</f>
        <v>0</v>
      </c>
      <c r="O59" s="27"/>
      <c r="P59" s="52" t="str">
        <f>AE59</f>
        <v>Matthew Napier</v>
      </c>
      <c r="Q59" s="42">
        <v>6.0</v>
      </c>
      <c r="R59" s="53">
        <f>IF(Q59&gt;Q57,1,0)</f>
        <v>1</v>
      </c>
      <c r="S59" s="54"/>
      <c r="T59" s="42">
        <v>3.0</v>
      </c>
      <c r="U59" s="53">
        <f>IF(T59&gt;T57,1,0)</f>
        <v>0</v>
      </c>
      <c r="V59" s="54"/>
      <c r="W59" s="42">
        <v>3.0</v>
      </c>
      <c r="X59" s="27">
        <f>IF(W59&gt;W57,1,0)</f>
        <v>0</v>
      </c>
      <c r="Y59" s="27">
        <f>IF(Q59="",0,1)</f>
        <v>1</v>
      </c>
      <c r="Z59" s="27">
        <f>IF(R59+U59=2,3,IF(R59+U59=1,1,0))</f>
        <v>1</v>
      </c>
      <c r="AA59" s="27">
        <f>IF(Z59=3,3,IF(X59+Z59=2,2,IF(Z59=1,1,0)))</f>
        <v>1</v>
      </c>
      <c r="AB59" s="27">
        <f>Q59+T59</f>
        <v>9</v>
      </c>
      <c r="AC59" s="27">
        <f>R59+U59+X59</f>
        <v>1</v>
      </c>
      <c r="AD59" s="27"/>
      <c r="AE59" s="128" t="str">
        <f>'Players - Men'!E35</f>
        <v>Matthew Napier</v>
      </c>
      <c r="AF59" s="47">
        <f>Y59+Y67+Y75+J59+J71</f>
        <v>5</v>
      </c>
      <c r="AG59" s="47">
        <f t="shared" ref="AG59:AI59" si="12">AA59+AA67+AA75+L59+L71</f>
        <v>2</v>
      </c>
      <c r="AH59" s="47">
        <f t="shared" si="12"/>
        <v>23</v>
      </c>
      <c r="AI59" s="48">
        <f t="shared" si="12"/>
        <v>2</v>
      </c>
      <c r="AJ59" s="27"/>
      <c r="AK59" s="27"/>
      <c r="AL59" s="27"/>
      <c r="AM59" s="27"/>
      <c r="AN59" s="27"/>
    </row>
    <row r="60" ht="14.2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</row>
    <row r="61" ht="14.25" customHeight="1">
      <c r="A61" s="41" t="str">
        <f>AE51</f>
        <v>Jurgen Cachia</v>
      </c>
      <c r="B61" s="42">
        <v>6.0</v>
      </c>
      <c r="C61" s="43">
        <f>IF(B61&gt;B63,1,0)</f>
        <v>1</v>
      </c>
      <c r="D61" s="44"/>
      <c r="E61" s="42">
        <v>6.0</v>
      </c>
      <c r="F61" s="43">
        <f>IF(E61&gt;E63,1,0)</f>
        <v>1</v>
      </c>
      <c r="G61" s="44"/>
      <c r="H61" s="45"/>
      <c r="I61" s="27">
        <f>IF(H61&gt;H63,1,0)</f>
        <v>0</v>
      </c>
      <c r="J61" s="27">
        <f>IF(B61="",0,1)</f>
        <v>1</v>
      </c>
      <c r="K61" s="27">
        <f>IF(C61+F61=2,3,IF(C61+F61=1,1,0))</f>
        <v>3</v>
      </c>
      <c r="L61" s="27">
        <f>IF(K61=3,3,IF(I61+K61=2,2,IF(K61=1,1,0)))</f>
        <v>3</v>
      </c>
      <c r="M61" s="27">
        <f>B61+E61</f>
        <v>12</v>
      </c>
      <c r="N61" s="27">
        <f>C61+F61+I61</f>
        <v>2</v>
      </c>
      <c r="O61" s="27"/>
      <c r="P61" s="41" t="str">
        <f>AE51</f>
        <v>Jurgen Cachia</v>
      </c>
      <c r="Q61" s="42">
        <v>3.0</v>
      </c>
      <c r="R61" s="43">
        <f>IF(Q61&gt;Q63,1,0)</f>
        <v>0</v>
      </c>
      <c r="S61" s="44"/>
      <c r="T61" s="42">
        <v>6.0</v>
      </c>
      <c r="U61" s="43">
        <f>IF(T61&gt;T63,1,0)</f>
        <v>1</v>
      </c>
      <c r="V61" s="44"/>
      <c r="W61" s="42">
        <v>10.0</v>
      </c>
      <c r="X61" s="27">
        <f>IF(W61&gt;W63,1,0)</f>
        <v>1</v>
      </c>
      <c r="Y61" s="27">
        <f>IF(Q61="",0,1)</f>
        <v>1</v>
      </c>
      <c r="Z61" s="27">
        <f>IF(R61+U61=2,3,IF(R61+U61=1,1,0))</f>
        <v>1</v>
      </c>
      <c r="AA61" s="27">
        <f>IF(Z61=3,3,IF(X61+Z61=2,2,IF(Z61=1,1,0)))</f>
        <v>2</v>
      </c>
      <c r="AB61" s="27">
        <f>Q61+T61</f>
        <v>9</v>
      </c>
      <c r="AC61" s="27">
        <f>R61+U61+X61</f>
        <v>2</v>
      </c>
      <c r="AD61" s="27"/>
      <c r="AE61" s="125" t="s">
        <v>83</v>
      </c>
      <c r="AF61" s="30"/>
      <c r="AG61" s="30"/>
      <c r="AH61" s="30"/>
      <c r="AI61" s="31"/>
      <c r="AJ61" s="27"/>
      <c r="AK61" s="27"/>
      <c r="AL61" s="27"/>
      <c r="AM61" s="27"/>
      <c r="AN61" s="27"/>
    </row>
    <row r="62" ht="14.25" customHeight="1">
      <c r="A62" s="49" t="s">
        <v>78</v>
      </c>
      <c r="H62" s="50"/>
      <c r="I62" s="51"/>
      <c r="J62" s="27"/>
      <c r="K62" s="27"/>
      <c r="L62" s="27"/>
      <c r="M62" s="27"/>
      <c r="N62" s="27"/>
      <c r="O62" s="27"/>
      <c r="P62" s="49" t="s">
        <v>78</v>
      </c>
      <c r="W62" s="50"/>
      <c r="X62" s="51"/>
      <c r="Y62" s="27"/>
      <c r="Z62" s="27"/>
      <c r="AA62" s="27"/>
      <c r="AB62" s="27"/>
      <c r="AC62" s="27"/>
      <c r="AD62" s="27"/>
      <c r="AE62" s="57" t="s">
        <v>46</v>
      </c>
      <c r="AF62" s="30"/>
      <c r="AG62" s="30"/>
      <c r="AH62" s="30"/>
      <c r="AI62" s="31"/>
      <c r="AJ62" s="27"/>
      <c r="AK62" s="27"/>
      <c r="AL62" s="27"/>
      <c r="AM62" s="27"/>
      <c r="AN62" s="27"/>
    </row>
    <row r="63" ht="14.25" customHeight="1">
      <c r="A63" s="52" t="str">
        <f>AE53</f>
        <v>Redent Scicluna</v>
      </c>
      <c r="B63" s="42">
        <v>4.0</v>
      </c>
      <c r="C63" s="53">
        <f>IF(B63&gt;B61,1,0)</f>
        <v>0</v>
      </c>
      <c r="D63" s="54"/>
      <c r="E63" s="42">
        <v>0.0</v>
      </c>
      <c r="F63" s="53">
        <f>IF(E63&gt;E61,1,0)</f>
        <v>0</v>
      </c>
      <c r="G63" s="54"/>
      <c r="H63" s="45"/>
      <c r="I63" s="27">
        <f>IF(H63&gt;H61,1,0)</f>
        <v>0</v>
      </c>
      <c r="J63" s="27">
        <f>IF(B63="",0,1)</f>
        <v>1</v>
      </c>
      <c r="K63" s="27">
        <f>IF(C63+F63=2,3,IF(C63+F63=1,1,0))</f>
        <v>0</v>
      </c>
      <c r="L63" s="27">
        <f>IF(K63=3,3,IF(I63+K63=2,2,IF(K63=1,1,0)))</f>
        <v>0</v>
      </c>
      <c r="M63" s="27">
        <f>B63+E63</f>
        <v>4</v>
      </c>
      <c r="N63" s="27">
        <f>C63+F63+I63</f>
        <v>0</v>
      </c>
      <c r="O63" s="27"/>
      <c r="P63" s="52" t="str">
        <f>AE55</f>
        <v>Glenn Micallef</v>
      </c>
      <c r="Q63" s="42">
        <v>6.0</v>
      </c>
      <c r="R63" s="53">
        <f>IF(Q63&gt;Q61,1,0)</f>
        <v>1</v>
      </c>
      <c r="S63" s="54"/>
      <c r="T63" s="42">
        <v>4.0</v>
      </c>
      <c r="U63" s="53">
        <f>IF(T63&gt;T61,1,0)</f>
        <v>0</v>
      </c>
      <c r="V63" s="54"/>
      <c r="W63" s="42">
        <v>4.0</v>
      </c>
      <c r="X63" s="27">
        <f>IF(W63&gt;W61,1,0)</f>
        <v>0</v>
      </c>
      <c r="Y63" s="27">
        <f>IF(Q63="",0,1)</f>
        <v>1</v>
      </c>
      <c r="Z63" s="27">
        <f>IF(R63+U63=2,3,IF(R63+U63=1,1,0))</f>
        <v>1</v>
      </c>
      <c r="AA63" s="27">
        <f>IF(Z63=3,3,IF(X63+Z63=2,2,IF(Z63=1,1,0)))</f>
        <v>1</v>
      </c>
      <c r="AB63" s="27">
        <f>Q63+T63</f>
        <v>10</v>
      </c>
      <c r="AC63" s="27">
        <f>R63+U63+X63</f>
        <v>1</v>
      </c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</row>
    <row r="64" ht="14.2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</row>
    <row r="65" ht="14.25" customHeight="1">
      <c r="A65" s="41" t="str">
        <f>AE51</f>
        <v>Jurgen Cachia</v>
      </c>
      <c r="B65" s="42">
        <v>6.0</v>
      </c>
      <c r="C65" s="43">
        <f>IF(B65&gt;B67,1,0)</f>
        <v>1</v>
      </c>
      <c r="D65" s="44"/>
      <c r="E65" s="42">
        <v>6.0</v>
      </c>
      <c r="F65" s="43">
        <f>IF(E65&gt;E67,1,0)</f>
        <v>1</v>
      </c>
      <c r="G65" s="44"/>
      <c r="H65" s="45"/>
      <c r="I65" s="27">
        <f>IF(H65&gt;H67,1,0)</f>
        <v>0</v>
      </c>
      <c r="J65" s="27">
        <f>IF(B65="",0,1)</f>
        <v>1</v>
      </c>
      <c r="K65" s="27">
        <f>IF(C65+F65=2,3,IF(C65+F65=1,1,0))</f>
        <v>3</v>
      </c>
      <c r="L65" s="27">
        <f>IF(K65=3,3,IF(I65+K65=2,2,IF(K65=1,1,0)))</f>
        <v>3</v>
      </c>
      <c r="M65" s="27">
        <f>B65+E65</f>
        <v>12</v>
      </c>
      <c r="N65" s="27">
        <f>C65+F65+I65</f>
        <v>2</v>
      </c>
      <c r="O65" s="27"/>
      <c r="P65" s="41" t="str">
        <f>AE51</f>
        <v>Jurgen Cachia</v>
      </c>
      <c r="Q65" s="42">
        <v>6.0</v>
      </c>
      <c r="R65" s="43">
        <f>IF(Q65&gt;Q67,1,0)</f>
        <v>1</v>
      </c>
      <c r="S65" s="44"/>
      <c r="T65" s="42">
        <v>6.0</v>
      </c>
      <c r="U65" s="43">
        <f>IF(T65&gt;T67,1,0)</f>
        <v>1</v>
      </c>
      <c r="V65" s="44"/>
      <c r="W65" s="45"/>
      <c r="X65" s="27">
        <f>IF(W65&gt;W67,1,0)</f>
        <v>0</v>
      </c>
      <c r="Y65" s="27">
        <f>IF(Q65="",0,1)</f>
        <v>1</v>
      </c>
      <c r="Z65" s="27">
        <f>IF(R65+U65=2,3,IF(R65+U65=1,1,0))</f>
        <v>3</v>
      </c>
      <c r="AA65" s="27">
        <f>IF(Z65=3,3,IF(X65+Z65=2,2,IF(Z65=1,1,0)))</f>
        <v>3</v>
      </c>
      <c r="AB65" s="27">
        <f>Q65+T65</f>
        <v>12</v>
      </c>
      <c r="AC65" s="27">
        <f>R65+U65+X65</f>
        <v>2</v>
      </c>
      <c r="AD65" s="27"/>
      <c r="AE65" s="125" t="s">
        <v>84</v>
      </c>
      <c r="AF65" s="30"/>
      <c r="AG65" s="30"/>
      <c r="AH65" s="30"/>
      <c r="AI65" s="31"/>
      <c r="AJ65" s="27"/>
      <c r="AK65" s="27"/>
      <c r="AL65" s="27"/>
      <c r="AM65" s="27"/>
      <c r="AN65" s="27"/>
    </row>
    <row r="66" ht="14.25" customHeight="1">
      <c r="A66" s="49" t="s">
        <v>78</v>
      </c>
      <c r="H66" s="50"/>
      <c r="I66" s="51"/>
      <c r="J66" s="27"/>
      <c r="K66" s="27"/>
      <c r="L66" s="27"/>
      <c r="M66" s="27"/>
      <c r="N66" s="27"/>
      <c r="O66" s="27"/>
      <c r="P66" s="49" t="s">
        <v>78</v>
      </c>
      <c r="W66" s="50"/>
      <c r="X66" s="51"/>
      <c r="Y66" s="27"/>
      <c r="Z66" s="27"/>
      <c r="AA66" s="27"/>
      <c r="AB66" s="27"/>
      <c r="AC66" s="27"/>
      <c r="AD66" s="27"/>
      <c r="AE66" s="116"/>
      <c r="AF66" s="30"/>
      <c r="AG66" s="30"/>
      <c r="AH66" s="30"/>
      <c r="AI66" s="31"/>
      <c r="AJ66" s="27"/>
      <c r="AK66" s="27"/>
      <c r="AL66" s="27"/>
      <c r="AM66" s="27"/>
      <c r="AN66" s="27"/>
    </row>
    <row r="67" ht="14.25" customHeight="1">
      <c r="A67" s="52" t="str">
        <f>AE57</f>
        <v>JP Sciberras</v>
      </c>
      <c r="B67" s="42">
        <v>0.0</v>
      </c>
      <c r="C67" s="53">
        <f>IF(B67&gt;B65,1,0)</f>
        <v>0</v>
      </c>
      <c r="D67" s="54"/>
      <c r="E67" s="42">
        <v>0.0</v>
      </c>
      <c r="F67" s="53">
        <f>IF(E67&gt;E65,1,0)</f>
        <v>0</v>
      </c>
      <c r="G67" s="54"/>
      <c r="H67" s="45"/>
      <c r="I67" s="27">
        <f>IF(H67&gt;H65,1,0)</f>
        <v>0</v>
      </c>
      <c r="J67" s="27">
        <f>IF(B67="",0,1)</f>
        <v>1</v>
      </c>
      <c r="K67" s="27">
        <f>IF(C67+F67=2,3,IF(C67+F67=1,1,0))</f>
        <v>0</v>
      </c>
      <c r="L67" s="27">
        <f>IF(K67=3,3,IF(I67+K67=2,2,IF(K67=1,1,0)))</f>
        <v>0</v>
      </c>
      <c r="M67" s="27">
        <f>B67+E67</f>
        <v>0</v>
      </c>
      <c r="N67" s="27">
        <f>C67+F67+I67</f>
        <v>0</v>
      </c>
      <c r="O67" s="27"/>
      <c r="P67" s="52" t="str">
        <f>AE59</f>
        <v>Matthew Napier</v>
      </c>
      <c r="Q67" s="42">
        <v>0.0</v>
      </c>
      <c r="R67" s="53">
        <f>IF(Q67&gt;Q65,1,0)</f>
        <v>0</v>
      </c>
      <c r="S67" s="54"/>
      <c r="T67" s="42">
        <v>2.0</v>
      </c>
      <c r="U67" s="53">
        <f>IF(T67&gt;T65,1,0)</f>
        <v>0</v>
      </c>
      <c r="V67" s="54"/>
      <c r="W67" s="45"/>
      <c r="X67" s="27">
        <f>IF(W67&gt;W65,1,0)</f>
        <v>0</v>
      </c>
      <c r="Y67" s="27">
        <f>IF(Q67="",0,1)</f>
        <v>1</v>
      </c>
      <c r="Z67" s="27">
        <f>IF(R67+U67=2,3,IF(R67+U67=1,1,0))</f>
        <v>0</v>
      </c>
      <c r="AA67" s="27">
        <f>IF(Z67=3,3,IF(X67+Z67=2,2,IF(Z67=1,1,0)))</f>
        <v>0</v>
      </c>
      <c r="AB67" s="27">
        <f>Q67+T67</f>
        <v>2</v>
      </c>
      <c r="AC67" s="27">
        <f>R67+U67+X67</f>
        <v>0</v>
      </c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</row>
    <row r="68" ht="14.2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36"/>
      <c r="AI68" s="27"/>
      <c r="AJ68" s="27"/>
      <c r="AK68" s="27"/>
      <c r="AL68" s="27"/>
      <c r="AM68" s="27"/>
      <c r="AN68" s="27"/>
    </row>
    <row r="69" ht="14.25" customHeight="1">
      <c r="A69" s="41" t="str">
        <f>AE55</f>
        <v>Glenn Micallef</v>
      </c>
      <c r="B69" s="42">
        <v>2.0</v>
      </c>
      <c r="C69" s="43">
        <f>IF(B69&gt;B71,1,0)</f>
        <v>0</v>
      </c>
      <c r="D69" s="44"/>
      <c r="E69" s="42">
        <v>6.0</v>
      </c>
      <c r="F69" s="43">
        <f>IF(E69&gt;E71,1,0)</f>
        <v>1</v>
      </c>
      <c r="G69" s="44"/>
      <c r="H69" s="42">
        <v>10.0</v>
      </c>
      <c r="I69" s="27">
        <f>IF(H69&gt;H71,1,0)</f>
        <v>1</v>
      </c>
      <c r="J69" s="27">
        <f>IF(B69="",0,1)</f>
        <v>1</v>
      </c>
      <c r="K69" s="27">
        <f>IF(C69+F69=2,3,IF(C69+F69=1,1,0))</f>
        <v>1</v>
      </c>
      <c r="L69" s="27">
        <f>IF(K69=3,3,IF(I69+K69=2,2,IF(K69=1,1,0)))</f>
        <v>2</v>
      </c>
      <c r="M69" s="27">
        <f>B69+E69</f>
        <v>8</v>
      </c>
      <c r="N69" s="27">
        <f>C69+F69+I69</f>
        <v>2</v>
      </c>
      <c r="O69" s="27"/>
      <c r="P69" s="41" t="str">
        <f>AE53</f>
        <v>Redent Scicluna</v>
      </c>
      <c r="Q69" s="42">
        <v>6.0</v>
      </c>
      <c r="R69" s="43">
        <f>IF(Q69&gt;Q71,1,0)</f>
        <v>1</v>
      </c>
      <c r="S69" s="44"/>
      <c r="T69" s="42">
        <v>6.0</v>
      </c>
      <c r="U69" s="43">
        <f>IF(T69&gt;T71,1,0)</f>
        <v>1</v>
      </c>
      <c r="V69" s="44"/>
      <c r="W69" s="45"/>
      <c r="X69" s="27">
        <f>IF(W69&gt;W71,1,0)</f>
        <v>0</v>
      </c>
      <c r="Y69" s="27">
        <f>IF(Q69="",0,1)</f>
        <v>1</v>
      </c>
      <c r="Z69" s="27">
        <f>IF(R69+U69=2,3,IF(R69+U69=1,1,0))</f>
        <v>3</v>
      </c>
      <c r="AA69" s="27">
        <f>IF(Z69=3,3,IF(X69+Z69=2,2,IF(Z69=1,1,0)))</f>
        <v>3</v>
      </c>
      <c r="AB69" s="27">
        <f>Q69+T69</f>
        <v>12</v>
      </c>
      <c r="AC69" s="27">
        <f>R69+U69+X69</f>
        <v>2</v>
      </c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</row>
    <row r="70" ht="14.25" customHeight="1">
      <c r="A70" s="49" t="s">
        <v>78</v>
      </c>
      <c r="H70" s="50"/>
      <c r="I70" s="51"/>
      <c r="J70" s="27"/>
      <c r="K70" s="27"/>
      <c r="L70" s="27"/>
      <c r="M70" s="27"/>
      <c r="N70" s="27"/>
      <c r="O70" s="27"/>
      <c r="P70" s="49" t="s">
        <v>78</v>
      </c>
      <c r="W70" s="50"/>
      <c r="X70" s="51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</row>
    <row r="71" ht="14.25" customHeight="1">
      <c r="A71" s="52" t="str">
        <f>AE59</f>
        <v>Matthew Napier</v>
      </c>
      <c r="B71" s="42">
        <v>6.0</v>
      </c>
      <c r="C71" s="53">
        <f>IF(B71&gt;B69,1,0)</f>
        <v>1</v>
      </c>
      <c r="D71" s="54"/>
      <c r="E71" s="42">
        <v>1.0</v>
      </c>
      <c r="F71" s="53">
        <f>IF(E71&gt;E69,1,0)</f>
        <v>0</v>
      </c>
      <c r="G71" s="54"/>
      <c r="H71" s="42">
        <v>3.0</v>
      </c>
      <c r="I71" s="27">
        <f>IF(H71&gt;H69,1,0)</f>
        <v>0</v>
      </c>
      <c r="J71" s="27">
        <f>IF(B71="",0,1)</f>
        <v>1</v>
      </c>
      <c r="K71" s="27">
        <f>IF(C71+F71=2,3,IF(C71+F71=1,1,0))</f>
        <v>1</v>
      </c>
      <c r="L71" s="27">
        <f>IF(K71=3,3,IF(I71+K71=2,2,IF(K71=1,1,0)))</f>
        <v>1</v>
      </c>
      <c r="M71" s="27">
        <f>B71+E71</f>
        <v>7</v>
      </c>
      <c r="N71" s="27">
        <f>C71+F71+I71</f>
        <v>1</v>
      </c>
      <c r="O71" s="27"/>
      <c r="P71" s="52" t="str">
        <f>AE55</f>
        <v>Glenn Micallef</v>
      </c>
      <c r="Q71" s="42">
        <v>2.0</v>
      </c>
      <c r="R71" s="53">
        <f>IF(Q71&gt;Q69,1,0)</f>
        <v>0</v>
      </c>
      <c r="S71" s="54"/>
      <c r="T71" s="42">
        <v>3.0</v>
      </c>
      <c r="U71" s="53">
        <f>IF(T71&gt;T69,1,0)</f>
        <v>0</v>
      </c>
      <c r="V71" s="54"/>
      <c r="W71" s="45"/>
      <c r="X71" s="27">
        <f>IF(W71&gt;W69,1,0)</f>
        <v>0</v>
      </c>
      <c r="Y71" s="27">
        <f>IF(Q71="",0,1)</f>
        <v>1</v>
      </c>
      <c r="Z71" s="27">
        <f>IF(R71+U71=2,3,IF(R71+U71=1,1,0))</f>
        <v>0</v>
      </c>
      <c r="AA71" s="27">
        <f>IF(Z71=3,3,IF(X71+Z71=2,2,IF(Z71=1,1,0)))</f>
        <v>0</v>
      </c>
      <c r="AB71" s="27">
        <f>Q71+T71</f>
        <v>5</v>
      </c>
      <c r="AC71" s="27">
        <f>R71+U71+X71</f>
        <v>0</v>
      </c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</row>
    <row r="72" ht="14.25" customHeight="1">
      <c r="A72" s="27"/>
      <c r="B72" s="27"/>
      <c r="C72" s="27"/>
      <c r="D72" s="27"/>
      <c r="E72" s="36"/>
      <c r="F72" s="27"/>
      <c r="G72" s="27"/>
      <c r="H72" s="36"/>
      <c r="I72" s="27"/>
      <c r="J72" s="36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36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</row>
    <row r="73" ht="14.25" customHeight="1">
      <c r="A73" s="41" t="str">
        <f>AE53</f>
        <v>Redent Scicluna</v>
      </c>
      <c r="B73" s="42">
        <v>5.0</v>
      </c>
      <c r="C73" s="43">
        <f>IF(B73&gt;B75,1,0)</f>
        <v>0</v>
      </c>
      <c r="D73" s="44"/>
      <c r="E73" s="42">
        <v>6.0</v>
      </c>
      <c r="F73" s="43">
        <f>IF(E73&gt;E75,1,0)</f>
        <v>1</v>
      </c>
      <c r="G73" s="44"/>
      <c r="H73" s="42">
        <v>12.0</v>
      </c>
      <c r="I73" s="27">
        <f>IF(H73&gt;H75,1,0)</f>
        <v>1</v>
      </c>
      <c r="J73" s="27">
        <f>IF(B73="",0,1)</f>
        <v>1</v>
      </c>
      <c r="K73" s="27">
        <f>IF(C73+F73=2,3,IF(C73+F73=1,1,0))</f>
        <v>1</v>
      </c>
      <c r="L73" s="27">
        <f>IF(K73=3,3,IF(I73+K73=2,2,IF(K73=1,1,0)))</f>
        <v>2</v>
      </c>
      <c r="M73" s="27">
        <f>B73+E73</f>
        <v>11</v>
      </c>
      <c r="N73" s="27">
        <f>C73+F73+I73</f>
        <v>2</v>
      </c>
      <c r="O73" s="27"/>
      <c r="P73" s="41" t="str">
        <f>AE53</f>
        <v>Redent Scicluna</v>
      </c>
      <c r="Q73" s="42">
        <v>6.0</v>
      </c>
      <c r="R73" s="43">
        <f>IF(Q73&gt;Q75,1,0)</f>
        <v>1</v>
      </c>
      <c r="S73" s="44"/>
      <c r="T73" s="42">
        <v>6.0</v>
      </c>
      <c r="U73" s="43">
        <f>IF(T73&gt;T75,1,0)</f>
        <v>1</v>
      </c>
      <c r="V73" s="44"/>
      <c r="W73" s="45"/>
      <c r="X73" s="27">
        <f>IF(W73&gt;W75,1,0)</f>
        <v>0</v>
      </c>
      <c r="Y73" s="27">
        <f>IF(Q73="",0,1)</f>
        <v>1</v>
      </c>
      <c r="Z73" s="27">
        <f>IF(R73+U73=2,3,IF(R73+U73=1,1,0))</f>
        <v>3</v>
      </c>
      <c r="AA73" s="27">
        <f>IF(Z73=3,3,IF(X73+Z73=2,2,IF(Z73=1,1,0)))</f>
        <v>3</v>
      </c>
      <c r="AB73" s="27">
        <f>Q73+T73</f>
        <v>12</v>
      </c>
      <c r="AC73" s="27">
        <f>R73+U73+X73</f>
        <v>2</v>
      </c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</row>
    <row r="74" ht="14.25" customHeight="1">
      <c r="A74" s="49" t="s">
        <v>78</v>
      </c>
      <c r="H74" s="50"/>
      <c r="I74" s="51"/>
      <c r="J74" s="27"/>
      <c r="K74" s="27"/>
      <c r="L74" s="27"/>
      <c r="M74" s="27"/>
      <c r="N74" s="27"/>
      <c r="O74" s="27"/>
      <c r="P74" s="49" t="s">
        <v>78</v>
      </c>
      <c r="W74" s="50"/>
      <c r="X74" s="51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</row>
    <row r="75" ht="14.25" customHeight="1">
      <c r="A75" s="52" t="str">
        <f>AE57</f>
        <v>JP Sciberras</v>
      </c>
      <c r="B75" s="42">
        <v>7.0</v>
      </c>
      <c r="C75" s="53">
        <f>IF(B75&gt;B73,1,0)</f>
        <v>1</v>
      </c>
      <c r="D75" s="54"/>
      <c r="E75" s="42">
        <v>1.0</v>
      </c>
      <c r="F75" s="53">
        <f>IF(E75&gt;E73,1,0)</f>
        <v>0</v>
      </c>
      <c r="G75" s="54"/>
      <c r="H75" s="42">
        <v>10.0</v>
      </c>
      <c r="I75" s="27">
        <f>IF(H75&gt;H73,1,0)</f>
        <v>0</v>
      </c>
      <c r="J75" s="27">
        <f>IF(B75="",0,1)</f>
        <v>1</v>
      </c>
      <c r="K75" s="27">
        <f>IF(C75+F75=2,3,IF(C75+F75=1,1,0))</f>
        <v>1</v>
      </c>
      <c r="L75" s="27">
        <f>IF(K75=3,3,IF(I75+K75=2,2,IF(K75=1,1,0)))</f>
        <v>1</v>
      </c>
      <c r="M75" s="27">
        <f>B75+E75</f>
        <v>8</v>
      </c>
      <c r="N75" s="27">
        <f>C75+F75+I75</f>
        <v>1</v>
      </c>
      <c r="O75" s="27"/>
      <c r="P75" s="52" t="str">
        <f>AE59</f>
        <v>Matthew Napier</v>
      </c>
      <c r="Q75" s="42">
        <v>1.0</v>
      </c>
      <c r="R75" s="53">
        <f>IF(Q75&gt;Q73,1,0)</f>
        <v>0</v>
      </c>
      <c r="S75" s="54"/>
      <c r="T75" s="42">
        <v>1.0</v>
      </c>
      <c r="U75" s="53">
        <f>IF(T75&gt;T73,1,0)</f>
        <v>0</v>
      </c>
      <c r="V75" s="54"/>
      <c r="W75" s="45"/>
      <c r="X75" s="27">
        <f>IF(W75&gt;W73,1,0)</f>
        <v>0</v>
      </c>
      <c r="Y75" s="27">
        <f>IF(Q75="",0,1)</f>
        <v>1</v>
      </c>
      <c r="Z75" s="27">
        <f>IF(R75+U75=2,3,IF(R75+U75=1,1,0))</f>
        <v>0</v>
      </c>
      <c r="AA75" s="27">
        <f>IF(Z75=3,3,IF(X75+Z75=2,2,IF(Z75=1,1,0)))</f>
        <v>0</v>
      </c>
      <c r="AB75" s="27">
        <f>Q75+T75</f>
        <v>2</v>
      </c>
      <c r="AC75" s="27">
        <f>R75+U75+X75</f>
        <v>0</v>
      </c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</row>
    <row r="76" ht="14.2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36"/>
      <c r="AI76" s="27"/>
      <c r="AJ76" s="27"/>
      <c r="AK76" s="27"/>
      <c r="AL76" s="27"/>
      <c r="AM76" s="27"/>
      <c r="AN76" s="27"/>
    </row>
    <row r="77" ht="14.25" customHeight="1">
      <c r="A77" s="41" t="str">
        <f>AE55</f>
        <v>Glenn Micallef</v>
      </c>
      <c r="B77" s="42">
        <v>3.0</v>
      </c>
      <c r="C77" s="43">
        <f>IF(B77&gt;B79,1,0)</f>
        <v>0</v>
      </c>
      <c r="D77" s="44"/>
      <c r="E77" s="42">
        <v>6.0</v>
      </c>
      <c r="F77" s="43">
        <f>IF(E77&gt;E79,1,0)</f>
        <v>1</v>
      </c>
      <c r="G77" s="44"/>
      <c r="H77" s="42">
        <v>11.0</v>
      </c>
      <c r="I77" s="27">
        <f>IF(H77&gt;H79,1,0)</f>
        <v>1</v>
      </c>
      <c r="J77" s="27">
        <f>IF(B77="",0,1)</f>
        <v>1</v>
      </c>
      <c r="K77" s="27">
        <f>IF(C77+F77=2,3,IF(C77+F77=1,1,0))</f>
        <v>1</v>
      </c>
      <c r="L77" s="27">
        <f>IF(K77=3,3,IF(I77+K77=2,2,IF(K77=1,1,0)))</f>
        <v>2</v>
      </c>
      <c r="M77" s="27">
        <f>B77+E77</f>
        <v>9</v>
      </c>
      <c r="N77" s="27">
        <f>C77+F77+I77</f>
        <v>2</v>
      </c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</row>
    <row r="78" ht="14.25" customHeight="1">
      <c r="A78" s="49" t="s">
        <v>78</v>
      </c>
      <c r="H78" s="50"/>
      <c r="I78" s="51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</row>
    <row r="79" ht="14.25" customHeight="1">
      <c r="A79" s="52" t="str">
        <f>AE57</f>
        <v>JP Sciberras</v>
      </c>
      <c r="B79" s="42">
        <v>6.0</v>
      </c>
      <c r="C79" s="53">
        <f>IF(B79&gt;B77,1,0)</f>
        <v>1</v>
      </c>
      <c r="D79" s="54"/>
      <c r="E79" s="42">
        <v>4.0</v>
      </c>
      <c r="F79" s="53">
        <f>IF(E79&gt;E77,1,0)</f>
        <v>0</v>
      </c>
      <c r="G79" s="54"/>
      <c r="H79" s="42">
        <v>9.0</v>
      </c>
      <c r="I79" s="27">
        <f>IF(H79&gt;H77,1,0)</f>
        <v>0</v>
      </c>
      <c r="J79" s="27">
        <f>IF(B79="",0,1)</f>
        <v>1</v>
      </c>
      <c r="K79" s="27">
        <f>IF(C79+F79=2,3,IF(C79+F79=1,1,0))</f>
        <v>1</v>
      </c>
      <c r="L79" s="27">
        <f>IF(K79=3,3,IF(I79+K79=2,2,IF(K79=1,1,0)))</f>
        <v>1</v>
      </c>
      <c r="M79" s="27">
        <f>B79+E79</f>
        <v>10</v>
      </c>
      <c r="N79" s="27">
        <f>C79+F79+I79</f>
        <v>1</v>
      </c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</row>
    <row r="80" ht="14.2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</row>
    <row r="81" ht="14.2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</row>
    <row r="82" ht="14.2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</row>
    <row r="83" ht="14.2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83" t="s">
        <v>82</v>
      </c>
      <c r="Q83" s="30"/>
      <c r="R83" s="30"/>
      <c r="S83" s="30"/>
      <c r="T83" s="30"/>
      <c r="U83" s="30"/>
      <c r="V83" s="30"/>
      <c r="W83" s="84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</row>
    <row r="84" ht="14.2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</row>
    <row r="85" ht="14.2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85" t="s">
        <v>58</v>
      </c>
      <c r="Q85" s="83" t="s">
        <v>59</v>
      </c>
      <c r="R85" s="30"/>
      <c r="S85" s="30"/>
      <c r="T85" s="31"/>
      <c r="U85" s="86"/>
      <c r="V85" s="87"/>
      <c r="W85" s="85" t="s">
        <v>60</v>
      </c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</row>
    <row r="86" ht="14.25" hidden="1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37" t="s">
        <v>66</v>
      </c>
      <c r="R86" s="37" t="s">
        <v>67</v>
      </c>
      <c r="S86" s="37"/>
      <c r="T86" s="37" t="s">
        <v>66</v>
      </c>
      <c r="U86" s="37" t="s">
        <v>68</v>
      </c>
      <c r="V86" s="37"/>
      <c r="W86" s="37" t="s">
        <v>66</v>
      </c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</row>
    <row r="87" ht="14.2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41" t="str">
        <f>AE22</f>
        <v>Chris Vella</v>
      </c>
      <c r="Q87" s="42">
        <v>4.0</v>
      </c>
      <c r="R87" s="43"/>
      <c r="S87" s="44"/>
      <c r="T87" s="42">
        <v>3.0</v>
      </c>
      <c r="U87" s="43">
        <f>IF(T87&gt;T89,1,0)</f>
        <v>0</v>
      </c>
      <c r="V87" s="44"/>
      <c r="W87" s="45"/>
      <c r="X87" s="27">
        <f>IF(W87&gt;W89,1,0)</f>
        <v>0</v>
      </c>
      <c r="Y87" s="27">
        <f>IF(Q87="",0,1)</f>
        <v>1</v>
      </c>
      <c r="Z87" s="27">
        <f>IF(R87+U87=2,3,IF(R87+U87=1,1,0))</f>
        <v>0</v>
      </c>
      <c r="AA87" s="27">
        <f>IF(Z87=3,3,IF(X87+Z87=2,2,IF(Z87=1,1,0)))</f>
        <v>0</v>
      </c>
      <c r="AB87" s="27">
        <f>Q87+T87</f>
        <v>7</v>
      </c>
      <c r="AC87" s="27">
        <f>R87+U87+X87</f>
        <v>0</v>
      </c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</row>
    <row r="88" ht="14.2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49" t="s">
        <v>78</v>
      </c>
      <c r="W88" s="50"/>
      <c r="X88" s="51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</row>
    <row r="89" ht="14.2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52" t="str">
        <f>AE62</f>
        <v>Matthew Caruana</v>
      </c>
      <c r="Q89" s="42">
        <v>6.0</v>
      </c>
      <c r="R89" s="53"/>
      <c r="S89" s="54"/>
      <c r="T89" s="42">
        <v>6.0</v>
      </c>
      <c r="U89" s="53">
        <f>IF(T89&gt;T87,1,0)</f>
        <v>1</v>
      </c>
      <c r="V89" s="54"/>
      <c r="W89" s="45"/>
      <c r="X89" s="27">
        <f>IF(W89&gt;W87,1,0)</f>
        <v>0</v>
      </c>
      <c r="Y89" s="27">
        <f>IF(Q89="",0,1)</f>
        <v>1</v>
      </c>
      <c r="Z89" s="27">
        <f>IF(R89+U89=2,3,IF(R89+U89=1,1,0))</f>
        <v>1</v>
      </c>
      <c r="AA89" s="27">
        <f>IF(Z89=3,3,IF(X89+Z89=2,2,IF(Z89=1,1,0)))</f>
        <v>1</v>
      </c>
      <c r="AB89" s="27">
        <f>Q89+T89</f>
        <v>12</v>
      </c>
      <c r="AC89" s="27">
        <f>R89+U89+X89</f>
        <v>1</v>
      </c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</row>
    <row r="90" ht="14.2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</row>
    <row r="91" ht="14.2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83" t="s">
        <v>83</v>
      </c>
      <c r="Q91" s="30"/>
      <c r="R91" s="30"/>
      <c r="S91" s="30"/>
      <c r="T91" s="30"/>
      <c r="U91" s="30"/>
      <c r="V91" s="30"/>
      <c r="W91" s="31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</row>
    <row r="92" ht="14.2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88" t="str">
        <f>IF(AA87&gt;AA89,P87,P89)</f>
        <v>Matthew Caruana</v>
      </c>
      <c r="Q92" s="89"/>
      <c r="R92" s="89"/>
      <c r="S92" s="89"/>
      <c r="T92" s="89"/>
      <c r="U92" s="89"/>
      <c r="V92" s="89"/>
      <c r="W92" s="90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</row>
    <row r="93" ht="14.2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</row>
    <row r="94" ht="14.2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</row>
    <row r="95" ht="14.2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83" t="s">
        <v>84</v>
      </c>
      <c r="Q95" s="30"/>
      <c r="R95" s="30"/>
      <c r="S95" s="30"/>
      <c r="T95" s="30"/>
      <c r="U95" s="30"/>
      <c r="V95" s="30"/>
      <c r="W95" s="31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</row>
    <row r="96" ht="14.2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88" t="str">
        <f>IF(AA87&lt;AA89,P87,P89)</f>
        <v>Chris Vella</v>
      </c>
      <c r="Q96" s="89"/>
      <c r="R96" s="89"/>
      <c r="S96" s="89"/>
      <c r="T96" s="89"/>
      <c r="U96" s="89"/>
      <c r="V96" s="89"/>
      <c r="W96" s="90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</row>
    <row r="97" ht="14.2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</row>
    <row r="98" ht="14.2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</row>
    <row r="99" ht="14.2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</row>
    <row r="100" ht="14.2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</row>
    <row r="101" ht="14.2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</row>
    <row r="102" ht="14.2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</row>
    <row r="103" ht="14.2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</row>
    <row r="104" ht="14.2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</row>
    <row r="105" ht="14.2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</row>
    <row r="106" ht="14.2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36"/>
      <c r="R106" s="36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</row>
    <row r="107" ht="14.2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</row>
    <row r="108" ht="14.2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</row>
    <row r="109" ht="14.2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</row>
    <row r="110" ht="14.2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</row>
    <row r="111" ht="14.2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</row>
    <row r="112" ht="14.2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</row>
    <row r="113" ht="14.2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</row>
    <row r="114" ht="14.2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</row>
    <row r="115" ht="14.2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</row>
    <row r="116" ht="14.2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</row>
    <row r="117" ht="14.2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</row>
    <row r="118" ht="14.2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</row>
    <row r="119" ht="14.2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</row>
    <row r="120" ht="14.2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</row>
    <row r="121" ht="14.2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</row>
    <row r="122" ht="14.2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</row>
    <row r="123" ht="14.2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</row>
    <row r="124" ht="14.2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</row>
    <row r="125" ht="14.2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</row>
    <row r="126" ht="14.2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</row>
    <row r="127" ht="14.2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</row>
    <row r="128" ht="14.2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</row>
    <row r="129" ht="14.2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</row>
    <row r="130" ht="14.2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</row>
    <row r="131" ht="14.2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</row>
    <row r="132" ht="14.2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</row>
    <row r="133" ht="14.2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</row>
    <row r="134" ht="14.2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</row>
    <row r="135" ht="14.2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</row>
    <row r="136" ht="14.2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</row>
    <row r="137" ht="14.2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</row>
    <row r="138" ht="14.2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</row>
    <row r="139" ht="14.2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</row>
    <row r="140" ht="14.2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</row>
    <row r="141" ht="14.2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</row>
    <row r="142" ht="14.2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</row>
    <row r="143" ht="14.2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</row>
    <row r="144" ht="14.2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</row>
    <row r="145" ht="14.2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</row>
    <row r="146" ht="14.2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</row>
    <row r="147" ht="14.2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</row>
    <row r="148" ht="14.2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</row>
    <row r="149" ht="14.2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</row>
    <row r="150" ht="14.2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</row>
    <row r="151" ht="14.2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</row>
    <row r="152" ht="14.2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</row>
    <row r="153" ht="14.2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</row>
    <row r="154" ht="14.2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</row>
    <row r="155" ht="14.2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</row>
    <row r="156" ht="14.2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</row>
    <row r="157" ht="14.2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</row>
    <row r="158" ht="14.2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</row>
    <row r="159" ht="14.2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</row>
    <row r="160" ht="14.2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</row>
    <row r="161" ht="14.2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</row>
    <row r="162" ht="14.2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</row>
    <row r="163" ht="14.2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</row>
    <row r="164" ht="14.2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</row>
    <row r="165" ht="14.2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</row>
    <row r="166" ht="14.2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</row>
    <row r="167" ht="14.2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</row>
    <row r="168" ht="14.2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</row>
    <row r="169" ht="14.2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</row>
    <row r="170" ht="14.2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</row>
    <row r="171" ht="14.2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</row>
    <row r="172" ht="14.2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</row>
    <row r="173" ht="14.2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</row>
    <row r="174" ht="14.2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</row>
    <row r="175" ht="14.2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</row>
    <row r="176" ht="14.2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</row>
    <row r="177" ht="14.2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</row>
    <row r="178" ht="14.2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</row>
    <row r="179" ht="14.2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</row>
    <row r="180" ht="14.2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</row>
    <row r="181" ht="14.2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</row>
    <row r="182" ht="14.2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</row>
    <row r="183" ht="14.2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</row>
    <row r="184" ht="14.2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</row>
    <row r="185" ht="14.2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</row>
    <row r="186" ht="14.2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</row>
    <row r="187" ht="14.2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</row>
    <row r="188" ht="14.2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</row>
    <row r="189" ht="14.2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</row>
    <row r="190" ht="14.2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</row>
    <row r="191" ht="14.2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</row>
    <row r="192" ht="14.2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</row>
    <row r="193" ht="14.2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</row>
    <row r="194" ht="14.2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</row>
    <row r="195" ht="14.2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</row>
    <row r="196" ht="14.2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</row>
    <row r="197" ht="14.2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</row>
    <row r="198" ht="14.2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</row>
    <row r="199" ht="14.2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</row>
    <row r="200" ht="14.2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</row>
    <row r="201" ht="14.2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</row>
    <row r="202" ht="14.2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</row>
    <row r="203" ht="14.2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</row>
    <row r="204" ht="14.2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</row>
    <row r="205" ht="14.2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</row>
    <row r="206" ht="14.2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</row>
    <row r="207" ht="14.2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</row>
    <row r="208" ht="14.2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</row>
    <row r="209" ht="14.2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</row>
    <row r="210" ht="14.2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</row>
    <row r="211" ht="14.2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</row>
    <row r="212" ht="14.2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</row>
    <row r="213" ht="14.2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</row>
    <row r="214" ht="14.2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</row>
    <row r="215" ht="14.2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</row>
    <row r="216" ht="14.2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</row>
    <row r="217" ht="14.2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</row>
    <row r="218" ht="14.2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</row>
    <row r="219" ht="14.2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</row>
    <row r="220" ht="14.2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</row>
    <row r="221" ht="14.2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</row>
    <row r="222" ht="14.2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</row>
    <row r="223" ht="14.2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</row>
    <row r="224" ht="14.2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</row>
    <row r="225" ht="14.2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</row>
    <row r="226" ht="14.2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</row>
    <row r="227" ht="14.2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</row>
    <row r="228" ht="14.2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</row>
    <row r="229" ht="14.2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</row>
    <row r="230" ht="14.2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</row>
    <row r="231" ht="14.2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</row>
    <row r="232" ht="14.2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</row>
    <row r="233" ht="14.2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</row>
    <row r="234" ht="14.2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</row>
    <row r="235" ht="14.2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</row>
    <row r="236" ht="14.2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</row>
    <row r="237" ht="14.2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</row>
    <row r="238" ht="14.2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</row>
    <row r="239" ht="14.2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</row>
    <row r="240" ht="14.2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</row>
    <row r="241" ht="14.2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</row>
    <row r="242" ht="14.2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</row>
    <row r="243" ht="14.2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</row>
    <row r="244" ht="14.2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</row>
    <row r="245" ht="14.2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</row>
    <row r="246" ht="14.2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</row>
    <row r="247" ht="14.2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</row>
    <row r="248" ht="14.2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</row>
    <row r="249" ht="14.2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</row>
    <row r="250" ht="14.2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</row>
    <row r="251" ht="14.2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</row>
    <row r="252" ht="14.2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</row>
    <row r="253" ht="14.2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</row>
    <row r="254" ht="14.2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</row>
    <row r="255" ht="14.2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</row>
    <row r="256" ht="14.2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</row>
    <row r="257" ht="14.2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</row>
    <row r="258" ht="14.2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</row>
    <row r="259" ht="14.2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</row>
    <row r="260" ht="14.2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</row>
    <row r="261" ht="14.2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</row>
    <row r="262" ht="14.2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</row>
    <row r="263" ht="14.2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</row>
    <row r="264" ht="14.2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</row>
    <row r="265" ht="14.2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</row>
    <row r="266" ht="14.2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</row>
    <row r="267" ht="14.2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</row>
    <row r="268" ht="14.2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</row>
    <row r="269" ht="14.2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</row>
    <row r="270" ht="14.2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</row>
    <row r="271" ht="14.2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</row>
    <row r="272" ht="14.2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</row>
    <row r="273" ht="14.2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</row>
    <row r="274" ht="14.2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</row>
    <row r="275" ht="14.2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</row>
    <row r="276" ht="14.2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</row>
    <row r="277" ht="14.2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</row>
    <row r="278" ht="14.2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</row>
    <row r="279" ht="14.2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</row>
    <row r="280" ht="14.2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</row>
    <row r="281" ht="14.2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</row>
    <row r="282" ht="14.2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</row>
    <row r="283" ht="14.2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</row>
    <row r="284" ht="14.2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</row>
    <row r="285" ht="14.2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</row>
    <row r="286" ht="14.2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</row>
    <row r="287" ht="14.2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</row>
    <row r="288" ht="14.2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</row>
    <row r="289" ht="14.2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</row>
    <row r="290" ht="14.2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</row>
    <row r="291" ht="14.2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</row>
    <row r="292" ht="14.2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</row>
    <row r="293" ht="14.2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</row>
    <row r="294" ht="14.2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</row>
    <row r="295" ht="14.2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</row>
    <row r="296" ht="14.2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</row>
    <row r="297" ht="14.2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</row>
    <row r="298" ht="14.2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</row>
    <row r="299" ht="14.2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</row>
    <row r="300" ht="14.2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</row>
    <row r="301" ht="14.2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</row>
    <row r="302" ht="14.2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</row>
    <row r="303" ht="14.2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</row>
    <row r="304" ht="14.2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</row>
    <row r="305" ht="14.2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</row>
    <row r="306" ht="14.2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</row>
    <row r="307" ht="14.2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</row>
    <row r="308" ht="14.2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</row>
    <row r="309" ht="14.2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</row>
    <row r="310" ht="14.2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</row>
    <row r="311" ht="14.2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</row>
    <row r="312" ht="14.2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</row>
    <row r="313" ht="14.2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</row>
    <row r="314" ht="14.2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</row>
    <row r="315" ht="14.2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</row>
    <row r="316" ht="14.2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</row>
    <row r="317" ht="14.2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</row>
    <row r="318" ht="14.2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</row>
    <row r="319" ht="14.2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</row>
    <row r="320" ht="14.2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</row>
    <row r="321" ht="14.2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</row>
    <row r="322" ht="14.2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</row>
    <row r="323" ht="14.2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</row>
    <row r="324" ht="14.2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</row>
    <row r="325" ht="14.2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</row>
    <row r="326" ht="14.2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</row>
    <row r="327" ht="14.2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</row>
    <row r="328" ht="14.2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</row>
    <row r="329" ht="14.2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</row>
    <row r="330" ht="14.2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</row>
    <row r="331" ht="14.2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</row>
    <row r="332" ht="14.2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</row>
    <row r="333" ht="14.2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</row>
    <row r="334" ht="14.2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</row>
    <row r="335" ht="14.2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</row>
    <row r="336" ht="14.2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</row>
    <row r="337" ht="14.2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</row>
    <row r="338" ht="14.2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</row>
    <row r="339" ht="14.2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</row>
    <row r="340" ht="14.2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</row>
    <row r="341" ht="14.2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</row>
    <row r="342" ht="14.2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</row>
    <row r="343" ht="14.2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</row>
    <row r="344" ht="14.2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</row>
    <row r="345" ht="14.2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</row>
    <row r="346" ht="14.2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</row>
    <row r="347" ht="14.2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</row>
    <row r="348" ht="14.2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</row>
    <row r="349" ht="14.2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</row>
    <row r="350" ht="14.2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</row>
    <row r="351" ht="14.2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</row>
    <row r="352" ht="14.2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</row>
    <row r="353" ht="14.2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</row>
    <row r="354" ht="14.2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</row>
    <row r="355" ht="14.2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</row>
    <row r="356" ht="14.2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</row>
    <row r="357" ht="14.2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</row>
    <row r="358" ht="14.2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</row>
    <row r="359" ht="14.2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</row>
    <row r="360" ht="14.2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</row>
    <row r="361" ht="14.2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</row>
    <row r="362" ht="14.2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</row>
    <row r="363" ht="14.2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</row>
    <row r="364" ht="14.2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</row>
    <row r="365" ht="14.2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</row>
    <row r="366" ht="14.2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</row>
    <row r="367" ht="14.2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</row>
    <row r="368" ht="14.2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</row>
    <row r="369" ht="14.2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</row>
    <row r="370" ht="14.2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</row>
    <row r="371" ht="14.2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</row>
    <row r="372" ht="14.2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</row>
    <row r="373" ht="14.2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</row>
    <row r="374" ht="14.2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</row>
    <row r="375" ht="14.2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</row>
    <row r="376" ht="14.2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</row>
    <row r="377" ht="14.2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</row>
    <row r="378" ht="14.2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</row>
    <row r="379" ht="14.2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</row>
    <row r="380" ht="14.2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</row>
    <row r="381" ht="14.2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</row>
    <row r="382" ht="14.2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</row>
    <row r="383" ht="14.2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</row>
    <row r="384" ht="14.2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</row>
    <row r="385" ht="14.2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</row>
    <row r="386" ht="14.2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</row>
    <row r="387" ht="14.2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</row>
    <row r="388" ht="14.2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</row>
    <row r="389" ht="14.2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</row>
    <row r="390" ht="14.2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</row>
    <row r="391" ht="14.2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</row>
    <row r="392" ht="14.2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</row>
    <row r="393" ht="14.2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</row>
    <row r="394" ht="14.2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</row>
    <row r="395" ht="14.2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</row>
    <row r="396" ht="14.2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</row>
    <row r="397" ht="14.2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</row>
    <row r="398" ht="14.2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</row>
    <row r="399" ht="14.2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</row>
    <row r="400" ht="14.2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</row>
    <row r="401" ht="14.2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</row>
    <row r="402" ht="14.2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</row>
    <row r="403" ht="14.2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</row>
    <row r="404" ht="14.2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</row>
    <row r="405" ht="14.2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</row>
    <row r="406" ht="14.2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</row>
    <row r="407" ht="14.2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</row>
    <row r="408" ht="14.2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</row>
    <row r="409" ht="14.2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</row>
    <row r="410" ht="14.2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</row>
    <row r="411" ht="14.2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</row>
    <row r="412" ht="14.2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</row>
    <row r="413" ht="14.2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</row>
    <row r="414" ht="14.2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</row>
    <row r="415" ht="14.2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</row>
    <row r="416" ht="14.2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</row>
    <row r="417" ht="14.2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</row>
    <row r="418" ht="14.2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</row>
    <row r="419" ht="14.2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</row>
    <row r="420" ht="14.2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</row>
    <row r="421" ht="14.2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</row>
    <row r="422" ht="14.2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</row>
    <row r="423" ht="14.2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</row>
    <row r="424" ht="14.2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</row>
    <row r="425" ht="14.2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</row>
    <row r="426" ht="14.2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</row>
    <row r="427" ht="14.2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</row>
    <row r="428" ht="14.2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</row>
    <row r="429" ht="14.2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</row>
    <row r="430" ht="14.2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</row>
    <row r="431" ht="14.2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</row>
    <row r="432" ht="14.2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</row>
    <row r="433" ht="14.2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</row>
    <row r="434" ht="14.2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</row>
    <row r="435" ht="14.2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</row>
    <row r="436" ht="14.2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</row>
    <row r="437" ht="14.2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</row>
    <row r="438" ht="14.2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</row>
    <row r="439" ht="14.2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</row>
    <row r="440" ht="14.2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</row>
    <row r="441" ht="14.2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</row>
    <row r="442" ht="14.2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</row>
    <row r="443" ht="14.2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</row>
    <row r="444" ht="14.2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</row>
    <row r="445" ht="14.2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</row>
    <row r="446" ht="14.2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</row>
    <row r="447" ht="14.2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</row>
    <row r="448" ht="14.2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</row>
    <row r="449" ht="14.2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</row>
    <row r="450" ht="14.2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</row>
    <row r="451" ht="14.2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</row>
    <row r="452" ht="14.2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</row>
    <row r="453" ht="14.2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</row>
    <row r="454" ht="14.2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</row>
    <row r="455" ht="14.2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</row>
    <row r="456" ht="14.2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</row>
    <row r="457" ht="14.2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</row>
    <row r="458" ht="14.2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</row>
    <row r="459" ht="14.2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</row>
    <row r="460" ht="14.2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</row>
    <row r="461" ht="14.2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</row>
    <row r="462" ht="14.2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</row>
    <row r="463" ht="14.2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</row>
    <row r="464" ht="14.2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</row>
    <row r="465" ht="14.2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</row>
    <row r="466" ht="14.2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</row>
    <row r="467" ht="14.2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</row>
    <row r="468" ht="14.2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</row>
    <row r="469" ht="14.2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</row>
    <row r="470" ht="14.2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</row>
    <row r="471" ht="14.2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</row>
    <row r="472" ht="14.2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</row>
    <row r="473" ht="14.2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</row>
    <row r="474" ht="14.2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</row>
    <row r="475" ht="14.2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</row>
    <row r="476" ht="14.2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</row>
    <row r="477" ht="14.2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</row>
    <row r="478" ht="14.2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</row>
    <row r="479" ht="14.2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</row>
    <row r="480" ht="14.2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</row>
    <row r="481" ht="14.2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</row>
    <row r="482" ht="14.2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</row>
    <row r="483" ht="14.2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</row>
    <row r="484" ht="14.2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</row>
    <row r="485" ht="14.2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</row>
    <row r="486" ht="14.2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</row>
    <row r="487" ht="14.2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</row>
    <row r="488" ht="14.2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</row>
    <row r="489" ht="14.2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</row>
    <row r="490" ht="14.2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</row>
    <row r="491" ht="14.2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</row>
    <row r="492" ht="14.2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</row>
    <row r="493" ht="14.2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</row>
    <row r="494" ht="14.2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</row>
    <row r="495" ht="14.2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</row>
    <row r="496" ht="14.2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</row>
    <row r="497" ht="14.2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</row>
    <row r="498" ht="14.2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</row>
    <row r="499" ht="14.2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</row>
    <row r="500" ht="14.2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</row>
    <row r="501" ht="14.2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</row>
    <row r="502" ht="14.2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</row>
    <row r="503" ht="14.2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</row>
    <row r="504" ht="14.2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</row>
    <row r="505" ht="14.2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</row>
    <row r="506" ht="14.2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</row>
    <row r="507" ht="14.2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</row>
    <row r="508" ht="14.2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</row>
    <row r="509" ht="14.2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</row>
    <row r="510" ht="14.2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</row>
    <row r="511" ht="14.2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</row>
    <row r="512" ht="14.2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</row>
    <row r="513" ht="14.2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</row>
    <row r="514" ht="14.2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</row>
    <row r="515" ht="14.2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</row>
    <row r="516" ht="14.2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</row>
    <row r="517" ht="14.2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</row>
    <row r="518" ht="14.2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</row>
    <row r="519" ht="14.2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</row>
    <row r="520" ht="14.2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</row>
    <row r="521" ht="14.2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</row>
    <row r="522" ht="14.2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</row>
    <row r="523" ht="14.2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</row>
    <row r="524" ht="14.2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</row>
    <row r="525" ht="14.2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</row>
    <row r="526" ht="14.2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</row>
    <row r="527" ht="14.2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</row>
    <row r="528" ht="14.2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</row>
    <row r="529" ht="14.2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</row>
    <row r="530" ht="14.2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</row>
    <row r="531" ht="14.2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</row>
    <row r="532" ht="14.2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</row>
    <row r="533" ht="14.2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</row>
    <row r="534" ht="14.2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</row>
    <row r="535" ht="14.2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</row>
    <row r="536" ht="14.2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</row>
    <row r="537" ht="14.2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</row>
    <row r="538" ht="14.2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</row>
    <row r="539" ht="14.2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</row>
    <row r="540" ht="14.2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</row>
    <row r="541" ht="14.2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</row>
    <row r="542" ht="14.2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</row>
    <row r="543" ht="14.2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</row>
    <row r="544" ht="14.2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</row>
    <row r="545" ht="14.2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</row>
    <row r="546" ht="14.2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</row>
    <row r="547" ht="14.2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</row>
    <row r="548" ht="14.2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</row>
    <row r="549" ht="14.2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</row>
    <row r="550" ht="14.2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</row>
    <row r="551" ht="14.2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</row>
    <row r="552" ht="14.2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</row>
    <row r="553" ht="14.2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</row>
    <row r="554" ht="14.2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</row>
    <row r="555" ht="14.2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</row>
    <row r="556" ht="14.2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</row>
    <row r="557" ht="14.2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</row>
    <row r="558" ht="14.2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</row>
    <row r="559" ht="14.2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</row>
    <row r="560" ht="14.2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</row>
    <row r="561" ht="14.2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</row>
    <row r="562" ht="14.2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</row>
    <row r="563" ht="14.2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</row>
    <row r="564" ht="14.2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</row>
    <row r="565" ht="14.2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</row>
    <row r="566" ht="14.2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</row>
    <row r="567" ht="14.2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</row>
    <row r="568" ht="14.2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</row>
    <row r="569" ht="14.2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</row>
    <row r="570" ht="14.2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</row>
    <row r="571" ht="14.2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</row>
    <row r="572" ht="14.2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</row>
    <row r="573" ht="14.2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</row>
    <row r="574" ht="14.2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</row>
    <row r="575" ht="14.2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</row>
    <row r="576" ht="14.2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</row>
    <row r="577" ht="14.2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</row>
    <row r="578" ht="14.2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</row>
    <row r="579" ht="14.2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</row>
    <row r="580" ht="14.2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</row>
    <row r="581" ht="14.2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</row>
    <row r="582" ht="14.2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</row>
    <row r="583" ht="14.2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</row>
    <row r="584" ht="14.2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</row>
    <row r="585" ht="14.2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</row>
    <row r="586" ht="14.2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</row>
    <row r="587" ht="14.2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</row>
    <row r="588" ht="14.2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</row>
    <row r="589" ht="14.2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</row>
    <row r="590" ht="14.2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</row>
    <row r="591" ht="14.2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</row>
    <row r="592" ht="14.2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</row>
    <row r="593" ht="14.2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</row>
    <row r="594" ht="14.2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</row>
    <row r="595" ht="14.2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</row>
    <row r="596" ht="14.2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</row>
    <row r="597" ht="14.2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</row>
    <row r="598" ht="14.2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</row>
    <row r="599" ht="14.2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</row>
    <row r="600" ht="14.2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</row>
    <row r="601" ht="14.2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</row>
    <row r="602" ht="14.2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</row>
    <row r="603" ht="14.2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</row>
    <row r="604" ht="14.2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</row>
    <row r="605" ht="14.2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</row>
    <row r="606" ht="14.2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</row>
    <row r="607" ht="14.2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</row>
    <row r="608" ht="14.2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</row>
    <row r="609" ht="14.2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</row>
    <row r="610" ht="14.2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</row>
    <row r="611" ht="14.2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</row>
    <row r="612" ht="14.2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</row>
    <row r="613" ht="14.2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</row>
    <row r="614" ht="14.2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</row>
    <row r="615" ht="14.2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</row>
    <row r="616" ht="14.2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</row>
    <row r="617" ht="14.2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</row>
    <row r="618" ht="14.2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</row>
    <row r="619" ht="14.2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</row>
    <row r="620" ht="14.2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</row>
    <row r="621" ht="14.2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</row>
    <row r="622" ht="14.2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</row>
    <row r="623" ht="14.2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</row>
    <row r="624" ht="14.2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</row>
    <row r="625" ht="14.2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</row>
    <row r="626" ht="14.2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</row>
    <row r="627" ht="14.2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</row>
    <row r="628" ht="14.2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</row>
    <row r="629" ht="14.2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</row>
    <row r="630" ht="14.2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</row>
    <row r="631" ht="14.2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</row>
    <row r="632" ht="14.2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</row>
    <row r="633" ht="14.2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</row>
    <row r="634" ht="14.2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</row>
    <row r="635" ht="14.2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</row>
    <row r="636" ht="14.2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</row>
    <row r="637" ht="14.2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</row>
    <row r="638" ht="14.2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</row>
    <row r="639" ht="14.2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</row>
    <row r="640" ht="14.2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</row>
    <row r="641" ht="14.2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</row>
    <row r="642" ht="14.2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</row>
    <row r="643" ht="14.2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</row>
    <row r="644" ht="14.2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</row>
    <row r="645" ht="14.2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</row>
    <row r="646" ht="14.2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</row>
    <row r="647" ht="14.2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</row>
    <row r="648" ht="14.2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</row>
    <row r="649" ht="14.2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</row>
    <row r="650" ht="14.2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</row>
    <row r="651" ht="14.2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</row>
    <row r="652" ht="14.2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</row>
    <row r="653" ht="14.2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</row>
    <row r="654" ht="14.2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</row>
    <row r="655" ht="14.2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</row>
    <row r="656" ht="14.2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</row>
    <row r="657" ht="14.2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</row>
    <row r="658" ht="14.2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</row>
    <row r="659" ht="14.2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</row>
    <row r="660" ht="14.2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</row>
    <row r="661" ht="14.2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</row>
    <row r="662" ht="14.2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</row>
    <row r="663" ht="14.2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</row>
    <row r="664" ht="14.2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</row>
    <row r="665" ht="14.2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</row>
    <row r="666" ht="14.2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</row>
    <row r="667" ht="14.2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</row>
    <row r="668" ht="14.2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</row>
    <row r="669" ht="14.2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</row>
    <row r="670" ht="14.2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</row>
    <row r="671" ht="14.2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</row>
    <row r="672" ht="14.2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</row>
    <row r="673" ht="14.2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</row>
    <row r="674" ht="14.2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</row>
    <row r="675" ht="14.2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</row>
    <row r="676" ht="14.2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</row>
    <row r="677" ht="14.2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</row>
    <row r="678" ht="14.2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</row>
    <row r="679" ht="14.2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</row>
    <row r="680" ht="14.2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</row>
    <row r="681" ht="14.2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</row>
    <row r="682" ht="14.2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</row>
    <row r="683" ht="14.2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</row>
    <row r="684" ht="14.2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</row>
    <row r="685" ht="14.2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</row>
    <row r="686" ht="14.2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</row>
    <row r="687" ht="14.2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</row>
    <row r="688" ht="14.2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</row>
    <row r="689" ht="14.2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</row>
    <row r="690" ht="14.2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</row>
    <row r="691" ht="14.2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</row>
    <row r="692" ht="14.2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</row>
    <row r="693" ht="14.2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</row>
    <row r="694" ht="14.2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</row>
    <row r="695" ht="14.2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</row>
    <row r="696" ht="14.2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</row>
    <row r="697" ht="14.2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</row>
    <row r="698" ht="14.2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</row>
    <row r="699" ht="14.2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</row>
    <row r="700" ht="14.2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</row>
    <row r="701" ht="14.2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</row>
    <row r="702" ht="14.2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</row>
    <row r="703" ht="14.2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</row>
    <row r="704" ht="14.2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</row>
    <row r="705" ht="14.2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</row>
    <row r="706" ht="14.2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</row>
    <row r="707" ht="14.2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</row>
    <row r="708" ht="14.2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</row>
    <row r="709" ht="14.2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</row>
    <row r="710" ht="14.2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</row>
    <row r="711" ht="14.2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</row>
    <row r="712" ht="14.2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</row>
    <row r="713" ht="14.2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</row>
    <row r="714" ht="14.2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</row>
    <row r="715" ht="14.2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</row>
    <row r="716" ht="14.2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</row>
    <row r="717" ht="14.2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</row>
    <row r="718" ht="14.2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</row>
    <row r="719" ht="14.2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</row>
    <row r="720" ht="14.2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</row>
    <row r="721" ht="14.2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</row>
    <row r="722" ht="14.2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</row>
    <row r="723" ht="14.2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</row>
    <row r="724" ht="14.2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</row>
    <row r="725" ht="14.2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</row>
    <row r="726" ht="14.2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</row>
    <row r="727" ht="14.2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</row>
    <row r="728" ht="14.2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</row>
    <row r="729" ht="14.2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</row>
    <row r="730" ht="14.2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</row>
    <row r="731" ht="14.2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</row>
    <row r="732" ht="14.2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</row>
    <row r="733" ht="14.2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</row>
    <row r="734" ht="14.2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</row>
    <row r="735" ht="14.2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</row>
    <row r="736" ht="14.2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</row>
    <row r="737" ht="14.2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</row>
    <row r="738" ht="14.2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</row>
    <row r="739" ht="14.2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</row>
    <row r="740" ht="14.2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</row>
    <row r="741" ht="14.2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</row>
    <row r="742" ht="14.2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</row>
    <row r="743" ht="14.2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</row>
    <row r="744" ht="14.2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</row>
    <row r="745" ht="14.2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</row>
    <row r="746" ht="14.2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</row>
    <row r="747" ht="14.2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</row>
    <row r="748" ht="14.2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</row>
    <row r="749" ht="14.2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</row>
    <row r="750" ht="14.2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</row>
    <row r="751" ht="14.2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</row>
    <row r="752" ht="14.2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</row>
    <row r="753" ht="14.2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</row>
    <row r="754" ht="14.2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</row>
    <row r="755" ht="14.2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</row>
    <row r="756" ht="14.2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</row>
    <row r="757" ht="14.2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7"/>
    </row>
    <row r="758" ht="14.2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7"/>
    </row>
    <row r="759" ht="14.2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</row>
    <row r="760" ht="14.2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</row>
    <row r="761" ht="14.2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</row>
    <row r="762" ht="14.2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</row>
    <row r="763" ht="14.2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</row>
    <row r="764" ht="14.2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</row>
    <row r="765" ht="14.2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</row>
    <row r="766" ht="14.2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</row>
    <row r="767" ht="14.2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</row>
    <row r="768" ht="14.2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</row>
    <row r="769" ht="14.2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</row>
    <row r="770" ht="14.2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7"/>
    </row>
    <row r="771" ht="14.2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</row>
    <row r="772" ht="14.2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</row>
    <row r="773" ht="14.2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</row>
    <row r="774" ht="14.2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</row>
    <row r="775" ht="14.2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</row>
    <row r="776" ht="14.2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</row>
    <row r="777" ht="14.2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</row>
    <row r="778" ht="14.2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</row>
    <row r="779" ht="14.2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</row>
    <row r="780" ht="14.2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</row>
    <row r="781" ht="14.2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</row>
    <row r="782" ht="14.2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</row>
    <row r="783" ht="14.2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</row>
    <row r="784" ht="14.2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</row>
    <row r="785" ht="14.2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7"/>
    </row>
    <row r="786" ht="14.2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</row>
    <row r="787" ht="14.2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</row>
    <row r="788" ht="14.2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</row>
    <row r="789" ht="14.2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</row>
    <row r="790" ht="14.2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</row>
    <row r="791" ht="14.2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</row>
    <row r="792" ht="14.2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7"/>
    </row>
    <row r="793" ht="14.2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27"/>
    </row>
    <row r="794" ht="14.2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</row>
    <row r="795" ht="14.2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</row>
    <row r="796" ht="14.2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</row>
    <row r="797" ht="14.2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7"/>
    </row>
    <row r="798" ht="14.2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7"/>
    </row>
    <row r="799" ht="14.2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</row>
    <row r="800" ht="14.2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</row>
    <row r="801" ht="14.2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</row>
    <row r="802" ht="14.2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</row>
    <row r="803" ht="14.2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</row>
    <row r="804" ht="14.2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</row>
    <row r="805" ht="14.2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</row>
    <row r="806" ht="14.2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</row>
    <row r="807" ht="14.2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</row>
    <row r="808" ht="14.2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</row>
    <row r="809" ht="14.2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</row>
    <row r="810" ht="14.2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</row>
    <row r="811" ht="14.2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7"/>
    </row>
    <row r="812" ht="14.2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N812" s="27"/>
    </row>
    <row r="813" ht="14.2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27"/>
    </row>
    <row r="814" ht="14.2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</row>
    <row r="815" ht="14.2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</row>
    <row r="816" ht="14.2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7"/>
    </row>
    <row r="817" ht="14.2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7"/>
    </row>
    <row r="818" ht="14.2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7"/>
    </row>
    <row r="819" ht="14.2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</row>
    <row r="820" ht="14.2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</row>
    <row r="821" ht="14.2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</row>
    <row r="822" ht="14.2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</row>
    <row r="823" ht="14.2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</row>
    <row r="824" ht="14.2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</row>
    <row r="825" ht="14.2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</row>
    <row r="826" ht="14.2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</row>
    <row r="827" ht="14.2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</row>
    <row r="828" ht="14.2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7"/>
    </row>
    <row r="829" ht="14.2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</row>
    <row r="830" ht="14.2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7"/>
    </row>
    <row r="831" ht="14.2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</row>
    <row r="832" ht="14.2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7"/>
    </row>
    <row r="833" ht="14.2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7"/>
    </row>
    <row r="834" ht="14.2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</row>
    <row r="835" ht="14.2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</row>
    <row r="836" ht="14.2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7"/>
    </row>
    <row r="837" ht="14.2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7"/>
    </row>
    <row r="838" ht="14.2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</row>
    <row r="839" ht="14.2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</row>
    <row r="840" ht="14.2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</row>
    <row r="841" ht="14.2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7"/>
    </row>
    <row r="842" ht="14.2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7"/>
    </row>
    <row r="843" ht="14.2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</row>
    <row r="844" ht="14.2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</row>
    <row r="845" ht="14.2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27"/>
    </row>
    <row r="846" ht="14.2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27"/>
    </row>
    <row r="847" ht="14.2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</row>
    <row r="848" ht="14.2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7"/>
    </row>
    <row r="849" ht="14.2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</row>
    <row r="850" ht="14.2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</row>
    <row r="851" ht="14.2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</row>
    <row r="852" ht="14.2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N852" s="27"/>
    </row>
    <row r="853" ht="14.2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27"/>
    </row>
    <row r="854" ht="14.2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</row>
    <row r="855" ht="14.2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</row>
    <row r="856" ht="14.2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7"/>
    </row>
    <row r="857" ht="14.2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7"/>
    </row>
    <row r="858" ht="14.2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7"/>
    </row>
    <row r="859" ht="14.2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</row>
    <row r="860" ht="14.2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7"/>
    </row>
    <row r="861" ht="14.2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7"/>
    </row>
    <row r="862" ht="14.2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7"/>
    </row>
    <row r="863" ht="14.2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</row>
    <row r="864" ht="14.2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</row>
    <row r="865" ht="14.2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</row>
    <row r="866" ht="14.2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7"/>
    </row>
    <row r="867" ht="14.2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</row>
    <row r="868" ht="14.2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</row>
    <row r="869" ht="14.2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</row>
    <row r="870" ht="14.2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</row>
    <row r="871" ht="14.2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</row>
    <row r="872" ht="14.2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7"/>
    </row>
    <row r="873" ht="14.2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27"/>
    </row>
    <row r="874" ht="14.2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</row>
    <row r="875" ht="14.2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7"/>
    </row>
    <row r="876" ht="14.2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N876" s="27"/>
    </row>
    <row r="877" ht="14.2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27"/>
    </row>
    <row r="878" ht="14.2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27"/>
    </row>
    <row r="879" ht="14.2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</row>
    <row r="880" ht="14.2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N880" s="27"/>
    </row>
    <row r="881" ht="14.2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</row>
    <row r="882" ht="14.2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</row>
    <row r="883" ht="14.2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7"/>
    </row>
    <row r="884" ht="14.2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</row>
    <row r="885" ht="14.2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7"/>
    </row>
    <row r="886" ht="14.2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7"/>
    </row>
    <row r="887" ht="14.2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</row>
    <row r="888" ht="14.2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</row>
    <row r="889" ht="14.2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</row>
    <row r="890" ht="14.2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7"/>
    </row>
    <row r="891" ht="14.2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</row>
    <row r="892" ht="14.2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</row>
    <row r="893" ht="14.2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</row>
    <row r="894" ht="14.2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</row>
    <row r="895" ht="14.2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</row>
    <row r="896" ht="14.2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7"/>
    </row>
    <row r="897" ht="14.2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7"/>
    </row>
    <row r="898" ht="14.2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</row>
    <row r="899" ht="14.2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</row>
    <row r="900" ht="14.2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7"/>
    </row>
    <row r="901" ht="14.2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27"/>
    </row>
    <row r="902" ht="14.2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27"/>
    </row>
    <row r="903" ht="14.2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7"/>
    </row>
    <row r="904" ht="14.2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</row>
    <row r="905" ht="14.2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7"/>
    </row>
    <row r="906" ht="14.2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7"/>
    </row>
    <row r="907" ht="14.2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</row>
    <row r="908" ht="14.2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7"/>
    </row>
    <row r="909" ht="14.2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</row>
    <row r="910" ht="14.2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</row>
    <row r="911" ht="14.2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</row>
    <row r="912" ht="14.2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7"/>
    </row>
    <row r="913" ht="14.2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7"/>
    </row>
    <row r="914" ht="14.2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</row>
    <row r="915" ht="14.2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</row>
    <row r="916" ht="14.2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</row>
    <row r="917" ht="14.2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</row>
    <row r="918" ht="14.2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</row>
    <row r="919" ht="14.2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</row>
    <row r="920" ht="14.2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</row>
    <row r="921" ht="14.2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</row>
    <row r="922" ht="14.2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</row>
    <row r="923" ht="14.2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</row>
    <row r="924" ht="14.2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</row>
    <row r="925" ht="14.2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</row>
    <row r="926" ht="14.2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</row>
    <row r="927" ht="14.2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</row>
    <row r="928" ht="14.2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</row>
    <row r="929" ht="14.2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</row>
    <row r="930" ht="14.2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</row>
    <row r="931" ht="14.2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</row>
    <row r="932" ht="14.2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</row>
    <row r="933" ht="14.2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</row>
    <row r="934" ht="14.2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</row>
    <row r="935" ht="14.2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</row>
    <row r="936" ht="14.2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</row>
    <row r="937" ht="14.2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27"/>
    </row>
    <row r="938" ht="14.2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27"/>
    </row>
    <row r="939" ht="14.2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</row>
    <row r="940" ht="14.2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7"/>
    </row>
    <row r="941" ht="14.2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27"/>
    </row>
    <row r="942" ht="14.2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27"/>
    </row>
    <row r="943" ht="14.2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7"/>
    </row>
    <row r="944" ht="14.2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</row>
    <row r="945" ht="14.2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7"/>
    </row>
    <row r="946" ht="14.2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</row>
    <row r="947" ht="14.2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</row>
    <row r="948" ht="14.2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</row>
    <row r="949" ht="14.2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</row>
    <row r="950" ht="14.2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</row>
    <row r="951" ht="14.2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</row>
    <row r="952" ht="14.2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7"/>
    </row>
    <row r="953" ht="14.2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</row>
    <row r="954" ht="14.2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</row>
    <row r="955" ht="14.2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</row>
    <row r="956" ht="14.2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7"/>
    </row>
    <row r="957" ht="14.2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7"/>
    </row>
    <row r="958" ht="14.2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7"/>
    </row>
    <row r="959" ht="14.2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</row>
    <row r="960" ht="14.2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7"/>
    </row>
    <row r="961" ht="14.2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27"/>
    </row>
    <row r="962" ht="14.2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27"/>
    </row>
    <row r="963" ht="14.2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27"/>
    </row>
    <row r="964" ht="14.2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27"/>
    </row>
    <row r="965" ht="14.2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N965" s="27"/>
    </row>
    <row r="966" ht="14.2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  <c r="AN966" s="27"/>
    </row>
    <row r="967" ht="14.2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N967" s="27"/>
    </row>
    <row r="968" ht="14.2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  <c r="AN968" s="27"/>
    </row>
    <row r="969" ht="14.2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  <c r="AN969" s="27"/>
    </row>
    <row r="970" ht="14.2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N970" s="27"/>
    </row>
    <row r="971" ht="14.2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N971" s="27"/>
    </row>
    <row r="972" ht="14.2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  <c r="AN972" s="27"/>
    </row>
    <row r="973" ht="14.2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N973" s="27"/>
    </row>
    <row r="974" ht="14.2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7"/>
    </row>
    <row r="975" ht="14.2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27"/>
    </row>
    <row r="976" ht="14.2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7"/>
    </row>
    <row r="977" ht="14.2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27"/>
    </row>
    <row r="978" ht="14.2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27"/>
    </row>
    <row r="979" ht="14.2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7"/>
    </row>
    <row r="980" ht="14.2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27"/>
    </row>
    <row r="981" ht="14.2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27"/>
    </row>
    <row r="982" ht="14.2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27"/>
    </row>
    <row r="983" ht="14.2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</row>
    <row r="984" ht="14.2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</row>
    <row r="985" ht="14.2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27"/>
    </row>
    <row r="986" ht="14.2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27"/>
    </row>
    <row r="987" ht="14.2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</row>
    <row r="988" ht="14.2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7"/>
    </row>
    <row r="989" ht="14.2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27"/>
    </row>
    <row r="990" ht="14.2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27"/>
    </row>
    <row r="991" ht="14.2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</row>
    <row r="992" ht="14.2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</row>
    <row r="993" ht="14.2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  <c r="AL993" s="27"/>
      <c r="AM993" s="27"/>
      <c r="AN993" s="27"/>
    </row>
    <row r="994" ht="14.2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  <c r="AM994" s="27"/>
      <c r="AN994" s="27"/>
    </row>
    <row r="995" ht="14.2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  <c r="AJ995" s="27"/>
      <c r="AK995" s="27"/>
      <c r="AL995" s="27"/>
      <c r="AM995" s="27"/>
      <c r="AN995" s="27"/>
    </row>
    <row r="996" ht="14.2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  <c r="AI996" s="27"/>
      <c r="AJ996" s="27"/>
      <c r="AK996" s="27"/>
      <c r="AL996" s="27"/>
      <c r="AM996" s="27"/>
      <c r="AN996" s="27"/>
    </row>
    <row r="997" ht="14.2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  <c r="AI997" s="27"/>
      <c r="AJ997" s="27"/>
      <c r="AK997" s="27"/>
      <c r="AL997" s="27"/>
      <c r="AM997" s="27"/>
      <c r="AN997" s="27"/>
    </row>
    <row r="998" ht="14.2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  <c r="AI998" s="27"/>
      <c r="AJ998" s="27"/>
      <c r="AK998" s="27"/>
      <c r="AL998" s="27"/>
      <c r="AM998" s="27"/>
      <c r="AN998" s="27"/>
    </row>
    <row r="999" ht="14.2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  <c r="AH999" s="27"/>
      <c r="AI999" s="27"/>
      <c r="AJ999" s="27"/>
      <c r="AK999" s="27"/>
      <c r="AL999" s="27"/>
      <c r="AM999" s="27"/>
      <c r="AN999" s="27"/>
    </row>
    <row r="1000" ht="14.2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  <c r="AG1000" s="27"/>
      <c r="AH1000" s="27"/>
      <c r="AI1000" s="27"/>
      <c r="AJ1000" s="27"/>
      <c r="AK1000" s="27"/>
      <c r="AL1000" s="27"/>
      <c r="AM1000" s="27"/>
      <c r="AN1000" s="27"/>
    </row>
  </sheetData>
  <mergeCells count="52">
    <mergeCell ref="P95:W95"/>
    <mergeCell ref="P96:W96"/>
    <mergeCell ref="P70:W70"/>
    <mergeCell ref="P74:W74"/>
    <mergeCell ref="P83:W83"/>
    <mergeCell ref="Q85:T85"/>
    <mergeCell ref="P88:W88"/>
    <mergeCell ref="P91:W91"/>
    <mergeCell ref="P92:W92"/>
    <mergeCell ref="A1:AI2"/>
    <mergeCell ref="A5:AI5"/>
    <mergeCell ref="B7:E7"/>
    <mergeCell ref="Q7:T7"/>
    <mergeCell ref="A10:H10"/>
    <mergeCell ref="P10:W10"/>
    <mergeCell ref="P14:W14"/>
    <mergeCell ref="A14:H14"/>
    <mergeCell ref="A18:H18"/>
    <mergeCell ref="P18:W18"/>
    <mergeCell ref="AE21:AI21"/>
    <mergeCell ref="P22:W22"/>
    <mergeCell ref="AE22:AI22"/>
    <mergeCell ref="P26:W26"/>
    <mergeCell ref="AE25:AI25"/>
    <mergeCell ref="AE26:AI26"/>
    <mergeCell ref="P30:W30"/>
    <mergeCell ref="P34:W34"/>
    <mergeCell ref="A45:AI45"/>
    <mergeCell ref="B47:E47"/>
    <mergeCell ref="Q47:T47"/>
    <mergeCell ref="A58:H58"/>
    <mergeCell ref="A62:H62"/>
    <mergeCell ref="A66:H66"/>
    <mergeCell ref="A70:H70"/>
    <mergeCell ref="A74:H74"/>
    <mergeCell ref="A78:H78"/>
    <mergeCell ref="A22:H22"/>
    <mergeCell ref="A26:H26"/>
    <mergeCell ref="A30:H30"/>
    <mergeCell ref="A34:H34"/>
    <mergeCell ref="A38:H38"/>
    <mergeCell ref="A50:H50"/>
    <mergeCell ref="A54:H54"/>
    <mergeCell ref="AE65:AI65"/>
    <mergeCell ref="AE66:AI66"/>
    <mergeCell ref="P50:W50"/>
    <mergeCell ref="P54:W54"/>
    <mergeCell ref="P58:W58"/>
    <mergeCell ref="AE61:AI61"/>
    <mergeCell ref="P62:W62"/>
    <mergeCell ref="AE62:AI62"/>
    <mergeCell ref="P66:W66"/>
  </mergeCells>
  <printOptions/>
  <pageMargins bottom="1.0" footer="0.0" header="0.0" left="0.75" right="0.75" top="1.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64.63"/>
    <col customWidth="1" min="3" max="3" width="9.13"/>
    <col customWidth="1" min="4" max="4" width="24.75"/>
    <col customWidth="1" min="5" max="8" width="9.13"/>
    <col customWidth="1" min="9" max="36" width="8.63"/>
  </cols>
  <sheetData>
    <row r="1">
      <c r="A1" s="1" t="s">
        <v>0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</row>
    <row r="2" ht="15.0" customHeight="1">
      <c r="A2" s="130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  <c r="AG2" s="129"/>
      <c r="AH2" s="129"/>
      <c r="AI2" s="129"/>
      <c r="AJ2" s="129"/>
    </row>
    <row r="3" ht="15.0" customHeight="1">
      <c r="A3" s="131"/>
      <c r="B3" s="131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</row>
    <row r="4" ht="15.0" customHeight="1">
      <c r="A4" s="131"/>
      <c r="B4" s="131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</row>
    <row r="5">
      <c r="A5" s="132"/>
      <c r="B5" s="133" t="s">
        <v>94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</row>
    <row r="6" ht="15.0" customHeight="1">
      <c r="A6" s="134">
        <v>1.0</v>
      </c>
      <c r="B6" s="135" t="s">
        <v>95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</row>
    <row r="7" ht="15.0" customHeight="1">
      <c r="A7" s="134">
        <v>2.0</v>
      </c>
      <c r="B7" s="135" t="s">
        <v>96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</row>
    <row r="8" ht="15.0" customHeight="1">
      <c r="A8" s="134">
        <v>3.0</v>
      </c>
      <c r="B8" s="135" t="s">
        <v>97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</row>
    <row r="9" ht="15.0" customHeight="1">
      <c r="A9" s="134">
        <v>4.0</v>
      </c>
      <c r="B9" s="135" t="s">
        <v>98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</row>
    <row r="10" ht="15.0" customHeight="1">
      <c r="A10" s="134">
        <v>5.0</v>
      </c>
      <c r="B10" s="135" t="s">
        <v>99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</row>
    <row r="11" ht="15.0" customHeight="1">
      <c r="A11" s="134">
        <v>6.0</v>
      </c>
      <c r="B11" s="135" t="s">
        <v>100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</row>
    <row r="12" ht="15.0" customHeight="1">
      <c r="A12" s="132"/>
      <c r="B12" s="132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</row>
    <row r="13">
      <c r="A13" s="132"/>
      <c r="B13" s="136" t="s">
        <v>101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</row>
    <row r="14" ht="15.0" customHeight="1">
      <c r="A14" s="137">
        <v>1.0</v>
      </c>
      <c r="B14" s="135" t="s">
        <v>102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</row>
    <row r="15" ht="15.0" customHeight="1">
      <c r="A15" s="137">
        <v>2.0</v>
      </c>
      <c r="B15" s="135" t="s">
        <v>103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</row>
    <row r="16" ht="15.0" customHeight="1">
      <c r="A16" s="137">
        <v>3.0</v>
      </c>
      <c r="B16" s="135" t="s">
        <v>104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</row>
    <row r="17" ht="15.0" customHeight="1">
      <c r="A17" s="137">
        <v>4.0</v>
      </c>
      <c r="B17" s="135" t="s">
        <v>105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</row>
    <row r="18" ht="15.0" customHeight="1">
      <c r="A18" s="137">
        <v>5.0</v>
      </c>
      <c r="B18" s="135" t="s">
        <v>106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</row>
    <row r="19" ht="15.0" customHeight="1">
      <c r="A19" s="137">
        <v>6.0</v>
      </c>
      <c r="B19" s="135" t="s">
        <v>107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</row>
    <row r="20" ht="15.0" customHeight="1">
      <c r="A20" s="132"/>
      <c r="B20" s="132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</row>
    <row r="21">
      <c r="A21" s="132"/>
      <c r="B21" s="138" t="s">
        <v>108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</row>
    <row r="22" ht="15.0" customHeight="1">
      <c r="A22" s="137">
        <v>1.0</v>
      </c>
      <c r="B22" s="135" t="s">
        <v>109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</row>
    <row r="23" ht="15.0" customHeight="1">
      <c r="A23" s="137">
        <v>2.0</v>
      </c>
      <c r="B23" s="135" t="s">
        <v>110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</row>
    <row r="24" ht="15.0" customHeight="1">
      <c r="A24" s="137">
        <v>3.0</v>
      </c>
      <c r="B24" s="135" t="s">
        <v>111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</row>
    <row r="25" ht="15.0" customHeight="1">
      <c r="A25" s="137">
        <v>4.0</v>
      </c>
      <c r="B25" s="135" t="s">
        <v>112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</row>
    <row r="26" ht="15.0" customHeight="1">
      <c r="A26" s="137">
        <v>5.0</v>
      </c>
      <c r="B26" s="135" t="s">
        <v>113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</row>
    <row r="27" ht="15.0" customHeight="1">
      <c r="A27" s="132"/>
      <c r="B27" s="132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</row>
    <row r="28">
      <c r="A28" s="132"/>
      <c r="B28" s="139" t="s">
        <v>114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</row>
    <row r="29" ht="15.0" customHeight="1">
      <c r="A29" s="137">
        <v>1.0</v>
      </c>
      <c r="B29" s="135" t="s">
        <v>115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</row>
    <row r="30" ht="15.0" customHeight="1">
      <c r="A30" s="137">
        <v>2.0</v>
      </c>
      <c r="B30" s="135" t="s">
        <v>116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</row>
    <row r="31" ht="15.0" customHeight="1">
      <c r="A31" s="137">
        <v>3.0</v>
      </c>
      <c r="B31" s="135" t="s">
        <v>117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</row>
    <row r="32" ht="15.0" customHeight="1">
      <c r="A32" s="137">
        <v>4.0</v>
      </c>
      <c r="B32" s="135" t="s">
        <v>118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</row>
    <row r="33" ht="15.0" customHeight="1">
      <c r="A33" s="137">
        <v>5.0</v>
      </c>
      <c r="B33" s="135" t="s">
        <v>119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</row>
    <row r="34" ht="12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</row>
    <row r="35" ht="12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</row>
    <row r="36" ht="12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</row>
    <row r="37" ht="12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</row>
    <row r="38" ht="12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</row>
    <row r="39" ht="12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</row>
    <row r="40" ht="12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</row>
    <row r="41" ht="12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</row>
    <row r="42" ht="12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</row>
    <row r="43" ht="12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</row>
    <row r="44" ht="12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</row>
    <row r="45" ht="12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</row>
    <row r="46" ht="12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</row>
    <row r="47" ht="12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</row>
    <row r="48" ht="12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</row>
    <row r="49" ht="12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</row>
    <row r="50" ht="12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</row>
    <row r="51" ht="12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</row>
    <row r="52" ht="12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</row>
    <row r="53" ht="12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</row>
    <row r="54" ht="12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</row>
    <row r="55" ht="12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</row>
    <row r="56" ht="12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</row>
    <row r="57" ht="12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</row>
    <row r="58" ht="12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</row>
    <row r="59" ht="12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</row>
    <row r="60" ht="12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</row>
    <row r="61" ht="12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</row>
    <row r="62" ht="12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</row>
    <row r="63" ht="12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</row>
    <row r="64" ht="12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</row>
    <row r="65" ht="12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</row>
    <row r="66" ht="12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</row>
    <row r="67" ht="12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</row>
    <row r="68" ht="12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</row>
    <row r="69" ht="12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</row>
    <row r="70" ht="12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</row>
    <row r="71" ht="12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</row>
    <row r="72" ht="12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</row>
    <row r="73" ht="12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</row>
    <row r="74" ht="12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</row>
    <row r="75" ht="12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</row>
    <row r="76" ht="12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</row>
    <row r="77" ht="12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</row>
    <row r="78" ht="12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</row>
    <row r="79" ht="12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</row>
    <row r="80" ht="12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</row>
    <row r="81" ht="12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</row>
    <row r="82" ht="12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</row>
    <row r="83" ht="12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</row>
    <row r="84" ht="12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</row>
    <row r="85" ht="12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</row>
    <row r="86" ht="12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</row>
    <row r="87" ht="12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</row>
    <row r="88" ht="12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</row>
    <row r="89" ht="12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</row>
    <row r="90" ht="12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</row>
    <row r="91" ht="12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</row>
    <row r="92" ht="12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</row>
    <row r="93" ht="12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</row>
    <row r="94" ht="12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</row>
    <row r="95" ht="12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</row>
    <row r="96" ht="12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</row>
    <row r="97" ht="12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</row>
    <row r="98" ht="12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</row>
    <row r="99" ht="12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</row>
    <row r="100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</row>
    <row r="101" ht="12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</row>
    <row r="102" ht="12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</row>
    <row r="103" ht="12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</row>
    <row r="104" ht="12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</row>
    <row r="105" ht="12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</row>
    <row r="106" ht="12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</row>
    <row r="107" ht="12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</row>
    <row r="108" ht="12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</row>
    <row r="109" ht="12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</row>
    <row r="110" ht="12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</row>
    <row r="111" ht="12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</row>
    <row r="112" ht="12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</row>
    <row r="113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</row>
    <row r="114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</row>
    <row r="115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</row>
    <row r="116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</row>
    <row r="117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</row>
    <row r="118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</row>
    <row r="119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</row>
    <row r="120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</row>
    <row r="121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</row>
    <row r="122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</row>
    <row r="123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</row>
    <row r="124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</row>
    <row r="125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</row>
    <row r="1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</row>
    <row r="127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</row>
    <row r="128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</row>
    <row r="129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</row>
    <row r="130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</row>
    <row r="131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</row>
    <row r="132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</row>
    <row r="133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</row>
    <row r="134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</row>
    <row r="135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</row>
    <row r="13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</row>
    <row r="137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</row>
    <row r="138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</row>
    <row r="139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</row>
    <row r="140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</row>
    <row r="141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</row>
    <row r="142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</row>
    <row r="143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</row>
    <row r="144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</row>
    <row r="145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</row>
    <row r="14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</row>
    <row r="147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</row>
    <row r="148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</row>
    <row r="149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</row>
    <row r="150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</row>
    <row r="151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</row>
    <row r="152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</row>
    <row r="153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</row>
    <row r="154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</row>
    <row r="155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</row>
    <row r="15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</row>
    <row r="157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</row>
    <row r="158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</row>
    <row r="159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</row>
    <row r="160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</row>
    <row r="161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</row>
    <row r="162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</row>
    <row r="163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</row>
    <row r="164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</row>
    <row r="165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</row>
    <row r="166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</row>
    <row r="167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</row>
    <row r="168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</row>
    <row r="169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</row>
    <row r="170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</row>
    <row r="171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</row>
    <row r="172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</row>
    <row r="173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</row>
    <row r="174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</row>
    <row r="175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</row>
    <row r="176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</row>
    <row r="177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</row>
    <row r="178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</row>
    <row r="179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</row>
    <row r="180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</row>
    <row r="181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</row>
    <row r="182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</row>
    <row r="183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</row>
    <row r="184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</row>
    <row r="185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</row>
    <row r="186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</row>
    <row r="187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</row>
    <row r="188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</row>
    <row r="189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</row>
    <row r="190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</row>
    <row r="191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</row>
    <row r="192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</row>
    <row r="193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</row>
    <row r="194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</row>
    <row r="195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</row>
    <row r="196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</row>
    <row r="197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</row>
    <row r="198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</row>
    <row r="199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</row>
    <row r="200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</row>
    <row r="201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</row>
    <row r="202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</row>
    <row r="203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</row>
    <row r="204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</row>
    <row r="205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</row>
    <row r="206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</row>
    <row r="207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</row>
    <row r="208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</row>
    <row r="209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</row>
    <row r="210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</row>
    <row r="211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</row>
    <row r="212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</row>
    <row r="213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</row>
    <row r="214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</row>
    <row r="215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</row>
    <row r="216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</row>
    <row r="217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</row>
    <row r="218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</row>
    <row r="219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</row>
    <row r="220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</row>
    <row r="221" ht="12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</row>
    <row r="222" ht="12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</row>
    <row r="223" ht="12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</row>
    <row r="224" ht="12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</row>
    <row r="225" ht="12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</row>
    <row r="226" ht="12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</row>
    <row r="227" ht="12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</row>
    <row r="228" ht="12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</row>
    <row r="229" ht="12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</row>
    <row r="230" ht="12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</row>
    <row r="231" ht="12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</row>
    <row r="232" ht="12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</row>
    <row r="233" ht="12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</row>
    <row r="234" ht="12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</row>
    <row r="235" ht="12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</row>
    <row r="236" ht="12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</row>
    <row r="237" ht="12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</row>
    <row r="238" ht="12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</row>
    <row r="239" ht="12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</row>
    <row r="240" ht="12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</row>
    <row r="241" ht="12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</row>
    <row r="242" ht="12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</row>
    <row r="243" ht="12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</row>
    <row r="244" ht="12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</row>
    <row r="245" ht="12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</row>
    <row r="246" ht="12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</row>
    <row r="247" ht="12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</row>
    <row r="248" ht="12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</row>
    <row r="249" ht="12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</row>
    <row r="250" ht="12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</row>
    <row r="251" ht="12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</row>
    <row r="252" ht="12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</row>
    <row r="253" ht="12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</row>
    <row r="254" ht="12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</row>
    <row r="255" ht="12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</row>
    <row r="256" ht="12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</row>
    <row r="257" ht="12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</row>
    <row r="258" ht="12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</row>
    <row r="259" ht="12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</row>
    <row r="260" ht="12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</row>
    <row r="261" ht="12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</row>
    <row r="262" ht="12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</row>
    <row r="263" ht="12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</row>
    <row r="264" ht="12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</row>
    <row r="265" ht="12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</row>
    <row r="266" ht="12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</row>
    <row r="267" ht="12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</row>
    <row r="268" ht="12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</row>
    <row r="269" ht="12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</row>
    <row r="270" ht="12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</row>
    <row r="271" ht="12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</row>
    <row r="272" ht="12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</row>
    <row r="273" ht="12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</row>
    <row r="274" ht="12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</row>
    <row r="275" ht="12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</row>
    <row r="276" ht="12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</row>
    <row r="277" ht="12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</row>
    <row r="278" ht="12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</row>
    <row r="279" ht="12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</row>
    <row r="280" ht="12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</row>
    <row r="281" ht="12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</row>
    <row r="282" ht="12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</row>
    <row r="283" ht="12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</row>
    <row r="284" ht="12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</row>
    <row r="285" ht="12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</row>
    <row r="286" ht="12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</row>
    <row r="287" ht="12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</row>
    <row r="288" ht="12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</row>
    <row r="289" ht="12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</row>
    <row r="290" ht="12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</row>
    <row r="291" ht="12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</row>
    <row r="292" ht="12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</row>
    <row r="293" ht="12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</row>
    <row r="294" ht="12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</row>
    <row r="295" ht="12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</row>
    <row r="296" ht="12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</row>
    <row r="297" ht="12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</row>
    <row r="298" ht="12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</row>
    <row r="299" ht="12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</row>
    <row r="300" ht="12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</row>
    <row r="301" ht="12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</row>
    <row r="302" ht="12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</row>
    <row r="303" ht="12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</row>
    <row r="304" ht="12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</row>
    <row r="305" ht="12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</row>
    <row r="306" ht="12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</row>
    <row r="307" ht="12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</row>
    <row r="308" ht="12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</row>
    <row r="309" ht="12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</row>
    <row r="310" ht="12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</row>
    <row r="311" ht="12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</row>
    <row r="312" ht="12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</row>
    <row r="313" ht="12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</row>
    <row r="314" ht="12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</row>
    <row r="315" ht="12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</row>
    <row r="316" ht="12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</row>
    <row r="317" ht="12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</row>
    <row r="318" ht="12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</row>
    <row r="319" ht="12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</row>
    <row r="320" ht="12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</row>
    <row r="321" ht="12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</row>
    <row r="322" ht="12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</row>
    <row r="323" ht="12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</row>
    <row r="324" ht="12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</row>
    <row r="325" ht="12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</row>
    <row r="326" ht="12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</row>
    <row r="327" ht="12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</row>
    <row r="328" ht="12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</row>
    <row r="329" ht="12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</row>
    <row r="330" ht="12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</row>
    <row r="331" ht="12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</row>
    <row r="332" ht="12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</row>
    <row r="333" ht="12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</row>
    <row r="334" ht="12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</row>
    <row r="335" ht="12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</row>
    <row r="336" ht="12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</row>
    <row r="337" ht="12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</row>
    <row r="338" ht="12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</row>
    <row r="339" ht="12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</row>
    <row r="340" ht="12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</row>
    <row r="341" ht="12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</row>
    <row r="342" ht="12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</row>
    <row r="343" ht="12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</row>
    <row r="344" ht="12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</row>
    <row r="345" ht="12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</row>
    <row r="346" ht="12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</row>
    <row r="347" ht="12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</row>
    <row r="348" ht="12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</row>
    <row r="349" ht="12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</row>
    <row r="350" ht="12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</row>
    <row r="351" ht="12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</row>
    <row r="352" ht="12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</row>
    <row r="353" ht="12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</row>
    <row r="354" ht="12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</row>
    <row r="355" ht="12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</row>
    <row r="356" ht="12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</row>
    <row r="357" ht="12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</row>
    <row r="358" ht="12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</row>
    <row r="359" ht="12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</row>
    <row r="360" ht="12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</row>
    <row r="361" ht="12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</row>
    <row r="362" ht="12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</row>
    <row r="363" ht="12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</row>
    <row r="364" ht="12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</row>
    <row r="365" ht="12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</row>
    <row r="366" ht="12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</row>
    <row r="367" ht="12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</row>
    <row r="368" ht="12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</row>
    <row r="369" ht="12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</row>
    <row r="370" ht="12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</row>
    <row r="371" ht="12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</row>
    <row r="372" ht="12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</row>
    <row r="373" ht="12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</row>
    <row r="374" ht="12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</row>
    <row r="375" ht="12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</row>
    <row r="376" ht="12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</row>
    <row r="377" ht="12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</row>
    <row r="378" ht="12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</row>
    <row r="379" ht="12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</row>
    <row r="380" ht="12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</row>
    <row r="381" ht="12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</row>
    <row r="382" ht="12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</row>
    <row r="383" ht="12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</row>
    <row r="384" ht="12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</row>
    <row r="385" ht="12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</row>
    <row r="386" ht="12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</row>
    <row r="387" ht="12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</row>
    <row r="388" ht="12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</row>
    <row r="389" ht="12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</row>
    <row r="390" ht="12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</row>
    <row r="391" ht="12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</row>
    <row r="392" ht="12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</row>
    <row r="393" ht="12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</row>
    <row r="394" ht="12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</row>
    <row r="395" ht="12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</row>
    <row r="396" ht="12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</row>
    <row r="397" ht="12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</row>
    <row r="398" ht="12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</row>
    <row r="399" ht="12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</row>
    <row r="400" ht="12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</row>
    <row r="401" ht="12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</row>
    <row r="402" ht="12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</row>
    <row r="403" ht="12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</row>
    <row r="404" ht="12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</row>
    <row r="405" ht="12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</row>
    <row r="406" ht="12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</row>
    <row r="407" ht="12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</row>
    <row r="408" ht="12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</row>
    <row r="409" ht="12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</row>
    <row r="410" ht="12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</row>
    <row r="411" ht="12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</row>
    <row r="412" ht="12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</row>
    <row r="413" ht="12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</row>
    <row r="414" ht="12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</row>
    <row r="415" ht="12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</row>
    <row r="416" ht="12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</row>
    <row r="417" ht="12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</row>
    <row r="418" ht="12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</row>
    <row r="419" ht="12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</row>
    <row r="420" ht="12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</row>
    <row r="421" ht="12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</row>
    <row r="422" ht="12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</row>
    <row r="423" ht="12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</row>
    <row r="424" ht="12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</row>
    <row r="425" ht="12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</row>
    <row r="426" ht="12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</row>
    <row r="427" ht="12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</row>
    <row r="428" ht="12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</row>
    <row r="429" ht="12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</row>
    <row r="430" ht="12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</row>
    <row r="431" ht="12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</row>
    <row r="432" ht="12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</row>
    <row r="433" ht="12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</row>
    <row r="434" ht="12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</row>
    <row r="435" ht="12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</row>
    <row r="436" ht="12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</row>
    <row r="437" ht="12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</row>
    <row r="438" ht="12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</row>
    <row r="439" ht="12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</row>
    <row r="440" ht="12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</row>
    <row r="441" ht="12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</row>
    <row r="442" ht="12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</row>
    <row r="443" ht="12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</row>
    <row r="444" ht="12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</row>
    <row r="445" ht="12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</row>
    <row r="446" ht="12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</row>
    <row r="447" ht="12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</row>
    <row r="448" ht="12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</row>
    <row r="449" ht="12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</row>
    <row r="450" ht="12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</row>
    <row r="451" ht="12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</row>
    <row r="452" ht="12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</row>
    <row r="453" ht="12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</row>
    <row r="454" ht="12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</row>
    <row r="455" ht="12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</row>
    <row r="456" ht="12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</row>
    <row r="457" ht="12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</row>
    <row r="458" ht="12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</row>
    <row r="459" ht="12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</row>
    <row r="460" ht="12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</row>
    <row r="461" ht="12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</row>
    <row r="462" ht="12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</row>
    <row r="463" ht="12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</row>
    <row r="464" ht="12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</row>
    <row r="465" ht="12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</row>
    <row r="466" ht="12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</row>
    <row r="467" ht="12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</row>
    <row r="468" ht="12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</row>
    <row r="469" ht="12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</row>
    <row r="470" ht="12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</row>
    <row r="471" ht="12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</row>
    <row r="472" ht="12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</row>
    <row r="473" ht="12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</row>
    <row r="474" ht="12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</row>
    <row r="475" ht="12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</row>
    <row r="476" ht="12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</row>
    <row r="477" ht="12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</row>
    <row r="478" ht="12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</row>
    <row r="479" ht="12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</row>
    <row r="480" ht="12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</row>
    <row r="481" ht="12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</row>
    <row r="482" ht="12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</row>
    <row r="483" ht="12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</row>
    <row r="484" ht="12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</row>
    <row r="485" ht="12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</row>
    <row r="486" ht="12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</row>
    <row r="487" ht="12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</row>
    <row r="488" ht="12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</row>
    <row r="489" ht="12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</row>
    <row r="490" ht="12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</row>
    <row r="491" ht="12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</row>
    <row r="492" ht="12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</row>
    <row r="493" ht="12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</row>
    <row r="494" ht="12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</row>
    <row r="495" ht="12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</row>
    <row r="496" ht="12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</row>
    <row r="497" ht="12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</row>
    <row r="498" ht="12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</row>
    <row r="499" ht="12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</row>
    <row r="500" ht="12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</row>
    <row r="501" ht="12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</row>
    <row r="502" ht="12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</row>
    <row r="503" ht="12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</row>
    <row r="504" ht="12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</row>
    <row r="505" ht="12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</row>
    <row r="506" ht="12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</row>
    <row r="507" ht="12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</row>
    <row r="508" ht="12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</row>
    <row r="509" ht="12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</row>
    <row r="510" ht="12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</row>
    <row r="511" ht="12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</row>
    <row r="512" ht="12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</row>
    <row r="513" ht="12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</row>
    <row r="514" ht="12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</row>
    <row r="515" ht="12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</row>
    <row r="516" ht="12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</row>
    <row r="517" ht="12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</row>
    <row r="518" ht="12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</row>
    <row r="519" ht="12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</row>
    <row r="520" ht="12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</row>
    <row r="521" ht="12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</row>
    <row r="522" ht="12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</row>
    <row r="523" ht="12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</row>
    <row r="524" ht="12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</row>
    <row r="525" ht="12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</row>
    <row r="526" ht="12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</row>
    <row r="527" ht="12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</row>
    <row r="528" ht="12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</row>
    <row r="529" ht="12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</row>
    <row r="530" ht="12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</row>
    <row r="531" ht="12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</row>
    <row r="532" ht="12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</row>
    <row r="533" ht="12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</row>
    <row r="534" ht="12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</row>
    <row r="535" ht="12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</row>
    <row r="536" ht="12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</row>
    <row r="537" ht="12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</row>
    <row r="538" ht="12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</row>
    <row r="539" ht="12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</row>
    <row r="540" ht="12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</row>
    <row r="541" ht="12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</row>
    <row r="542" ht="12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</row>
    <row r="543" ht="12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</row>
    <row r="544" ht="12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</row>
    <row r="545" ht="12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</row>
    <row r="546" ht="12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</row>
    <row r="547" ht="12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</row>
    <row r="548" ht="12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</row>
    <row r="549" ht="12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</row>
    <row r="550" ht="12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</row>
    <row r="551" ht="12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</row>
    <row r="552" ht="12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</row>
    <row r="553" ht="12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</row>
    <row r="554" ht="12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</row>
    <row r="555" ht="12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</row>
    <row r="556" ht="12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</row>
    <row r="557" ht="12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</row>
    <row r="558" ht="12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</row>
    <row r="559" ht="12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</row>
    <row r="560" ht="12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</row>
    <row r="561" ht="12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</row>
    <row r="562" ht="12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</row>
    <row r="563" ht="12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</row>
    <row r="564" ht="12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</row>
    <row r="565" ht="12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</row>
    <row r="566" ht="12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</row>
    <row r="567" ht="12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</row>
    <row r="568" ht="12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</row>
    <row r="569" ht="12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</row>
    <row r="570" ht="12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</row>
    <row r="571" ht="12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</row>
    <row r="572" ht="12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</row>
    <row r="573" ht="12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</row>
    <row r="574" ht="12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</row>
    <row r="575" ht="12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</row>
    <row r="576" ht="12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</row>
    <row r="577" ht="12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</row>
    <row r="578" ht="12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</row>
    <row r="579" ht="12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</row>
    <row r="580" ht="12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</row>
    <row r="581" ht="12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</row>
    <row r="582" ht="12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</row>
    <row r="583" ht="12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</row>
    <row r="584" ht="12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</row>
    <row r="585" ht="12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</row>
    <row r="586" ht="12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</row>
    <row r="587" ht="12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</row>
    <row r="588" ht="12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</row>
    <row r="589" ht="12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</row>
    <row r="590" ht="12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</row>
    <row r="591" ht="12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</row>
    <row r="592" ht="12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</row>
    <row r="593" ht="12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</row>
    <row r="594" ht="12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</row>
    <row r="595" ht="12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</row>
    <row r="596" ht="12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</row>
    <row r="597" ht="12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</row>
    <row r="598" ht="12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</row>
    <row r="599" ht="12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</row>
    <row r="600" ht="12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</row>
    <row r="601" ht="12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</row>
    <row r="602" ht="12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</row>
    <row r="603" ht="12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</row>
    <row r="604" ht="12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</row>
    <row r="605" ht="12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</row>
    <row r="606" ht="12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</row>
    <row r="607" ht="12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</row>
    <row r="608" ht="12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</row>
    <row r="609" ht="12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</row>
    <row r="610" ht="12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</row>
    <row r="611" ht="12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</row>
    <row r="612" ht="12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</row>
    <row r="613" ht="12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</row>
    <row r="614" ht="12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</row>
    <row r="615" ht="12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</row>
    <row r="616" ht="12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</row>
    <row r="617" ht="12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</row>
    <row r="618" ht="12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</row>
    <row r="619" ht="12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</row>
    <row r="620" ht="12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</row>
    <row r="621" ht="12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</row>
    <row r="622" ht="12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</row>
    <row r="623" ht="12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</row>
    <row r="624" ht="12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</row>
    <row r="625" ht="12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</row>
    <row r="626" ht="12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</row>
    <row r="627" ht="12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</row>
    <row r="628" ht="12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</row>
    <row r="629" ht="12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</row>
    <row r="630" ht="12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</row>
    <row r="631" ht="12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</row>
    <row r="632" ht="12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</row>
    <row r="633" ht="12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</row>
    <row r="634" ht="12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</row>
    <row r="635" ht="12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</row>
    <row r="636" ht="12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</row>
    <row r="637" ht="12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</row>
    <row r="638" ht="12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</row>
    <row r="639" ht="12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</row>
    <row r="640" ht="12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</row>
    <row r="641" ht="12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</row>
    <row r="642" ht="12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</row>
    <row r="643" ht="12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</row>
    <row r="644" ht="12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</row>
    <row r="645" ht="12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</row>
    <row r="646" ht="12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</row>
    <row r="647" ht="12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</row>
    <row r="648" ht="12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</row>
    <row r="649" ht="12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</row>
    <row r="650" ht="12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</row>
    <row r="651" ht="12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</row>
    <row r="652" ht="12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</row>
    <row r="653" ht="12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</row>
    <row r="654" ht="12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</row>
    <row r="655" ht="12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</row>
    <row r="656" ht="12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</row>
    <row r="657" ht="12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</row>
    <row r="658" ht="12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</row>
    <row r="659" ht="12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</row>
    <row r="660" ht="12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</row>
    <row r="661" ht="12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</row>
    <row r="662" ht="12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</row>
    <row r="663" ht="12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</row>
    <row r="664" ht="12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</row>
    <row r="665" ht="12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</row>
    <row r="666" ht="12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</row>
    <row r="667" ht="12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</row>
    <row r="668" ht="12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</row>
    <row r="669" ht="12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</row>
    <row r="670" ht="12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</row>
    <row r="671" ht="12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</row>
    <row r="672" ht="12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</row>
    <row r="673" ht="12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</row>
    <row r="674" ht="12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</row>
    <row r="675" ht="12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</row>
    <row r="676" ht="12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</row>
    <row r="677" ht="12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</row>
    <row r="678" ht="12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</row>
    <row r="679" ht="12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</row>
    <row r="680" ht="12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</row>
    <row r="681" ht="12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</row>
    <row r="682" ht="12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</row>
    <row r="683" ht="12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</row>
    <row r="684" ht="12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</row>
    <row r="685" ht="12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</row>
    <row r="686" ht="12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</row>
    <row r="687" ht="12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</row>
    <row r="688" ht="12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</row>
    <row r="689" ht="12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</row>
    <row r="690" ht="12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</row>
    <row r="691" ht="12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</row>
    <row r="692" ht="12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</row>
    <row r="693" ht="12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</row>
    <row r="694" ht="12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</row>
    <row r="695" ht="12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</row>
    <row r="696" ht="12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</row>
    <row r="697" ht="12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</row>
    <row r="698" ht="12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</row>
    <row r="699" ht="12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</row>
    <row r="700" ht="12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</row>
    <row r="701" ht="12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</row>
    <row r="702" ht="12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</row>
    <row r="703" ht="12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</row>
    <row r="704" ht="12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</row>
    <row r="705" ht="12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</row>
    <row r="706" ht="12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</row>
    <row r="707" ht="12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</row>
    <row r="708" ht="12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</row>
    <row r="709" ht="12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</row>
    <row r="710" ht="12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</row>
    <row r="711" ht="12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</row>
    <row r="712" ht="12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</row>
    <row r="713" ht="12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</row>
    <row r="714" ht="12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</row>
    <row r="715" ht="12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</row>
    <row r="716" ht="12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</row>
    <row r="717" ht="12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</row>
    <row r="718" ht="12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</row>
    <row r="719" ht="12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</row>
    <row r="720" ht="12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</row>
    <row r="721" ht="12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</row>
    <row r="722" ht="12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</row>
    <row r="723" ht="12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</row>
    <row r="724" ht="12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</row>
    <row r="725" ht="12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</row>
    <row r="726" ht="12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</row>
    <row r="727" ht="12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</row>
    <row r="728" ht="12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</row>
    <row r="729" ht="12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</row>
    <row r="730" ht="12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</row>
    <row r="731" ht="12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</row>
    <row r="732" ht="12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</row>
    <row r="733" ht="12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</row>
    <row r="734" ht="12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</row>
    <row r="735" ht="12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</row>
    <row r="736" ht="12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</row>
    <row r="737" ht="12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</row>
    <row r="738" ht="12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</row>
    <row r="739" ht="12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</row>
    <row r="740" ht="12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</row>
    <row r="741" ht="12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</row>
    <row r="742" ht="12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</row>
    <row r="743" ht="12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</row>
    <row r="744" ht="12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</row>
    <row r="745" ht="12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</row>
    <row r="746" ht="12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</row>
    <row r="747" ht="12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</row>
    <row r="748" ht="12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</row>
    <row r="749" ht="12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</row>
    <row r="750" ht="12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</row>
    <row r="751" ht="12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</row>
    <row r="752" ht="12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</row>
    <row r="753" ht="12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</row>
    <row r="754" ht="12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</row>
    <row r="755" ht="12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</row>
    <row r="756" ht="12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</row>
    <row r="757" ht="12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</row>
    <row r="758" ht="12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</row>
    <row r="759" ht="12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</row>
    <row r="760" ht="12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</row>
    <row r="761" ht="12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</row>
    <row r="762" ht="12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</row>
    <row r="763" ht="12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</row>
    <row r="764" ht="12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</row>
    <row r="765" ht="12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</row>
    <row r="766" ht="12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</row>
    <row r="767" ht="12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</row>
    <row r="768" ht="12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</row>
    <row r="769" ht="12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</row>
    <row r="770" ht="12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</row>
    <row r="771" ht="12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</row>
    <row r="772" ht="12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</row>
    <row r="773" ht="12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</row>
    <row r="774" ht="12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</row>
    <row r="775" ht="12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</row>
    <row r="776" ht="12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</row>
    <row r="777" ht="12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</row>
    <row r="778" ht="12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</row>
    <row r="779" ht="12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</row>
    <row r="780" ht="12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</row>
    <row r="781" ht="12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</row>
    <row r="782" ht="12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</row>
    <row r="783" ht="12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</row>
    <row r="784" ht="12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</row>
    <row r="785" ht="12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</row>
    <row r="786" ht="12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</row>
    <row r="787" ht="12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</row>
    <row r="788" ht="12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</row>
    <row r="789" ht="12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</row>
    <row r="790" ht="12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</row>
    <row r="791" ht="12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</row>
    <row r="792" ht="12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</row>
    <row r="793" ht="12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</row>
    <row r="794" ht="12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</row>
    <row r="795" ht="12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</row>
    <row r="796" ht="12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</row>
    <row r="797" ht="12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</row>
    <row r="798" ht="12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</row>
    <row r="799" ht="12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</row>
    <row r="800" ht="12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</row>
    <row r="801" ht="12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</row>
    <row r="802" ht="12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</row>
    <row r="803" ht="12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</row>
    <row r="804" ht="12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</row>
    <row r="805" ht="12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</row>
    <row r="806" ht="12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</row>
    <row r="807" ht="12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</row>
    <row r="808" ht="12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</row>
    <row r="809" ht="12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</row>
    <row r="810" ht="12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</row>
    <row r="811" ht="12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</row>
    <row r="812" ht="12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</row>
    <row r="813" ht="12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</row>
    <row r="814" ht="12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</row>
    <row r="815" ht="12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</row>
    <row r="816" ht="12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</row>
    <row r="817" ht="12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</row>
    <row r="818" ht="12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</row>
    <row r="819" ht="12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</row>
    <row r="820" ht="12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</row>
    <row r="821" ht="12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</row>
    <row r="822" ht="12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</row>
    <row r="823" ht="12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</row>
    <row r="824" ht="12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</row>
    <row r="825" ht="12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</row>
    <row r="826" ht="12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</row>
    <row r="827" ht="12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</row>
    <row r="828" ht="12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</row>
    <row r="829" ht="12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</row>
    <row r="830" ht="12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</row>
    <row r="831" ht="12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</row>
    <row r="832" ht="12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</row>
    <row r="833" ht="12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</row>
    <row r="834" ht="12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</row>
    <row r="835" ht="12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</row>
    <row r="836" ht="12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</row>
    <row r="837" ht="12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</row>
    <row r="838" ht="12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</row>
    <row r="839" ht="12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</row>
    <row r="840" ht="12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</row>
    <row r="841" ht="12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</row>
    <row r="842" ht="12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</row>
    <row r="843" ht="12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</row>
    <row r="844" ht="12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</row>
    <row r="845" ht="12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</row>
    <row r="846" ht="12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</row>
    <row r="847" ht="12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</row>
    <row r="848" ht="12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</row>
    <row r="849" ht="12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</row>
    <row r="850" ht="12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</row>
    <row r="851" ht="12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</row>
    <row r="852" ht="12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</row>
    <row r="853" ht="12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</row>
    <row r="854" ht="12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</row>
    <row r="855" ht="12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</row>
    <row r="856" ht="12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</row>
    <row r="857" ht="12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</row>
    <row r="858" ht="12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</row>
    <row r="859" ht="12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</row>
    <row r="860" ht="12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</row>
    <row r="861" ht="12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</row>
    <row r="862" ht="12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</row>
    <row r="863" ht="12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</row>
    <row r="864" ht="12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</row>
    <row r="865" ht="12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</row>
    <row r="866" ht="12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</row>
    <row r="867" ht="12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</row>
    <row r="868" ht="12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</row>
    <row r="869" ht="12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</row>
    <row r="870" ht="12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</row>
    <row r="871" ht="12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</row>
    <row r="872" ht="12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</row>
    <row r="873" ht="12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</row>
    <row r="874" ht="12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</row>
    <row r="875" ht="12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</row>
    <row r="876" ht="12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</row>
    <row r="877" ht="12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</row>
    <row r="878" ht="12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</row>
    <row r="879" ht="12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</row>
    <row r="880" ht="12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</row>
    <row r="881" ht="12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</row>
    <row r="882" ht="12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</row>
    <row r="883" ht="12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</row>
    <row r="884" ht="12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</row>
    <row r="885" ht="12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</row>
    <row r="886" ht="12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</row>
    <row r="887" ht="12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</row>
    <row r="888" ht="12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</row>
    <row r="889" ht="12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</row>
    <row r="890" ht="12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</row>
    <row r="891" ht="12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</row>
    <row r="892" ht="12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</row>
    <row r="893" ht="12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</row>
    <row r="894" ht="12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</row>
    <row r="895" ht="12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</row>
    <row r="896" ht="12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</row>
    <row r="897" ht="12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</row>
    <row r="898" ht="12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</row>
    <row r="899" ht="12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</row>
    <row r="900" ht="12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</row>
    <row r="901" ht="12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</row>
    <row r="902" ht="12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</row>
    <row r="903" ht="12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</row>
    <row r="904" ht="12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</row>
    <row r="905" ht="12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</row>
    <row r="906" ht="12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</row>
    <row r="907" ht="12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</row>
    <row r="908" ht="12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</row>
    <row r="909" ht="12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</row>
    <row r="910" ht="12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</row>
    <row r="911" ht="12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</row>
    <row r="912" ht="12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</row>
    <row r="913" ht="12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</row>
    <row r="914" ht="12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</row>
    <row r="915" ht="12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</row>
    <row r="916" ht="12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</row>
    <row r="917" ht="12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</row>
    <row r="918" ht="12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</row>
    <row r="919" ht="12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</row>
    <row r="920" ht="12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</row>
    <row r="921" ht="12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</row>
    <row r="922" ht="12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</row>
    <row r="923" ht="12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</row>
    <row r="924" ht="12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</row>
    <row r="925" ht="12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</row>
    <row r="926" ht="12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</row>
    <row r="927" ht="12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</row>
    <row r="928" ht="12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</row>
    <row r="929" ht="12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</row>
    <row r="930" ht="12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</row>
    <row r="931" ht="12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</row>
    <row r="932" ht="12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</row>
    <row r="933" ht="12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</row>
    <row r="934" ht="12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</row>
    <row r="935" ht="12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</row>
    <row r="936" ht="12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</row>
    <row r="937" ht="12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</row>
    <row r="938" ht="12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</row>
    <row r="939" ht="12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</row>
    <row r="940" ht="12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</row>
    <row r="941" ht="12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</row>
    <row r="942" ht="12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</row>
    <row r="943" ht="12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</row>
    <row r="944" ht="12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</row>
    <row r="945" ht="12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</row>
    <row r="946" ht="12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</row>
    <row r="947" ht="12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</row>
    <row r="948" ht="12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</row>
    <row r="949" ht="12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</row>
    <row r="950" ht="12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</row>
    <row r="951" ht="12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</row>
    <row r="952" ht="12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</row>
    <row r="953" ht="12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</row>
    <row r="954" ht="12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</row>
    <row r="955" ht="12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</row>
    <row r="956" ht="12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</row>
    <row r="957" ht="12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</row>
    <row r="958" ht="12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</row>
    <row r="959" ht="12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</row>
    <row r="960" ht="12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</row>
    <row r="961" ht="12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</row>
    <row r="962" ht="12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</row>
    <row r="963" ht="12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</row>
    <row r="964" ht="12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</row>
    <row r="965" ht="12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</row>
    <row r="966" ht="12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</row>
    <row r="967" ht="12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</row>
    <row r="968" ht="12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</row>
    <row r="969" ht="12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</row>
    <row r="970" ht="12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</row>
    <row r="971" ht="12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</row>
    <row r="972" ht="12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</row>
    <row r="973" ht="12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</row>
    <row r="974" ht="12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</row>
    <row r="975" ht="12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</row>
    <row r="976" ht="12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</row>
    <row r="977" ht="12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</row>
    <row r="978" ht="12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</row>
    <row r="979" ht="12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</row>
    <row r="980" ht="12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</row>
    <row r="981" ht="12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</row>
    <row r="982" ht="12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</row>
    <row r="983" ht="12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</row>
    <row r="984" ht="12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</row>
    <row r="985" ht="12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</row>
    <row r="986" ht="12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</row>
    <row r="987" ht="12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</row>
    <row r="988" ht="12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</row>
    <row r="989" ht="12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</row>
    <row r="990" ht="12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</row>
    <row r="991" ht="12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</row>
    <row r="992" ht="12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</row>
    <row r="993" ht="12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</row>
    <row r="994" ht="12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</row>
    <row r="995" ht="12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</row>
    <row r="996" ht="12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</row>
    <row r="997" ht="12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</row>
    <row r="998" ht="12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</row>
  </sheetData>
  <mergeCells count="1">
    <mergeCell ref="A1:B1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5.75"/>
    <col customWidth="1" min="2" max="2" width="7.0"/>
    <col customWidth="1" hidden="1" min="3" max="3" width="6.13"/>
    <col customWidth="1" min="4" max="4" width="1.75"/>
    <col customWidth="1" min="5" max="5" width="7.0"/>
    <col customWidth="1" hidden="1" min="6" max="6" width="6.13"/>
    <col customWidth="1" min="7" max="7" width="1.75"/>
    <col customWidth="1" min="8" max="8" width="7.0"/>
    <col customWidth="1" hidden="1" min="9" max="9" width="6.13"/>
    <col customWidth="1" hidden="1" min="10" max="10" width="7.75"/>
    <col customWidth="1" hidden="1" min="11" max="11" width="7.38"/>
    <col customWidth="1" hidden="1" min="12" max="12" width="11.25"/>
    <col customWidth="1" hidden="1" min="13" max="13" width="8.0"/>
    <col customWidth="1" hidden="1" min="14" max="14" width="6.13"/>
    <col customWidth="1" min="15" max="15" width="8.75"/>
    <col customWidth="1" min="16" max="16" width="45.75"/>
    <col customWidth="1" min="17" max="17" width="7.0"/>
    <col customWidth="1" hidden="1" min="18" max="18" width="6.13"/>
    <col customWidth="1" min="19" max="19" width="1.75"/>
    <col customWidth="1" min="20" max="20" width="7.0"/>
    <col customWidth="1" hidden="1" min="21" max="21" width="6.13"/>
    <col customWidth="1" min="22" max="22" width="1.75"/>
    <col customWidth="1" min="23" max="23" width="7.0"/>
    <col customWidth="1" hidden="1" min="24" max="24" width="6.13"/>
    <col customWidth="1" hidden="1" min="25" max="25" width="7.75"/>
    <col customWidth="1" hidden="1" min="26" max="26" width="7.38"/>
    <col customWidth="1" hidden="1" min="27" max="27" width="11.25"/>
    <col customWidth="1" hidden="1" min="28" max="28" width="8.0"/>
    <col customWidth="1" hidden="1" min="29" max="29" width="6.13"/>
    <col customWidth="1" min="30" max="30" width="8.75"/>
    <col customWidth="1" min="31" max="31" width="45.75"/>
    <col customWidth="1" min="32" max="32" width="10.0"/>
    <col customWidth="1" min="33" max="35" width="8.75"/>
    <col customWidth="1" hidden="1" min="36" max="36" width="9.25"/>
    <col customWidth="1" hidden="1" min="37" max="37" width="12.0"/>
    <col customWidth="1" hidden="1" min="38" max="38" width="8.0"/>
    <col customWidth="1" hidden="1" min="39" max="40" width="41.13"/>
  </cols>
  <sheetData>
    <row r="1" ht="21.0" customHeight="1">
      <c r="A1" s="22" t="s">
        <v>0</v>
      </c>
    </row>
    <row r="2" ht="21.0" customHeight="1"/>
    <row r="3" ht="14.2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</row>
    <row r="4" ht="14.2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</row>
    <row r="5">
      <c r="A5" s="140" t="s">
        <v>94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6"/>
      <c r="AJ5" s="141"/>
      <c r="AK5" s="141"/>
      <c r="AL5" s="141"/>
      <c r="AM5" s="141"/>
      <c r="AN5" s="141"/>
    </row>
    <row r="6" ht="14.25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</row>
    <row r="7" ht="30.75" customHeight="1">
      <c r="A7" s="142" t="s">
        <v>58</v>
      </c>
      <c r="B7" s="143" t="s">
        <v>59</v>
      </c>
      <c r="C7" s="30"/>
      <c r="D7" s="30"/>
      <c r="E7" s="31"/>
      <c r="F7" s="144"/>
      <c r="G7" s="64"/>
      <c r="H7" s="142" t="s">
        <v>60</v>
      </c>
      <c r="I7" s="34"/>
      <c r="J7" s="34"/>
      <c r="K7" s="34"/>
      <c r="L7" s="34"/>
      <c r="M7" s="35"/>
      <c r="N7" s="35"/>
      <c r="O7" s="34"/>
      <c r="P7" s="142" t="s">
        <v>58</v>
      </c>
      <c r="Q7" s="143" t="s">
        <v>59</v>
      </c>
      <c r="R7" s="30"/>
      <c r="S7" s="30"/>
      <c r="T7" s="31"/>
      <c r="U7" s="144"/>
      <c r="V7" s="64"/>
      <c r="W7" s="142" t="s">
        <v>60</v>
      </c>
      <c r="X7" s="34"/>
      <c r="Y7" s="35"/>
      <c r="Z7" s="35"/>
      <c r="AA7" s="35"/>
      <c r="AB7" s="35"/>
      <c r="AC7" s="35"/>
      <c r="AD7" s="34"/>
      <c r="AE7" s="142" t="s">
        <v>61</v>
      </c>
      <c r="AF7" s="142" t="s">
        <v>62</v>
      </c>
      <c r="AG7" s="142" t="s">
        <v>63</v>
      </c>
      <c r="AH7" s="142" t="s">
        <v>64</v>
      </c>
      <c r="AI7" s="142" t="s">
        <v>65</v>
      </c>
      <c r="AJ7" s="36"/>
      <c r="AK7" s="36"/>
      <c r="AL7" s="36"/>
      <c r="AM7" s="27"/>
      <c r="AN7" s="27"/>
    </row>
    <row r="8" ht="14.25" hidden="1" customHeight="1">
      <c r="A8" s="27"/>
      <c r="B8" s="37" t="s">
        <v>66</v>
      </c>
      <c r="C8" s="37" t="s">
        <v>67</v>
      </c>
      <c r="D8" s="37"/>
      <c r="E8" s="37" t="s">
        <v>66</v>
      </c>
      <c r="F8" s="37" t="s">
        <v>68</v>
      </c>
      <c r="G8" s="37"/>
      <c r="H8" s="37" t="s">
        <v>66</v>
      </c>
      <c r="I8" s="37" t="s">
        <v>69</v>
      </c>
      <c r="J8" s="37" t="s">
        <v>70</v>
      </c>
      <c r="K8" s="37" t="s">
        <v>71</v>
      </c>
      <c r="L8" s="37" t="s">
        <v>72</v>
      </c>
      <c r="M8" s="37" t="s">
        <v>73</v>
      </c>
      <c r="N8" s="37" t="s">
        <v>74</v>
      </c>
      <c r="O8" s="27"/>
      <c r="P8" s="27"/>
      <c r="Q8" s="37" t="s">
        <v>66</v>
      </c>
      <c r="R8" s="37" t="s">
        <v>67</v>
      </c>
      <c r="S8" s="37"/>
      <c r="T8" s="37" t="s">
        <v>66</v>
      </c>
      <c r="U8" s="37" t="s">
        <v>68</v>
      </c>
      <c r="V8" s="37"/>
      <c r="W8" s="37" t="s">
        <v>66</v>
      </c>
      <c r="X8" s="37" t="s">
        <v>69</v>
      </c>
      <c r="Y8" s="37" t="s">
        <v>70</v>
      </c>
      <c r="Z8" s="37" t="s">
        <v>71</v>
      </c>
      <c r="AA8" s="37" t="s">
        <v>72</v>
      </c>
      <c r="AB8" s="37" t="s">
        <v>73</v>
      </c>
      <c r="AC8" s="37" t="s">
        <v>74</v>
      </c>
      <c r="AD8" s="27"/>
      <c r="AE8" s="36"/>
      <c r="AF8" s="36"/>
      <c r="AG8" s="36"/>
      <c r="AH8" s="36"/>
      <c r="AI8" s="36"/>
      <c r="AJ8" s="37" t="s">
        <v>75</v>
      </c>
      <c r="AK8" s="37" t="s">
        <v>89</v>
      </c>
      <c r="AL8" s="39" t="s">
        <v>76</v>
      </c>
      <c r="AM8" s="40" t="s">
        <v>77</v>
      </c>
      <c r="AN8" s="40" t="s">
        <v>90</v>
      </c>
    </row>
    <row r="9" ht="14.25" customHeight="1">
      <c r="A9" s="41" t="str">
        <f>AE9</f>
        <v>Alison Muscat</v>
      </c>
      <c r="B9" s="42">
        <v>4.0</v>
      </c>
      <c r="C9" s="43">
        <f>IF(B9&gt;B11,1,0)</f>
        <v>0</v>
      </c>
      <c r="D9" s="44"/>
      <c r="E9" s="42">
        <v>2.0</v>
      </c>
      <c r="F9" s="43">
        <f>IF(E9&gt;E11,1,0)</f>
        <v>0</v>
      </c>
      <c r="G9" s="44"/>
      <c r="H9" s="45"/>
      <c r="I9" s="27">
        <f>IF(H9&gt;H11,1,0)</f>
        <v>0</v>
      </c>
      <c r="J9" s="27">
        <f>IF(B9="",0,1)</f>
        <v>1</v>
      </c>
      <c r="K9" s="27">
        <f>IF(C9+F9=2,3,IF(C9+F9=1,1,0))</f>
        <v>0</v>
      </c>
      <c r="L9" s="27">
        <f>IF(K9=3,3,IF(I9+K9=2,2,IF(K9=1,1,0)))</f>
        <v>0</v>
      </c>
      <c r="M9" s="27">
        <f>B9+E9</f>
        <v>6</v>
      </c>
      <c r="N9" s="27">
        <f>C9+F9+I9</f>
        <v>0</v>
      </c>
      <c r="O9" s="27"/>
      <c r="P9" s="41" t="str">
        <f>AE9</f>
        <v>Alison Muscat</v>
      </c>
      <c r="Q9" s="42">
        <v>6.0</v>
      </c>
      <c r="R9" s="43">
        <f>IF(Q9&gt;Q11,1,0)</f>
        <v>1</v>
      </c>
      <c r="S9" s="44"/>
      <c r="T9" s="42">
        <v>3.0</v>
      </c>
      <c r="U9" s="43">
        <f>IF(T9&gt;T11,1,0)</f>
        <v>0</v>
      </c>
      <c r="V9" s="44"/>
      <c r="W9" s="42">
        <v>5.0</v>
      </c>
      <c r="X9" s="27">
        <f>IF(W9&gt;W11,1,0)</f>
        <v>0</v>
      </c>
      <c r="Y9" s="27">
        <f>IF(Q9="",0,1)</f>
        <v>1</v>
      </c>
      <c r="Z9" s="27">
        <f>IF(R9+U9=2,3,IF(R9+U9=1,1,0))</f>
        <v>1</v>
      </c>
      <c r="AA9" s="27">
        <f>IF(Z9=3,3,IF(X9+Z9=2,2,IF(Z9=1,1,0)))</f>
        <v>1</v>
      </c>
      <c r="AB9" s="27">
        <f>Q9+T9</f>
        <v>9</v>
      </c>
      <c r="AC9" s="27">
        <f>R9+U9+X9</f>
        <v>1</v>
      </c>
      <c r="AD9" s="27"/>
      <c r="AE9" s="79" t="str">
        <f>'Players - Ladies'!B6</f>
        <v>Alison Muscat</v>
      </c>
      <c r="AF9" s="47">
        <f>J9+Y9+J13+Y13+J17</f>
        <v>5</v>
      </c>
      <c r="AG9" s="47">
        <f t="shared" ref="AG9:AI9" si="1">L9+AA9+L13+AA13+L17</f>
        <v>5</v>
      </c>
      <c r="AH9" s="47">
        <f t="shared" si="1"/>
        <v>45</v>
      </c>
      <c r="AI9" s="48">
        <f t="shared" si="1"/>
        <v>5</v>
      </c>
      <c r="AJ9" s="27">
        <f>MAX(AG9:AG19)</f>
        <v>14</v>
      </c>
      <c r="AK9" s="27">
        <f>LARGE(AG9:AG19, 2)</f>
        <v>9</v>
      </c>
      <c r="AL9" s="27">
        <f>SUM(AF9:AF19)</f>
        <v>30</v>
      </c>
      <c r="AM9" s="27" t="str">
        <f>IF(AG9=$AJ$9,AE9,IF(AG11=$AJ$9,AE11,IF(AG13=$AJ$9,AE13,IF(AG15=$AJ$9,AE15,IF(AG17=$AJ$9,AE17,"")))))</f>
        <v>Amanda Falzon</v>
      </c>
      <c r="AN9" s="27" t="str">
        <f>IF(AG9=$AK$9,AE9,IF(AG11=$AK$9,AE11,IF(AG13=$AK$9,AE13,IF(AG15=$AK$9,AE15,IF(AG17=$AK$9,AE17,"")))))</f>
        <v>Kaya Sammut</v>
      </c>
    </row>
    <row r="10" ht="14.25" customHeight="1">
      <c r="A10" s="49" t="s">
        <v>78</v>
      </c>
      <c r="H10" s="50"/>
      <c r="I10" s="51"/>
      <c r="J10" s="27"/>
      <c r="K10" s="27"/>
      <c r="L10" s="27"/>
      <c r="M10" s="27"/>
      <c r="N10" s="27"/>
      <c r="O10" s="27"/>
      <c r="P10" s="49" t="s">
        <v>78</v>
      </c>
      <c r="W10" s="50"/>
      <c r="X10" s="51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36"/>
      <c r="AL10" s="36"/>
      <c r="AM10" s="27"/>
      <c r="AN10" s="27"/>
    </row>
    <row r="11" ht="14.25" customHeight="1">
      <c r="A11" s="52" t="str">
        <f>AE11</f>
        <v>Kaya Sammut</v>
      </c>
      <c r="B11" s="42">
        <v>6.0</v>
      </c>
      <c r="C11" s="53">
        <f>IF(B11&gt;B9,1,0)</f>
        <v>1</v>
      </c>
      <c r="D11" s="54"/>
      <c r="E11" s="42">
        <v>6.0</v>
      </c>
      <c r="F11" s="53">
        <f>IF(E11&gt;E9,1,0)</f>
        <v>1</v>
      </c>
      <c r="G11" s="54"/>
      <c r="H11" s="45"/>
      <c r="I11" s="27">
        <f>IF(H11&gt;H9,1,0)</f>
        <v>0</v>
      </c>
      <c r="J11" s="27">
        <f>IF(B11="",0,1)</f>
        <v>1</v>
      </c>
      <c r="K11" s="27">
        <f>IF(C11+F11=2,3,IF(C11+F11=1,1,0))</f>
        <v>3</v>
      </c>
      <c r="L11" s="27">
        <f>IF(K11=3,3,IF(I11+K11=2,2,IF(K11=1,1,0)))</f>
        <v>3</v>
      </c>
      <c r="M11" s="27">
        <f>B11+E11</f>
        <v>12</v>
      </c>
      <c r="N11" s="27">
        <f>C11+F11+I11</f>
        <v>2</v>
      </c>
      <c r="O11" s="27"/>
      <c r="P11" s="52" t="str">
        <f>AE13</f>
        <v>Amanda Falzon</v>
      </c>
      <c r="Q11" s="42">
        <v>4.0</v>
      </c>
      <c r="R11" s="53">
        <f>IF(Q11&gt;Q9,1,0)</f>
        <v>0</v>
      </c>
      <c r="S11" s="54"/>
      <c r="T11" s="42">
        <v>6.0</v>
      </c>
      <c r="U11" s="53">
        <f>IF(T11&gt;T9,1,0)</f>
        <v>1</v>
      </c>
      <c r="V11" s="54"/>
      <c r="W11" s="42">
        <v>10.0</v>
      </c>
      <c r="X11" s="27">
        <f>IF(W11&gt;W9,1,0)</f>
        <v>1</v>
      </c>
      <c r="Y11" s="27">
        <f>IF(Q11="",0,1)</f>
        <v>1</v>
      </c>
      <c r="Z11" s="27">
        <f>IF(R11+U11=2,3,IF(R11+U11=1,1,0))</f>
        <v>1</v>
      </c>
      <c r="AA11" s="27">
        <f>IF(Z11=3,3,IF(X11+Z11=2,2,IF(Z11=1,1,0)))</f>
        <v>2</v>
      </c>
      <c r="AB11" s="27">
        <f>Q11+T11</f>
        <v>10</v>
      </c>
      <c r="AC11" s="27">
        <f>R11+U11+X11</f>
        <v>2</v>
      </c>
      <c r="AD11" s="27"/>
      <c r="AE11" s="79" t="str">
        <f>'Players - Ladies'!B7</f>
        <v>Kaya Sammut</v>
      </c>
      <c r="AF11" s="47">
        <f>J11+Y25+J21+Y21+Y17</f>
        <v>5</v>
      </c>
      <c r="AG11" s="47">
        <f t="shared" ref="AG11:AI11" si="2">L11+AA25+L21+AA21+AA17</f>
        <v>9</v>
      </c>
      <c r="AH11" s="47">
        <f t="shared" si="2"/>
        <v>45</v>
      </c>
      <c r="AI11" s="48">
        <f t="shared" si="2"/>
        <v>6</v>
      </c>
      <c r="AJ11" s="36"/>
      <c r="AK11" s="36"/>
      <c r="AL11" s="36"/>
      <c r="AM11" s="27"/>
      <c r="AN11" s="27"/>
    </row>
    <row r="12" ht="14.25" customHeight="1">
      <c r="A12" s="27"/>
      <c r="B12" s="27"/>
      <c r="C12" s="27"/>
      <c r="D12" s="27"/>
      <c r="E12" s="27"/>
      <c r="F12" s="27"/>
      <c r="G12" s="27"/>
      <c r="H12" s="53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53"/>
      <c r="X12" s="27"/>
      <c r="Y12" s="27"/>
      <c r="Z12" s="27"/>
      <c r="AA12" s="27"/>
      <c r="AB12" s="27"/>
      <c r="AC12" s="27"/>
      <c r="AD12" s="27"/>
      <c r="AE12" s="27"/>
      <c r="AF12" s="36"/>
      <c r="AG12" s="36"/>
      <c r="AH12" s="36"/>
      <c r="AI12" s="36"/>
      <c r="AJ12" s="36"/>
      <c r="AK12" s="36"/>
      <c r="AL12" s="36"/>
      <c r="AM12" s="27"/>
      <c r="AN12" s="27"/>
    </row>
    <row r="13" ht="14.25" customHeight="1">
      <c r="A13" s="41" t="str">
        <f>AE9</f>
        <v>Alison Muscat</v>
      </c>
      <c r="B13" s="42">
        <v>6.0</v>
      </c>
      <c r="C13" s="43">
        <f>IF(B13&gt;B15,1,0)</f>
        <v>1</v>
      </c>
      <c r="D13" s="44"/>
      <c r="E13" s="42">
        <v>5.0</v>
      </c>
      <c r="F13" s="43">
        <f>IF(E13&gt;E15,1,0)</f>
        <v>0</v>
      </c>
      <c r="G13" s="44"/>
      <c r="H13" s="42">
        <v>5.0</v>
      </c>
      <c r="I13" s="27">
        <f>IF(H13&gt;H15,1,0)</f>
        <v>0</v>
      </c>
      <c r="J13" s="27">
        <f>IF(B13="",0,1)</f>
        <v>1</v>
      </c>
      <c r="K13" s="27">
        <f>IF(C13+F13=2,3,IF(C13+F13=1,1,0))</f>
        <v>1</v>
      </c>
      <c r="L13" s="27">
        <f>IF(K13=3,3,IF(I13+K13=2,2,IF(K13=1,1,0)))</f>
        <v>1</v>
      </c>
      <c r="M13" s="27">
        <f>B13+E13</f>
        <v>11</v>
      </c>
      <c r="N13" s="27">
        <f>C13+F13+I13</f>
        <v>1</v>
      </c>
      <c r="O13" s="27"/>
      <c r="P13" s="41" t="str">
        <f>AE9</f>
        <v>Alison Muscat</v>
      </c>
      <c r="Q13" s="42">
        <v>6.0</v>
      </c>
      <c r="R13" s="43">
        <f>IF(Q13&gt;Q15,1,0)</f>
        <v>1</v>
      </c>
      <c r="S13" s="44"/>
      <c r="T13" s="42">
        <v>4.0</v>
      </c>
      <c r="U13" s="43">
        <f>IF(T13&gt;T15,1,0)</f>
        <v>0</v>
      </c>
      <c r="V13" s="44"/>
      <c r="W13" s="42">
        <v>7.0</v>
      </c>
      <c r="X13" s="27">
        <f>IF(W13&gt;W15,1,0)</f>
        <v>0</v>
      </c>
      <c r="Y13" s="27">
        <f>IF(Q13="",0,1)</f>
        <v>1</v>
      </c>
      <c r="Z13" s="27">
        <f>IF(R13+U13=2,3,IF(R13+U13=1,1,0))</f>
        <v>1</v>
      </c>
      <c r="AA13" s="27">
        <f>IF(Z13=3,3,IF(X13+Z13=2,2,IF(Z13=1,1,0)))</f>
        <v>1</v>
      </c>
      <c r="AB13" s="27">
        <f>Q13+T13</f>
        <v>10</v>
      </c>
      <c r="AC13" s="27">
        <f>R13+U13+X13</f>
        <v>1</v>
      </c>
      <c r="AD13" s="27"/>
      <c r="AE13" s="79" t="str">
        <f>'Players - Ladies'!B8</f>
        <v>Amanda Falzon</v>
      </c>
      <c r="AF13" s="47">
        <f>Y29+Y11+Y33+J25+Y19</f>
        <v>5</v>
      </c>
      <c r="AG13" s="47">
        <f t="shared" ref="AG13:AI13" si="3">AA29+AA11+AA33+L25+AA19</f>
        <v>14</v>
      </c>
      <c r="AH13" s="47">
        <f t="shared" si="3"/>
        <v>59</v>
      </c>
      <c r="AI13" s="48">
        <f t="shared" si="3"/>
        <v>10</v>
      </c>
      <c r="AJ13" s="36"/>
      <c r="AK13" s="36"/>
      <c r="AL13" s="36"/>
      <c r="AM13" s="27"/>
      <c r="AN13" s="27"/>
    </row>
    <row r="14" ht="14.25" customHeight="1">
      <c r="A14" s="49" t="s">
        <v>78</v>
      </c>
      <c r="H14" s="50"/>
      <c r="I14" s="51"/>
      <c r="J14" s="27"/>
      <c r="K14" s="27"/>
      <c r="L14" s="27"/>
      <c r="M14" s="27"/>
      <c r="N14" s="27"/>
      <c r="O14" s="27"/>
      <c r="P14" s="49" t="s">
        <v>78</v>
      </c>
      <c r="W14" s="50"/>
      <c r="X14" s="51"/>
      <c r="Y14" s="27"/>
      <c r="Z14" s="27"/>
      <c r="AA14" s="27"/>
      <c r="AB14" s="27"/>
      <c r="AC14" s="27"/>
      <c r="AD14" s="27"/>
      <c r="AE14" s="27"/>
      <c r="AF14" s="36"/>
      <c r="AG14" s="36"/>
      <c r="AH14" s="36"/>
      <c r="AI14" s="36"/>
      <c r="AJ14" s="36"/>
      <c r="AK14" s="36"/>
      <c r="AL14" s="36"/>
      <c r="AM14" s="27"/>
      <c r="AN14" s="27"/>
    </row>
    <row r="15" ht="14.25" customHeight="1">
      <c r="A15" s="52" t="str">
        <f>AE15</f>
        <v>Julie Spiteri</v>
      </c>
      <c r="B15" s="42">
        <v>4.0</v>
      </c>
      <c r="C15" s="53">
        <f>IF(B15&gt;B13,1,0)</f>
        <v>0</v>
      </c>
      <c r="D15" s="54"/>
      <c r="E15" s="42">
        <v>7.0</v>
      </c>
      <c r="F15" s="53">
        <f>IF(E15&gt;E13,1,0)</f>
        <v>1</v>
      </c>
      <c r="G15" s="54"/>
      <c r="H15" s="42">
        <v>10.0</v>
      </c>
      <c r="I15" s="27">
        <f>IF(H15&gt;H13,1,0)</f>
        <v>1</v>
      </c>
      <c r="J15" s="27">
        <f>IF(B15="",0,1)</f>
        <v>1</v>
      </c>
      <c r="K15" s="27">
        <f>IF(C15+F15=2,3,IF(C15+F15=1,1,0))</f>
        <v>1</v>
      </c>
      <c r="L15" s="27">
        <f>IF(K15=3,3,IF(I15+K15=2,2,IF(K15=1,1,0)))</f>
        <v>2</v>
      </c>
      <c r="M15" s="27">
        <f>B15+E15</f>
        <v>11</v>
      </c>
      <c r="N15" s="27">
        <f>C15+F15+I15</f>
        <v>2</v>
      </c>
      <c r="O15" s="27"/>
      <c r="P15" s="52" t="str">
        <f>AE17</f>
        <v>Francesca Sciortino</v>
      </c>
      <c r="Q15" s="42">
        <v>4.0</v>
      </c>
      <c r="R15" s="53">
        <f>IF(Q15&gt;Q13,1,0)</f>
        <v>0</v>
      </c>
      <c r="S15" s="54"/>
      <c r="T15" s="42">
        <v>6.0</v>
      </c>
      <c r="U15" s="53">
        <f>IF(T15&gt;T13,1,0)</f>
        <v>1</v>
      </c>
      <c r="V15" s="54"/>
      <c r="W15" s="42">
        <v>10.0</v>
      </c>
      <c r="X15" s="27">
        <f>IF(W15&gt;W13,1,0)</f>
        <v>1</v>
      </c>
      <c r="Y15" s="27">
        <f>IF(Q15="",0,1)</f>
        <v>1</v>
      </c>
      <c r="Z15" s="27">
        <f>IF(R15+U15=2,3,IF(R15+U15=1,1,0))</f>
        <v>1</v>
      </c>
      <c r="AA15" s="27">
        <f>IF(Z15=3,3,IF(X15+Z15=2,2,IF(Z15=1,1,0)))</f>
        <v>2</v>
      </c>
      <c r="AB15" s="27">
        <f>Q15+T15</f>
        <v>10</v>
      </c>
      <c r="AC15" s="27">
        <f>R15+U15+X15</f>
        <v>2</v>
      </c>
      <c r="AD15" s="27"/>
      <c r="AE15" s="79" t="str">
        <f>'Players - Ladies'!B9</f>
        <v>Julie Spiteri</v>
      </c>
      <c r="AF15" s="47">
        <f>Y31+J37+J15+Y23+J29</f>
        <v>5</v>
      </c>
      <c r="AG15" s="47">
        <f t="shared" ref="AG15:AI15" si="4">AA31+L37+L15+AA23+L29</f>
        <v>4</v>
      </c>
      <c r="AH15" s="47">
        <f t="shared" si="4"/>
        <v>35</v>
      </c>
      <c r="AI15" s="48">
        <f t="shared" si="4"/>
        <v>4</v>
      </c>
      <c r="AJ15" s="36"/>
      <c r="AK15" s="36"/>
      <c r="AL15" s="36"/>
      <c r="AM15" s="27"/>
      <c r="AN15" s="27"/>
    </row>
    <row r="16" ht="14.25" customHeight="1">
      <c r="A16" s="27"/>
      <c r="B16" s="36"/>
      <c r="C16" s="27"/>
      <c r="D16" s="27"/>
      <c r="E16" s="27"/>
      <c r="F16" s="27"/>
      <c r="G16" s="27"/>
      <c r="H16" s="53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53"/>
      <c r="X16" s="27"/>
      <c r="Y16" s="27"/>
      <c r="Z16" s="27"/>
      <c r="AA16" s="27"/>
      <c r="AB16" s="27"/>
      <c r="AC16" s="27"/>
      <c r="AD16" s="27"/>
      <c r="AE16" s="27"/>
      <c r="AF16" s="36"/>
      <c r="AG16" s="36"/>
      <c r="AH16" s="36"/>
      <c r="AI16" s="36"/>
      <c r="AJ16" s="36"/>
      <c r="AK16" s="36"/>
      <c r="AL16" s="36"/>
      <c r="AM16" s="27"/>
      <c r="AN16" s="27"/>
    </row>
    <row r="17" ht="14.25" customHeight="1">
      <c r="A17" s="41" t="str">
        <f>AE9</f>
        <v>Alison Muscat</v>
      </c>
      <c r="B17" s="42">
        <v>7.0</v>
      </c>
      <c r="C17" s="43">
        <f>IF(B17&gt;B19,1,0)</f>
        <v>1</v>
      </c>
      <c r="D17" s="44"/>
      <c r="E17" s="42">
        <v>2.0</v>
      </c>
      <c r="F17" s="43">
        <f>IF(E17&gt;E19,1,0)</f>
        <v>0</v>
      </c>
      <c r="G17" s="44"/>
      <c r="H17" s="42">
        <v>10.0</v>
      </c>
      <c r="I17" s="27">
        <f>IF(H17&gt;H19,1,0)</f>
        <v>1</v>
      </c>
      <c r="J17" s="27">
        <f>IF(B17="",0,1)</f>
        <v>1</v>
      </c>
      <c r="K17" s="27">
        <f>IF(C17+F17=2,3,IF(C17+F17=1,1,0))</f>
        <v>1</v>
      </c>
      <c r="L17" s="27">
        <f>IF(K17=3,3,IF(I17+K17=2,2,IF(K17=1,1,0)))</f>
        <v>2</v>
      </c>
      <c r="M17" s="27">
        <f>B17+E17</f>
        <v>9</v>
      </c>
      <c r="N17" s="27">
        <f>C17+F17+I17</f>
        <v>2</v>
      </c>
      <c r="O17" s="27"/>
      <c r="P17" s="41" t="str">
        <f>AE11</f>
        <v>Kaya Sammut</v>
      </c>
      <c r="Q17" s="42">
        <v>5.0</v>
      </c>
      <c r="R17" s="43">
        <f>IF(Q17&gt;Q19,1,0)</f>
        <v>0</v>
      </c>
      <c r="S17" s="44"/>
      <c r="T17" s="42">
        <v>4.0</v>
      </c>
      <c r="U17" s="43">
        <f>IF(T17&gt;T19,1,0)</f>
        <v>0</v>
      </c>
      <c r="V17" s="44"/>
      <c r="W17" s="45"/>
      <c r="X17" s="27">
        <f>IF(W17&gt;W19,1,0)</f>
        <v>0</v>
      </c>
      <c r="Y17" s="27">
        <f>IF(Q17="",0,1)</f>
        <v>1</v>
      </c>
      <c r="Z17" s="27">
        <f>IF(R17+U17=2,3,IF(R17+U17=1,1,0))</f>
        <v>0</v>
      </c>
      <c r="AA17" s="27">
        <f>IF(Z17=3,3,IF(X17+Z17=2,2,IF(Z17=1,1,0)))</f>
        <v>0</v>
      </c>
      <c r="AB17" s="27">
        <f>Q17+T17</f>
        <v>9</v>
      </c>
      <c r="AC17" s="27">
        <f>R17+U17+X17</f>
        <v>0</v>
      </c>
      <c r="AD17" s="27"/>
      <c r="AE17" s="79" t="str">
        <f>'Players - Ladies'!B10</f>
        <v>Francesca Sciortino</v>
      </c>
      <c r="AF17" s="47">
        <f>J33+J39+J23+Y15+J27</f>
        <v>5</v>
      </c>
      <c r="AG17" s="47">
        <f t="shared" ref="AG17:AI17" si="5">L33+L39+L23+AA15+L27</f>
        <v>6</v>
      </c>
      <c r="AH17" s="47">
        <f t="shared" si="5"/>
        <v>41</v>
      </c>
      <c r="AI17" s="48">
        <f t="shared" si="5"/>
        <v>5</v>
      </c>
      <c r="AJ17" s="36"/>
      <c r="AK17" s="36"/>
      <c r="AL17" s="36"/>
      <c r="AM17" s="27"/>
      <c r="AN17" s="27"/>
    </row>
    <row r="18" ht="14.25" customHeight="1">
      <c r="A18" s="49" t="s">
        <v>78</v>
      </c>
      <c r="H18" s="50"/>
      <c r="I18" s="51"/>
      <c r="J18" s="27"/>
      <c r="K18" s="27"/>
      <c r="L18" s="27"/>
      <c r="M18" s="27"/>
      <c r="N18" s="27"/>
      <c r="O18" s="27"/>
      <c r="P18" s="49" t="s">
        <v>78</v>
      </c>
      <c r="W18" s="50"/>
      <c r="X18" s="51"/>
      <c r="Y18" s="27"/>
      <c r="Z18" s="27"/>
      <c r="AA18" s="27"/>
      <c r="AB18" s="27"/>
      <c r="AC18" s="27"/>
      <c r="AD18" s="27"/>
      <c r="AE18" s="27"/>
      <c r="AF18" s="36"/>
      <c r="AG18" s="36"/>
      <c r="AH18" s="36"/>
      <c r="AI18" s="36"/>
      <c r="AJ18" s="36"/>
      <c r="AK18" s="36"/>
      <c r="AL18" s="36"/>
      <c r="AM18" s="27"/>
      <c r="AN18" s="27"/>
    </row>
    <row r="19" ht="14.25" customHeight="1">
      <c r="A19" s="52" t="str">
        <f>AE19</f>
        <v>Diane Fenech</v>
      </c>
      <c r="B19" s="42">
        <v>6.0</v>
      </c>
      <c r="C19" s="53">
        <f>IF(B19&gt;B17,1,0)</f>
        <v>0</v>
      </c>
      <c r="D19" s="54"/>
      <c r="E19" s="42">
        <v>6.0</v>
      </c>
      <c r="F19" s="53">
        <f>IF(E19&gt;E17,1,0)</f>
        <v>1</v>
      </c>
      <c r="G19" s="54"/>
      <c r="H19" s="42">
        <v>8.0</v>
      </c>
      <c r="I19" s="27">
        <f>IF(H19&gt;H17,1,0)</f>
        <v>0</v>
      </c>
      <c r="J19" s="27">
        <f>IF(B19="",0,1)</f>
        <v>1</v>
      </c>
      <c r="K19" s="27">
        <f>IF(C19+F19=2,3,IF(C19+F19=1,1,0))</f>
        <v>1</v>
      </c>
      <c r="L19" s="27">
        <f>IF(K19=3,3,IF(I19+K19=2,2,IF(K19=1,1,0)))</f>
        <v>1</v>
      </c>
      <c r="M19" s="27">
        <f>B19+E19</f>
        <v>12</v>
      </c>
      <c r="N19" s="27">
        <f>C19+F19+I19</f>
        <v>1</v>
      </c>
      <c r="O19" s="27"/>
      <c r="P19" s="52" t="str">
        <f>AE13</f>
        <v>Amanda Falzon</v>
      </c>
      <c r="Q19" s="42">
        <v>7.0</v>
      </c>
      <c r="R19" s="53">
        <f>IF(Q19&gt;Q17,1,0)</f>
        <v>1</v>
      </c>
      <c r="S19" s="54"/>
      <c r="T19" s="42">
        <v>6.0</v>
      </c>
      <c r="U19" s="53">
        <f>IF(T19&gt;T17,1,0)</f>
        <v>1</v>
      </c>
      <c r="V19" s="54"/>
      <c r="W19" s="45"/>
      <c r="X19" s="27">
        <f>IF(W19&gt;W17,1,0)</f>
        <v>0</v>
      </c>
      <c r="Y19" s="27">
        <f>IF(Q19="",0,1)</f>
        <v>1</v>
      </c>
      <c r="Z19" s="27">
        <f>IF(R19+U19=2,3,IF(R19+U19=1,1,0))</f>
        <v>3</v>
      </c>
      <c r="AA19" s="27">
        <f>IF(Z19=3,3,IF(X19+Z19=2,2,IF(Z19=1,1,0)))</f>
        <v>3</v>
      </c>
      <c r="AB19" s="27">
        <f>Q19+T19</f>
        <v>13</v>
      </c>
      <c r="AC19" s="27">
        <f>R19+U19+X19</f>
        <v>2</v>
      </c>
      <c r="AD19" s="27"/>
      <c r="AE19" s="79" t="str">
        <f>'Players - Ladies'!B11</f>
        <v>Diane Fenech</v>
      </c>
      <c r="AF19" s="47">
        <f>J35+Y27+Y35+J19+J31</f>
        <v>5</v>
      </c>
      <c r="AG19" s="47">
        <f t="shared" ref="AG19:AI19" si="6">L35+AA27+AA35+L19+L31</f>
        <v>7</v>
      </c>
      <c r="AH19" s="47">
        <f t="shared" si="6"/>
        <v>49</v>
      </c>
      <c r="AI19" s="48">
        <f t="shared" si="6"/>
        <v>5</v>
      </c>
      <c r="AJ19" s="27"/>
      <c r="AK19" s="36"/>
      <c r="AL19" s="36"/>
      <c r="AM19" s="27"/>
      <c r="AN19" s="27"/>
    </row>
    <row r="20" ht="14.25" customHeight="1">
      <c r="A20" s="27"/>
      <c r="B20" s="27"/>
      <c r="C20" s="27"/>
      <c r="D20" s="27"/>
      <c r="E20" s="27"/>
      <c r="F20" s="27"/>
      <c r="G20" s="27"/>
      <c r="H20" s="53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53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36"/>
      <c r="AL20" s="27"/>
      <c r="AM20" s="27"/>
      <c r="AN20" s="27"/>
    </row>
    <row r="21" ht="14.25" customHeight="1">
      <c r="A21" s="41" t="str">
        <f>AE11</f>
        <v>Kaya Sammut</v>
      </c>
      <c r="B21" s="42">
        <v>0.0</v>
      </c>
      <c r="C21" s="43">
        <f>IF(B21&gt;B23,1,0)</f>
        <v>0</v>
      </c>
      <c r="D21" s="44"/>
      <c r="E21" s="42">
        <v>0.0</v>
      </c>
      <c r="F21" s="43">
        <f>IF(E21&gt;E23,1,0)</f>
        <v>0</v>
      </c>
      <c r="G21" s="44"/>
      <c r="H21" s="45"/>
      <c r="I21" s="27">
        <f>IF(H21&gt;H23,1,0)</f>
        <v>0</v>
      </c>
      <c r="J21" s="27">
        <f>IF(B21="",0,1)</f>
        <v>1</v>
      </c>
      <c r="K21" s="27">
        <f>IF(C21+F21=2,3,IF(C21+F21=1,1,0))</f>
        <v>0</v>
      </c>
      <c r="L21" s="27">
        <f>IF(K21=3,3,IF(I21+K21=2,2,IF(K21=1,1,0)))</f>
        <v>0</v>
      </c>
      <c r="M21" s="27">
        <f>B21+E21</f>
        <v>0</v>
      </c>
      <c r="N21" s="27">
        <f>C21+F21+I21</f>
        <v>0</v>
      </c>
      <c r="O21" s="27"/>
      <c r="P21" s="41" t="str">
        <f>AE11</f>
        <v>Kaya Sammut</v>
      </c>
      <c r="Q21" s="42">
        <v>6.0</v>
      </c>
      <c r="R21" s="43">
        <f>IF(Q21&gt;Q23,1,0)</f>
        <v>1</v>
      </c>
      <c r="S21" s="44"/>
      <c r="T21" s="42">
        <v>6.0</v>
      </c>
      <c r="U21" s="43">
        <f>IF(T21&gt;T23,1,0)</f>
        <v>1</v>
      </c>
      <c r="V21" s="44"/>
      <c r="W21" s="45"/>
      <c r="X21" s="27">
        <f>IF(W21&gt;W23,1,0)</f>
        <v>0</v>
      </c>
      <c r="Y21" s="27">
        <f>IF(Q21="",0,1)</f>
        <v>1</v>
      </c>
      <c r="Z21" s="27">
        <f>IF(R21+U21=2,3,IF(R21+U21=1,1,0))</f>
        <v>3</v>
      </c>
      <c r="AA21" s="27">
        <f>IF(Z21=3,3,IF(X21+Z21=2,2,IF(Z21=1,1,0)))</f>
        <v>3</v>
      </c>
      <c r="AB21" s="27">
        <f>Q21+T21</f>
        <v>12</v>
      </c>
      <c r="AC21" s="27">
        <f>R21+U21+X21</f>
        <v>2</v>
      </c>
      <c r="AD21" s="27"/>
      <c r="AE21" s="145" t="s">
        <v>83</v>
      </c>
      <c r="AF21" s="30"/>
      <c r="AG21" s="30"/>
      <c r="AH21" s="30"/>
      <c r="AI21" s="31"/>
      <c r="AJ21" s="27"/>
      <c r="AK21" s="27"/>
      <c r="AL21" s="27"/>
      <c r="AM21" s="27"/>
      <c r="AN21" s="27"/>
    </row>
    <row r="22" ht="14.25" customHeight="1">
      <c r="A22" s="49" t="s">
        <v>78</v>
      </c>
      <c r="H22" s="50"/>
      <c r="I22" s="51"/>
      <c r="J22" s="27"/>
      <c r="K22" s="27"/>
      <c r="L22" s="27"/>
      <c r="M22" s="27"/>
      <c r="N22" s="27"/>
      <c r="O22" s="27"/>
      <c r="P22" s="49" t="s">
        <v>78</v>
      </c>
      <c r="W22" s="50"/>
      <c r="X22" s="51"/>
      <c r="Y22" s="27"/>
      <c r="Z22" s="27"/>
      <c r="AA22" s="27"/>
      <c r="AB22" s="27"/>
      <c r="AC22" s="27"/>
      <c r="AD22" s="27"/>
      <c r="AE22" s="57" t="s">
        <v>97</v>
      </c>
      <c r="AF22" s="30"/>
      <c r="AG22" s="30"/>
      <c r="AH22" s="30"/>
      <c r="AI22" s="31"/>
      <c r="AJ22" s="27"/>
      <c r="AK22" s="36"/>
      <c r="AL22" s="27"/>
      <c r="AM22" s="27"/>
      <c r="AN22" s="27"/>
    </row>
    <row r="23" ht="14.25" customHeight="1">
      <c r="A23" s="52" t="str">
        <f>AE17</f>
        <v>Francesca Sciortino</v>
      </c>
      <c r="B23" s="42">
        <v>6.0</v>
      </c>
      <c r="C23" s="53">
        <f>IF(B23&gt;B21,1,0)</f>
        <v>1</v>
      </c>
      <c r="D23" s="54"/>
      <c r="E23" s="42">
        <v>6.0</v>
      </c>
      <c r="F23" s="53">
        <f>IF(E23&gt;E21,1,0)</f>
        <v>1</v>
      </c>
      <c r="G23" s="54"/>
      <c r="H23" s="45"/>
      <c r="I23" s="27">
        <f>IF(H23&gt;H21,1,0)</f>
        <v>0</v>
      </c>
      <c r="J23" s="27">
        <f>IF(B23="",0,1)</f>
        <v>1</v>
      </c>
      <c r="K23" s="27">
        <f>IF(C23+F23=2,3,IF(C23+F23=1,1,0))</f>
        <v>3</v>
      </c>
      <c r="L23" s="27">
        <f>IF(K23=3,3,IF(I23+K23=2,2,IF(K23=1,1,0)))</f>
        <v>3</v>
      </c>
      <c r="M23" s="27">
        <f>B23+E23</f>
        <v>12</v>
      </c>
      <c r="N23" s="27">
        <f>C23+F23+I23</f>
        <v>2</v>
      </c>
      <c r="O23" s="27"/>
      <c r="P23" s="52" t="str">
        <f>AE15</f>
        <v>Julie Spiteri</v>
      </c>
      <c r="Q23" s="42">
        <v>4.0</v>
      </c>
      <c r="R23" s="53">
        <f>IF(Q23&gt;Q21,1,0)</f>
        <v>0</v>
      </c>
      <c r="S23" s="54"/>
      <c r="T23" s="42">
        <v>3.0</v>
      </c>
      <c r="U23" s="53">
        <f>IF(T23&gt;T21,1,0)</f>
        <v>0</v>
      </c>
      <c r="V23" s="54"/>
      <c r="W23" s="45"/>
      <c r="X23" s="27">
        <f>IF(W23&gt;W21,1,0)</f>
        <v>0</v>
      </c>
      <c r="Y23" s="27">
        <f>IF(Q23="",0,1)</f>
        <v>1</v>
      </c>
      <c r="Z23" s="27">
        <f>IF(R23+U23=2,3,IF(R23+U23=1,1,0))</f>
        <v>0</v>
      </c>
      <c r="AA23" s="27">
        <f>IF(Z23=3,3,IF(X23+Z23=2,2,IF(Z23=1,1,0)))</f>
        <v>0</v>
      </c>
      <c r="AB23" s="27">
        <f>Q23+T23</f>
        <v>7</v>
      </c>
      <c r="AC23" s="27">
        <f>R23+U23+X23</f>
        <v>0</v>
      </c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</row>
    <row r="24" ht="14.25" customHeight="1">
      <c r="A24" s="27"/>
      <c r="B24" s="27"/>
      <c r="C24" s="27"/>
      <c r="D24" s="27"/>
      <c r="E24" s="27"/>
      <c r="F24" s="27"/>
      <c r="G24" s="27"/>
      <c r="H24" s="53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53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</row>
    <row r="25" ht="14.25" customHeight="1">
      <c r="A25" s="41" t="str">
        <f>AE13</f>
        <v>Amanda Falzon</v>
      </c>
      <c r="B25" s="42">
        <v>6.0</v>
      </c>
      <c r="C25" s="43">
        <f>IF(B25&gt;B27,1,0)</f>
        <v>1</v>
      </c>
      <c r="D25" s="44"/>
      <c r="E25" s="42">
        <v>6.0</v>
      </c>
      <c r="F25" s="43">
        <f>IF(E25&gt;E27,1,0)</f>
        <v>1</v>
      </c>
      <c r="G25" s="44"/>
      <c r="H25" s="45"/>
      <c r="I25" s="27">
        <f>IF(H25&gt;H27,1,0)</f>
        <v>0</v>
      </c>
      <c r="J25" s="27">
        <f>IF(B25="",0,1)</f>
        <v>1</v>
      </c>
      <c r="K25" s="27">
        <f>IF(C25+F25=2,3,IF(C25+F25=1,1,0))</f>
        <v>3</v>
      </c>
      <c r="L25" s="27">
        <f>IF(K25=3,3,IF(I25+K25=2,2,IF(K25=1,1,0)))</f>
        <v>3</v>
      </c>
      <c r="M25" s="27">
        <f>B25+E25</f>
        <v>12</v>
      </c>
      <c r="N25" s="27">
        <f>C25+F25+I25</f>
        <v>2</v>
      </c>
      <c r="O25" s="27"/>
      <c r="P25" s="41" t="str">
        <f>AE11</f>
        <v>Kaya Sammut</v>
      </c>
      <c r="Q25" s="42">
        <v>6.0</v>
      </c>
      <c r="R25" s="43">
        <f>IF(Q25&gt;Q27,1,0)</f>
        <v>1</v>
      </c>
      <c r="S25" s="44"/>
      <c r="T25" s="42">
        <v>6.0</v>
      </c>
      <c r="U25" s="43">
        <f>IF(T25&gt;T27,1,0)</f>
        <v>1</v>
      </c>
      <c r="V25" s="44"/>
      <c r="W25" s="45"/>
      <c r="X25" s="27">
        <f>IF(W25&gt;W27,1,0)</f>
        <v>0</v>
      </c>
      <c r="Y25" s="27">
        <f>IF(Q25="",0,1)</f>
        <v>1</v>
      </c>
      <c r="Z25" s="27">
        <f>IF(R25+U25=2,3,IF(R25+U25=1,1,0))</f>
        <v>3</v>
      </c>
      <c r="AA25" s="27">
        <f>IF(Z25=3,3,IF(X25+Z25=2,2,IF(Z25=1,1,0)))</f>
        <v>3</v>
      </c>
      <c r="AB25" s="27">
        <f>Q25+T25</f>
        <v>12</v>
      </c>
      <c r="AC25" s="27">
        <f>R25+U25+X25</f>
        <v>2</v>
      </c>
      <c r="AD25" s="27"/>
      <c r="AE25" s="145" t="s">
        <v>84</v>
      </c>
      <c r="AF25" s="30"/>
      <c r="AG25" s="30"/>
      <c r="AH25" s="30"/>
      <c r="AI25" s="31"/>
      <c r="AJ25" s="27"/>
      <c r="AK25" s="27"/>
      <c r="AL25" s="27"/>
      <c r="AM25" s="27"/>
      <c r="AN25" s="27"/>
    </row>
    <row r="26" ht="14.25" customHeight="1">
      <c r="A26" s="49" t="s">
        <v>78</v>
      </c>
      <c r="H26" s="50"/>
      <c r="I26" s="51"/>
      <c r="J26" s="27"/>
      <c r="K26" s="27"/>
      <c r="L26" s="27"/>
      <c r="M26" s="27"/>
      <c r="N26" s="27"/>
      <c r="O26" s="27"/>
      <c r="P26" s="49" t="s">
        <v>78</v>
      </c>
      <c r="W26" s="50"/>
      <c r="X26" s="51"/>
      <c r="Y26" s="27"/>
      <c r="Z26" s="27"/>
      <c r="AA26" s="27"/>
      <c r="AB26" s="27"/>
      <c r="AC26" s="27"/>
      <c r="AD26" s="27"/>
      <c r="AE26" s="57" t="s">
        <v>96</v>
      </c>
      <c r="AF26" s="30"/>
      <c r="AG26" s="30"/>
      <c r="AH26" s="30"/>
      <c r="AI26" s="31"/>
      <c r="AJ26" s="27"/>
      <c r="AK26" s="27"/>
      <c r="AL26" s="27"/>
      <c r="AM26" s="27"/>
      <c r="AN26" s="27"/>
    </row>
    <row r="27" ht="14.25" customHeight="1">
      <c r="A27" s="52" t="str">
        <f>AE17</f>
        <v>Francesca Sciortino</v>
      </c>
      <c r="B27" s="42">
        <v>1.0</v>
      </c>
      <c r="C27" s="53">
        <f>IF(B27&gt;B25,1,0)</f>
        <v>0</v>
      </c>
      <c r="D27" s="54"/>
      <c r="E27" s="42">
        <v>2.0</v>
      </c>
      <c r="F27" s="53">
        <f>IF(E27&gt;E25,1,0)</f>
        <v>0</v>
      </c>
      <c r="G27" s="54"/>
      <c r="H27" s="45"/>
      <c r="I27" s="27">
        <f>IF(H27&gt;H25,1,0)</f>
        <v>0</v>
      </c>
      <c r="J27" s="27">
        <f>IF(B27="",0,1)</f>
        <v>1</v>
      </c>
      <c r="K27" s="27">
        <f>IF(C27+F27=2,3,IF(C27+F27=1,1,0))</f>
        <v>0</v>
      </c>
      <c r="L27" s="27">
        <f>IF(K27=3,3,IF(I27+K27=2,2,IF(K27=1,1,0)))</f>
        <v>0</v>
      </c>
      <c r="M27" s="27">
        <f>B27+E27</f>
        <v>3</v>
      </c>
      <c r="N27" s="27">
        <f>C27+F27+I27</f>
        <v>0</v>
      </c>
      <c r="O27" s="27"/>
      <c r="P27" s="52" t="str">
        <f>AE19</f>
        <v>Diane Fenech</v>
      </c>
      <c r="Q27" s="42">
        <v>3.0</v>
      </c>
      <c r="R27" s="53">
        <f>IF(Q27&gt;Q25,1,0)</f>
        <v>0</v>
      </c>
      <c r="S27" s="54"/>
      <c r="T27" s="42">
        <v>4.0</v>
      </c>
      <c r="U27" s="53">
        <f>IF(T27&gt;T25,1,0)</f>
        <v>0</v>
      </c>
      <c r="V27" s="54"/>
      <c r="W27" s="45"/>
      <c r="X27" s="27">
        <f>IF(W27&gt;W25,1,0)</f>
        <v>0</v>
      </c>
      <c r="Y27" s="27">
        <f>IF(Q27="",0,1)</f>
        <v>1</v>
      </c>
      <c r="Z27" s="27">
        <f>IF(R27+U27=2,3,IF(R27+U27=1,1,0))</f>
        <v>0</v>
      </c>
      <c r="AA27" s="27">
        <f>IF(Z27=3,3,IF(X27+Z27=2,2,IF(Z27=1,1,0)))</f>
        <v>0</v>
      </c>
      <c r="AB27" s="27">
        <f>Q27+T27</f>
        <v>7</v>
      </c>
      <c r="AC27" s="27">
        <f>R27+U27+X27</f>
        <v>0</v>
      </c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</row>
    <row r="28" ht="14.25" customHeight="1">
      <c r="A28" s="27"/>
      <c r="B28" s="27"/>
      <c r="C28" s="27"/>
      <c r="D28" s="27"/>
      <c r="E28" s="27"/>
      <c r="F28" s="27"/>
      <c r="G28" s="27"/>
      <c r="H28" s="53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53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36"/>
      <c r="AI28" s="27"/>
      <c r="AJ28" s="27"/>
      <c r="AK28" s="27"/>
      <c r="AL28" s="27"/>
      <c r="AM28" s="27"/>
      <c r="AN28" s="27"/>
    </row>
    <row r="29" ht="14.25" customHeight="1">
      <c r="A29" s="41" t="str">
        <f>AE15</f>
        <v>Julie Spiteri</v>
      </c>
      <c r="B29" s="42">
        <v>2.0</v>
      </c>
      <c r="C29" s="43">
        <f>IF(B29&gt;B31,1,0)</f>
        <v>0</v>
      </c>
      <c r="D29" s="44"/>
      <c r="E29" s="42">
        <v>0.0</v>
      </c>
      <c r="F29" s="43">
        <f>IF(E29&gt;E31,1,0)</f>
        <v>0</v>
      </c>
      <c r="G29" s="44"/>
      <c r="H29" s="45"/>
      <c r="I29" s="27">
        <f>IF(H29&gt;H31,1,0)</f>
        <v>0</v>
      </c>
      <c r="J29" s="27">
        <f>IF(B29="",0,1)</f>
        <v>1</v>
      </c>
      <c r="K29" s="27">
        <f>IF(C29+F29=2,3,IF(C29+F29=1,1,0))</f>
        <v>0</v>
      </c>
      <c r="L29" s="27">
        <f>IF(K29=3,3,IF(I29+K29=2,2,IF(K29=1,1,0)))</f>
        <v>0</v>
      </c>
      <c r="M29" s="27">
        <f>B29+E29</f>
        <v>2</v>
      </c>
      <c r="N29" s="27">
        <f>C29+F29+I29</f>
        <v>0</v>
      </c>
      <c r="O29" s="27"/>
      <c r="P29" s="41" t="str">
        <f>AE13</f>
        <v>Amanda Falzon</v>
      </c>
      <c r="Q29" s="42">
        <v>6.0</v>
      </c>
      <c r="R29" s="43">
        <f>IF(Q29&gt;Q31,1,0)</f>
        <v>1</v>
      </c>
      <c r="S29" s="44"/>
      <c r="T29" s="42">
        <v>6.0</v>
      </c>
      <c r="U29" s="43">
        <f>IF(T29&gt;T31,1,0)</f>
        <v>1</v>
      </c>
      <c r="V29" s="44"/>
      <c r="W29" s="45"/>
      <c r="X29" s="27">
        <f>IF(W29&gt;W31,1,0)</f>
        <v>0</v>
      </c>
      <c r="Y29" s="27">
        <f>IF(Q29="",0,1)</f>
        <v>1</v>
      </c>
      <c r="Z29" s="27">
        <f>IF(R29+U29=2,3,IF(R29+U29=1,1,0))</f>
        <v>3</v>
      </c>
      <c r="AA29" s="27">
        <f>IF(Z29=3,3,IF(X29+Z29=2,2,IF(Z29=1,1,0)))</f>
        <v>3</v>
      </c>
      <c r="AB29" s="27">
        <f>Q29+T29</f>
        <v>12</v>
      </c>
      <c r="AC29" s="27">
        <f>R29+U29+X29</f>
        <v>2</v>
      </c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</row>
    <row r="30" ht="14.25" customHeight="1">
      <c r="A30" s="49" t="s">
        <v>78</v>
      </c>
      <c r="H30" s="50"/>
      <c r="I30" s="51"/>
      <c r="J30" s="27"/>
      <c r="K30" s="27"/>
      <c r="L30" s="27"/>
      <c r="M30" s="27"/>
      <c r="N30" s="27"/>
      <c r="O30" s="27"/>
      <c r="P30" s="49" t="s">
        <v>78</v>
      </c>
      <c r="W30" s="50"/>
      <c r="X30" s="51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58"/>
      <c r="AM30" s="27"/>
      <c r="AN30" s="27"/>
    </row>
    <row r="31" ht="14.25" customHeight="1">
      <c r="A31" s="52" t="str">
        <f>AE19</f>
        <v>Diane Fenech</v>
      </c>
      <c r="B31" s="42">
        <v>6.0</v>
      </c>
      <c r="C31" s="53">
        <f>IF(B31&gt;B29,1,0)</f>
        <v>1</v>
      </c>
      <c r="D31" s="54"/>
      <c r="E31" s="42">
        <v>6.0</v>
      </c>
      <c r="F31" s="53">
        <f>IF(E31&gt;E29,1,0)</f>
        <v>1</v>
      </c>
      <c r="G31" s="54"/>
      <c r="H31" s="45"/>
      <c r="I31" s="27">
        <f>IF(H31&gt;H29,1,0)</f>
        <v>0</v>
      </c>
      <c r="J31" s="27">
        <f>IF(B31="",0,1)</f>
        <v>1</v>
      </c>
      <c r="K31" s="27">
        <f>IF(C31+F31=2,3,IF(C31+F31=1,1,0))</f>
        <v>3</v>
      </c>
      <c r="L31" s="27">
        <f>IF(K31=3,3,IF(I31+K31=2,2,IF(K31=1,1,0)))</f>
        <v>3</v>
      </c>
      <c r="M31" s="27">
        <f>B31+E31</f>
        <v>12</v>
      </c>
      <c r="N31" s="27">
        <f>C31+F31+I31</f>
        <v>2</v>
      </c>
      <c r="O31" s="27"/>
      <c r="P31" s="52" t="str">
        <f>AE15</f>
        <v>Julie Spiteri</v>
      </c>
      <c r="Q31" s="42">
        <v>2.0</v>
      </c>
      <c r="R31" s="53">
        <f>IF(Q31&gt;Q29,1,0)</f>
        <v>0</v>
      </c>
      <c r="S31" s="54"/>
      <c r="T31" s="42">
        <v>3.0</v>
      </c>
      <c r="U31" s="53">
        <f>IF(T31&gt;T29,1,0)</f>
        <v>0</v>
      </c>
      <c r="V31" s="54"/>
      <c r="W31" s="45"/>
      <c r="X31" s="27">
        <f>IF(W31&gt;W29,1,0)</f>
        <v>0</v>
      </c>
      <c r="Y31" s="27">
        <f>IF(Q31="",0,1)</f>
        <v>1</v>
      </c>
      <c r="Z31" s="27">
        <f>IF(R31+U31=2,3,IF(R31+U31=1,1,0))</f>
        <v>0</v>
      </c>
      <c r="AA31" s="27">
        <f>IF(Z31=3,3,IF(X31+Z31=2,2,IF(Z31=1,1,0)))</f>
        <v>0</v>
      </c>
      <c r="AB31" s="27">
        <f>Q31+T31</f>
        <v>5</v>
      </c>
      <c r="AC31" s="27">
        <f>R31+U31+X31</f>
        <v>0</v>
      </c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36"/>
    </row>
    <row r="32" ht="14.25" customHeight="1">
      <c r="A32" s="27"/>
      <c r="B32" s="27"/>
      <c r="C32" s="27"/>
      <c r="D32" s="27"/>
      <c r="E32" s="27"/>
      <c r="F32" s="27"/>
      <c r="G32" s="27"/>
      <c r="H32" s="53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53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58"/>
      <c r="AM32" s="27"/>
      <c r="AN32" s="27"/>
    </row>
    <row r="33" ht="14.25" customHeight="1">
      <c r="A33" s="41" t="str">
        <f>AE17</f>
        <v>Francesca Sciortino</v>
      </c>
      <c r="B33" s="42">
        <v>3.0</v>
      </c>
      <c r="C33" s="43">
        <f>IF(B33&gt;B35,1,0)</f>
        <v>0</v>
      </c>
      <c r="D33" s="44"/>
      <c r="E33" s="42">
        <v>3.0</v>
      </c>
      <c r="F33" s="43">
        <f>IF(E33&gt;E35,1,0)</f>
        <v>0</v>
      </c>
      <c r="G33" s="44"/>
      <c r="H33" s="45"/>
      <c r="I33" s="27">
        <f>IF(H33&gt;H35,1,0)</f>
        <v>0</v>
      </c>
      <c r="J33" s="27">
        <f>IF(B33="",0,1)</f>
        <v>1</v>
      </c>
      <c r="K33" s="27">
        <f>IF(C33+F33=2,3,IF(C33+F33=1,1,0))</f>
        <v>0</v>
      </c>
      <c r="L33" s="27">
        <f>IF(K33=3,3,IF(I33+K33=2,2,IF(K33=1,1,0)))</f>
        <v>0</v>
      </c>
      <c r="M33" s="27">
        <f>B33+E33</f>
        <v>6</v>
      </c>
      <c r="N33" s="27">
        <f>C33+F33+I33</f>
        <v>0</v>
      </c>
      <c r="O33" s="27"/>
      <c r="P33" s="41" t="str">
        <f>AE13</f>
        <v>Amanda Falzon</v>
      </c>
      <c r="Q33" s="42">
        <v>6.0</v>
      </c>
      <c r="R33" s="43">
        <f>IF(Q33&gt;Q35,1,0)</f>
        <v>1</v>
      </c>
      <c r="S33" s="44"/>
      <c r="T33" s="42">
        <v>6.0</v>
      </c>
      <c r="U33" s="43">
        <f>IF(T33&gt;T35,1,0)</f>
        <v>1</v>
      </c>
      <c r="V33" s="44"/>
      <c r="W33" s="45"/>
      <c r="X33" s="27">
        <f>IF(W33&gt;W35,1,0)</f>
        <v>0</v>
      </c>
      <c r="Y33" s="27">
        <f>IF(Q33="",0,1)</f>
        <v>1</v>
      </c>
      <c r="Z33" s="27">
        <f>IF(R33+U33=2,3,IF(R33+U33=1,1,0))</f>
        <v>3</v>
      </c>
      <c r="AA33" s="27">
        <f>IF(Z33=3,3,IF(X33+Z33=2,2,IF(Z33=1,1,0)))</f>
        <v>3</v>
      </c>
      <c r="AB33" s="27">
        <f>Q33+T33</f>
        <v>12</v>
      </c>
      <c r="AC33" s="27">
        <f>R33+U33+X33</f>
        <v>2</v>
      </c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</row>
    <row r="34" ht="14.25" customHeight="1">
      <c r="A34" s="49" t="s">
        <v>78</v>
      </c>
      <c r="H34" s="50"/>
      <c r="I34" s="51"/>
      <c r="J34" s="27"/>
      <c r="K34" s="27"/>
      <c r="L34" s="27"/>
      <c r="M34" s="27"/>
      <c r="N34" s="27"/>
      <c r="O34" s="27"/>
      <c r="P34" s="49" t="s">
        <v>78</v>
      </c>
      <c r="W34" s="50"/>
      <c r="X34" s="51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</row>
    <row r="35" ht="14.25" customHeight="1">
      <c r="A35" s="52" t="str">
        <f>AE19</f>
        <v>Diane Fenech</v>
      </c>
      <c r="B35" s="42">
        <v>6.0</v>
      </c>
      <c r="C35" s="53">
        <f>IF(B35&gt;B33,1,0)</f>
        <v>1</v>
      </c>
      <c r="D35" s="54"/>
      <c r="E35" s="42">
        <v>6.0</v>
      </c>
      <c r="F35" s="53">
        <f>IF(E35&gt;E33,1,0)</f>
        <v>1</v>
      </c>
      <c r="G35" s="54"/>
      <c r="H35" s="45"/>
      <c r="I35" s="27">
        <f>IF(H35&gt;H33,1,0)</f>
        <v>0</v>
      </c>
      <c r="J35" s="27">
        <f>IF(B35="",0,1)</f>
        <v>1</v>
      </c>
      <c r="K35" s="27">
        <f>IF(C35+F35=2,3,IF(C35+F35=1,1,0))</f>
        <v>3</v>
      </c>
      <c r="L35" s="27">
        <f>IF(K35=3,3,IF(I35+K35=2,2,IF(K35=1,1,0)))</f>
        <v>3</v>
      </c>
      <c r="M35" s="27">
        <f>B35+E35</f>
        <v>12</v>
      </c>
      <c r="N35" s="27">
        <f>C35+F35+I35</f>
        <v>2</v>
      </c>
      <c r="O35" s="27"/>
      <c r="P35" s="52" t="str">
        <f>AE19</f>
        <v>Diane Fenech</v>
      </c>
      <c r="Q35" s="42">
        <v>2.0</v>
      </c>
      <c r="R35" s="53">
        <f>IF(Q35&gt;Q33,1,0)</f>
        <v>0</v>
      </c>
      <c r="S35" s="54"/>
      <c r="T35" s="42">
        <v>4.0</v>
      </c>
      <c r="U35" s="53">
        <f>IF(T35&gt;T33,1,0)</f>
        <v>0</v>
      </c>
      <c r="V35" s="54"/>
      <c r="W35" s="45"/>
      <c r="X35" s="27">
        <f>IF(W35&gt;W33,1,0)</f>
        <v>0</v>
      </c>
      <c r="Y35" s="27">
        <f>IF(Q35="",0,1)</f>
        <v>1</v>
      </c>
      <c r="Z35" s="27">
        <f>IF(R35+U35=2,3,IF(R35+U35=1,1,0))</f>
        <v>0</v>
      </c>
      <c r="AA35" s="27">
        <f>IF(Z35=3,3,IF(X35+Z35=2,2,IF(Z35=1,1,0)))</f>
        <v>0</v>
      </c>
      <c r="AB35" s="27">
        <f>Q35+T35</f>
        <v>6</v>
      </c>
      <c r="AC35" s="27">
        <f>R35+U35+X35</f>
        <v>0</v>
      </c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</row>
    <row r="36" ht="14.25" customHeight="1">
      <c r="A36" s="27"/>
      <c r="B36" s="27"/>
      <c r="C36" s="27"/>
      <c r="D36" s="27"/>
      <c r="E36" s="27"/>
      <c r="F36" s="27"/>
      <c r="G36" s="27"/>
      <c r="H36" s="53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36"/>
      <c r="AI36" s="27"/>
      <c r="AJ36" s="27"/>
      <c r="AK36" s="36"/>
      <c r="AL36" s="27"/>
      <c r="AM36" s="27"/>
      <c r="AN36" s="27"/>
    </row>
    <row r="37" ht="14.25" customHeight="1">
      <c r="A37" s="41" t="str">
        <f>AE15</f>
        <v>Julie Spiteri</v>
      </c>
      <c r="B37" s="42">
        <v>6.0</v>
      </c>
      <c r="C37" s="43">
        <f>IF(B37&gt;B39,1,0)</f>
        <v>1</v>
      </c>
      <c r="D37" s="44"/>
      <c r="E37" s="42">
        <v>4.0</v>
      </c>
      <c r="F37" s="43">
        <f>IF(E37&gt;E39,1,0)</f>
        <v>0</v>
      </c>
      <c r="G37" s="44"/>
      <c r="H37" s="42">
        <v>10.0</v>
      </c>
      <c r="I37" s="27">
        <f>IF(H37&gt;H39,1,0)</f>
        <v>1</v>
      </c>
      <c r="J37" s="27">
        <f>IF(B37="",0,1)</f>
        <v>1</v>
      </c>
      <c r="K37" s="27">
        <f>IF(C37+F37=2,3,IF(C37+F37=1,1,0))</f>
        <v>1</v>
      </c>
      <c r="L37" s="27">
        <f>IF(K37=3,3,IF(I37+K37=2,2,IF(K37=1,1,0)))</f>
        <v>2</v>
      </c>
      <c r="M37" s="27">
        <f>B37+E37</f>
        <v>10</v>
      </c>
      <c r="N37" s="27">
        <f>C37+F37+I37</f>
        <v>2</v>
      </c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36"/>
      <c r="AL37" s="27"/>
      <c r="AM37" s="27"/>
      <c r="AN37" s="27"/>
    </row>
    <row r="38" ht="14.25" customHeight="1">
      <c r="A38" s="49" t="s">
        <v>78</v>
      </c>
      <c r="H38" s="50"/>
      <c r="I38" s="51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59"/>
      <c r="AK38" s="27"/>
      <c r="AL38" s="27"/>
      <c r="AM38" s="27"/>
      <c r="AN38" s="27"/>
    </row>
    <row r="39" ht="14.25" customHeight="1">
      <c r="A39" s="52" t="str">
        <f>AE17</f>
        <v>Francesca Sciortino</v>
      </c>
      <c r="B39" s="42">
        <v>4.0</v>
      </c>
      <c r="C39" s="53">
        <f>IF(B39&gt;B37,1,0)</f>
        <v>0</v>
      </c>
      <c r="D39" s="54"/>
      <c r="E39" s="42">
        <v>6.0</v>
      </c>
      <c r="F39" s="53">
        <f>IF(E39&gt;E37,1,0)</f>
        <v>1</v>
      </c>
      <c r="G39" s="54"/>
      <c r="H39" s="42">
        <v>8.0</v>
      </c>
      <c r="I39" s="27">
        <f>IF(H39&gt;H37,1,0)</f>
        <v>0</v>
      </c>
      <c r="J39" s="27">
        <f>IF(B39="",0,1)</f>
        <v>1</v>
      </c>
      <c r="K39" s="27">
        <f>IF(C39+F39=2,3,IF(C39+F39=1,1,0))</f>
        <v>1</v>
      </c>
      <c r="L39" s="27">
        <f>IF(K39=3,3,IF(I39+K39=2,2,IF(K39=1,1,0)))</f>
        <v>1</v>
      </c>
      <c r="M39" s="27">
        <f>B39+E39</f>
        <v>10</v>
      </c>
      <c r="N39" s="27">
        <f>C39+F39+I39</f>
        <v>1</v>
      </c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</row>
    <row r="40" ht="14.2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</row>
    <row r="41" ht="14.2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59"/>
      <c r="AK41" s="27"/>
      <c r="AL41" s="27"/>
      <c r="AM41" s="27"/>
      <c r="AN41" s="27"/>
    </row>
    <row r="42" ht="14.2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</row>
    <row r="43" ht="14.2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</row>
    <row r="44" ht="14.2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</row>
    <row r="45" ht="14.2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</row>
    <row r="46" ht="14.2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59"/>
      <c r="AK46" s="27"/>
      <c r="AL46" s="36"/>
      <c r="AM46" s="27"/>
      <c r="AN46" s="27"/>
    </row>
    <row r="47" ht="14.2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</row>
    <row r="48" ht="14.2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</row>
    <row r="49" ht="14.2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</row>
    <row r="50" ht="14.2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</row>
    <row r="51" ht="14.2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59"/>
      <c r="AK51" s="27"/>
      <c r="AL51" s="27"/>
      <c r="AM51" s="27"/>
      <c r="AN51" s="36"/>
    </row>
    <row r="52" ht="14.2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</row>
    <row r="53" ht="14.2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</row>
    <row r="54" ht="14.2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</row>
    <row r="55" ht="14.2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36"/>
      <c r="AI55" s="27"/>
      <c r="AJ55" s="27"/>
      <c r="AK55" s="36"/>
      <c r="AL55" s="27"/>
      <c r="AM55" s="27"/>
      <c r="AN55" s="27"/>
    </row>
    <row r="56" ht="14.2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</row>
    <row r="57" ht="14.2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</row>
    <row r="58" ht="14.2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</row>
    <row r="59" ht="14.2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</row>
    <row r="60" ht="14.2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</row>
    <row r="61" ht="14.2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</row>
    <row r="62" ht="14.2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</row>
    <row r="63" ht="14.2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</row>
    <row r="64" ht="14.2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</row>
    <row r="65" ht="14.2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</row>
    <row r="66" ht="14.2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</row>
    <row r="67" ht="14.2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</row>
    <row r="68" ht="14.2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</row>
    <row r="69" ht="14.2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</row>
    <row r="70" ht="14.2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</row>
    <row r="71" ht="14.2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</row>
    <row r="72" ht="14.2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</row>
    <row r="73" ht="14.2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</row>
    <row r="74" ht="14.2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</row>
    <row r="75" ht="14.2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</row>
    <row r="76" ht="14.2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</row>
    <row r="77" ht="14.2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</row>
    <row r="78" ht="14.2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</row>
    <row r="79" ht="14.2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</row>
    <row r="80" ht="14.2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</row>
    <row r="81" ht="14.2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</row>
    <row r="82" ht="14.2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</row>
    <row r="83" ht="14.2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</row>
    <row r="84" ht="14.2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</row>
    <row r="85" ht="14.2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</row>
    <row r="86" ht="14.2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</row>
    <row r="87" ht="14.2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</row>
    <row r="88" ht="14.2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</row>
    <row r="89" ht="14.2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</row>
    <row r="90" ht="14.2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</row>
    <row r="91" ht="14.2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</row>
    <row r="92" ht="14.2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</row>
    <row r="93" ht="14.2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</row>
    <row r="94" ht="14.2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</row>
    <row r="95" ht="14.2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</row>
    <row r="96" ht="14.2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</row>
    <row r="97" ht="14.2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</row>
    <row r="98" ht="14.2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</row>
    <row r="99" ht="14.2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</row>
    <row r="100" ht="14.2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</row>
    <row r="101" ht="14.2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</row>
    <row r="102" ht="14.2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</row>
    <row r="103" ht="14.2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</row>
    <row r="104" ht="14.2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</row>
    <row r="105" ht="14.2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36"/>
      <c r="R105" s="36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</row>
    <row r="106" ht="14.2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</row>
    <row r="107" ht="14.2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</row>
    <row r="108" ht="14.2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</row>
    <row r="109" ht="14.2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</row>
    <row r="110" ht="14.2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</row>
    <row r="111" ht="14.2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</row>
    <row r="112" ht="14.2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</row>
    <row r="113" ht="14.2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</row>
    <row r="114" ht="14.2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</row>
    <row r="115" ht="14.2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</row>
    <row r="116" ht="14.2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</row>
    <row r="117" ht="14.2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</row>
    <row r="118" ht="14.2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</row>
    <row r="119" ht="14.2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</row>
    <row r="120" ht="14.2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</row>
    <row r="121" ht="14.2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</row>
    <row r="122" ht="14.2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</row>
    <row r="123" ht="14.2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</row>
    <row r="124" ht="14.2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</row>
    <row r="125" ht="14.2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</row>
    <row r="126" ht="14.2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</row>
    <row r="127" ht="14.2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</row>
    <row r="128" ht="14.2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</row>
    <row r="129" ht="14.2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</row>
    <row r="130" ht="14.2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</row>
    <row r="131" ht="14.2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</row>
    <row r="132" ht="14.2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</row>
    <row r="133" ht="14.2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</row>
    <row r="134" ht="14.2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</row>
    <row r="135" ht="14.2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</row>
    <row r="136" ht="14.2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</row>
    <row r="137" ht="14.2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</row>
    <row r="138" ht="14.2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</row>
    <row r="139" ht="14.2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</row>
    <row r="140" ht="14.2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</row>
    <row r="141" ht="14.2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</row>
    <row r="142" ht="14.2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</row>
    <row r="143" ht="14.2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</row>
    <row r="144" ht="14.2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</row>
    <row r="145" ht="14.2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</row>
    <row r="146" ht="14.2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</row>
    <row r="147" ht="14.2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</row>
    <row r="148" ht="14.2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</row>
    <row r="149" ht="14.2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</row>
    <row r="150" ht="14.2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</row>
    <row r="151" ht="14.2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</row>
    <row r="152" ht="14.2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</row>
    <row r="153" ht="14.2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</row>
    <row r="154" ht="14.2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</row>
    <row r="155" ht="14.2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</row>
    <row r="156" ht="14.2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</row>
    <row r="157" ht="14.2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</row>
    <row r="158" ht="14.2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</row>
    <row r="159" ht="14.2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</row>
    <row r="160" ht="14.2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</row>
    <row r="161" ht="14.2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</row>
    <row r="162" ht="14.2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</row>
    <row r="163" ht="14.2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</row>
    <row r="164" ht="14.2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</row>
    <row r="165" ht="14.2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</row>
    <row r="166" ht="14.2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</row>
    <row r="167" ht="14.2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</row>
    <row r="168" ht="14.2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</row>
    <row r="169" ht="14.2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</row>
    <row r="170" ht="14.2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</row>
    <row r="171" ht="14.2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</row>
    <row r="172" ht="14.2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</row>
    <row r="173" ht="14.2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</row>
    <row r="174" ht="14.2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</row>
    <row r="175" ht="14.2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</row>
    <row r="176" ht="14.2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</row>
    <row r="177" ht="14.2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</row>
    <row r="178" ht="14.2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</row>
    <row r="179" ht="14.2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</row>
    <row r="180" ht="14.2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</row>
    <row r="181" ht="14.2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</row>
    <row r="182" ht="14.2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</row>
    <row r="183" ht="14.2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</row>
    <row r="184" ht="14.2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</row>
    <row r="185" ht="14.2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</row>
    <row r="186" ht="14.2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</row>
    <row r="187" ht="14.2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</row>
    <row r="188" ht="14.2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</row>
    <row r="189" ht="14.2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</row>
    <row r="190" ht="14.2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</row>
    <row r="191" ht="14.2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</row>
    <row r="192" ht="14.2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</row>
    <row r="193" ht="14.2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</row>
    <row r="194" ht="14.2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</row>
    <row r="195" ht="14.2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</row>
    <row r="196" ht="14.2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</row>
    <row r="197" ht="14.2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</row>
    <row r="198" ht="14.2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</row>
    <row r="199" ht="14.2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</row>
    <row r="200" ht="14.2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</row>
    <row r="201" ht="14.2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</row>
    <row r="202" ht="14.2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</row>
    <row r="203" ht="14.2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</row>
    <row r="204" ht="14.2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</row>
    <row r="205" ht="14.2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</row>
    <row r="206" ht="14.2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</row>
    <row r="207" ht="14.2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</row>
    <row r="208" ht="14.2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</row>
    <row r="209" ht="14.2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</row>
    <row r="210" ht="14.2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</row>
    <row r="211" ht="14.2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</row>
    <row r="212" ht="14.2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</row>
    <row r="213" ht="14.2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</row>
    <row r="214" ht="14.2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</row>
    <row r="215" ht="14.2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</row>
    <row r="216" ht="14.2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</row>
    <row r="217" ht="14.2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</row>
    <row r="218" ht="14.2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</row>
    <row r="219" ht="14.2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</row>
    <row r="220" ht="14.2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</row>
    <row r="221" ht="14.2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</row>
    <row r="222" ht="14.2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</row>
    <row r="223" ht="14.2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</row>
    <row r="224" ht="14.2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</row>
    <row r="225" ht="14.2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</row>
    <row r="226" ht="14.2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</row>
    <row r="227" ht="14.2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</row>
    <row r="228" ht="14.2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</row>
    <row r="229" ht="14.2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</row>
    <row r="230" ht="14.2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</row>
    <row r="231" ht="14.2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</row>
    <row r="232" ht="14.2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</row>
    <row r="233" ht="14.2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</row>
    <row r="234" ht="14.2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</row>
    <row r="235" ht="14.2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</row>
    <row r="236" ht="14.2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</row>
    <row r="237" ht="14.2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</row>
    <row r="238" ht="14.2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</row>
    <row r="239" ht="14.2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</row>
    <row r="240" ht="14.2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</row>
    <row r="241" ht="14.2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</row>
    <row r="242" ht="14.2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</row>
    <row r="243" ht="14.2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</row>
    <row r="244" ht="14.2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</row>
    <row r="245" ht="14.2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</row>
    <row r="246" ht="14.2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</row>
    <row r="247" ht="14.2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</row>
    <row r="248" ht="14.2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</row>
    <row r="249" ht="14.2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</row>
    <row r="250" ht="14.2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</row>
    <row r="251" ht="14.2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</row>
    <row r="252" ht="14.2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</row>
    <row r="253" ht="14.2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</row>
    <row r="254" ht="14.2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</row>
    <row r="255" ht="14.2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</row>
    <row r="256" ht="14.2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</row>
    <row r="257" ht="14.2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</row>
    <row r="258" ht="14.2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</row>
    <row r="259" ht="14.2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</row>
    <row r="260" ht="14.2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</row>
    <row r="261" ht="14.2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</row>
    <row r="262" ht="14.2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</row>
    <row r="263" ht="14.2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</row>
    <row r="264" ht="14.2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</row>
    <row r="265" ht="14.2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</row>
    <row r="266" ht="14.2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</row>
    <row r="267" ht="14.2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</row>
    <row r="268" ht="14.2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</row>
    <row r="269" ht="14.2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</row>
    <row r="270" ht="14.2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</row>
    <row r="271" ht="14.2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</row>
    <row r="272" ht="14.2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</row>
    <row r="273" ht="14.2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</row>
    <row r="274" ht="14.2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</row>
    <row r="275" ht="14.2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</row>
    <row r="276" ht="14.2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</row>
    <row r="277" ht="14.2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</row>
    <row r="278" ht="14.2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</row>
    <row r="279" ht="14.2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</row>
    <row r="280" ht="14.2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</row>
    <row r="281" ht="14.2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</row>
    <row r="282" ht="14.2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</row>
    <row r="283" ht="14.2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</row>
    <row r="284" ht="14.2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</row>
    <row r="285" ht="14.2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</row>
    <row r="286" ht="14.2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</row>
    <row r="287" ht="14.2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</row>
    <row r="288" ht="14.2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</row>
    <row r="289" ht="14.2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</row>
    <row r="290" ht="14.2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</row>
    <row r="291" ht="14.2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</row>
    <row r="292" ht="14.2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</row>
    <row r="293" ht="14.2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</row>
    <row r="294" ht="14.2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</row>
    <row r="295" ht="14.2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</row>
    <row r="296" ht="14.2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</row>
    <row r="297" ht="14.2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</row>
    <row r="298" ht="14.2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</row>
    <row r="299" ht="14.2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</row>
    <row r="300" ht="14.2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</row>
    <row r="301" ht="14.2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</row>
    <row r="302" ht="14.2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</row>
    <row r="303" ht="14.2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</row>
    <row r="304" ht="14.2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</row>
    <row r="305" ht="14.2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</row>
    <row r="306" ht="14.2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</row>
    <row r="307" ht="14.2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</row>
    <row r="308" ht="14.2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</row>
    <row r="309" ht="14.2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</row>
    <row r="310" ht="14.2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</row>
    <row r="311" ht="14.2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</row>
    <row r="312" ht="14.2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</row>
    <row r="313" ht="14.2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</row>
    <row r="314" ht="14.2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</row>
    <row r="315" ht="14.2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</row>
    <row r="316" ht="14.2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</row>
    <row r="317" ht="14.2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</row>
    <row r="318" ht="14.2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</row>
    <row r="319" ht="14.2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</row>
    <row r="320" ht="14.2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</row>
    <row r="321" ht="14.2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</row>
    <row r="322" ht="14.2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</row>
    <row r="323" ht="14.2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</row>
    <row r="324" ht="14.2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</row>
    <row r="325" ht="14.2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</row>
    <row r="326" ht="14.2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</row>
    <row r="327" ht="14.2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</row>
    <row r="328" ht="14.2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</row>
    <row r="329" ht="14.2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</row>
    <row r="330" ht="14.2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</row>
    <row r="331" ht="14.2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</row>
    <row r="332" ht="14.2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</row>
    <row r="333" ht="14.2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</row>
    <row r="334" ht="14.2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</row>
    <row r="335" ht="14.2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</row>
    <row r="336" ht="14.2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</row>
    <row r="337" ht="14.2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</row>
    <row r="338" ht="14.2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</row>
    <row r="339" ht="14.2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</row>
    <row r="340" ht="14.2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</row>
    <row r="341" ht="14.2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</row>
    <row r="342" ht="14.2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</row>
    <row r="343" ht="14.2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</row>
    <row r="344" ht="14.2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</row>
    <row r="345" ht="14.2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</row>
    <row r="346" ht="14.2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</row>
    <row r="347" ht="14.2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</row>
    <row r="348" ht="14.2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</row>
    <row r="349" ht="14.2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</row>
    <row r="350" ht="14.2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</row>
    <row r="351" ht="14.2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</row>
    <row r="352" ht="14.2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</row>
    <row r="353" ht="14.2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</row>
    <row r="354" ht="14.2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</row>
    <row r="355" ht="14.2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</row>
    <row r="356" ht="14.2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</row>
    <row r="357" ht="14.2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</row>
    <row r="358" ht="14.2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</row>
    <row r="359" ht="14.2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</row>
    <row r="360" ht="14.2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</row>
    <row r="361" ht="14.2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</row>
    <row r="362" ht="14.2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</row>
    <row r="363" ht="14.2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</row>
    <row r="364" ht="14.2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</row>
    <row r="365" ht="14.2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</row>
    <row r="366" ht="14.2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</row>
    <row r="367" ht="14.2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</row>
    <row r="368" ht="14.2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</row>
    <row r="369" ht="14.2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</row>
    <row r="370" ht="14.2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</row>
    <row r="371" ht="14.2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</row>
    <row r="372" ht="14.2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</row>
    <row r="373" ht="14.2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</row>
    <row r="374" ht="14.2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</row>
    <row r="375" ht="14.2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</row>
    <row r="376" ht="14.2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</row>
    <row r="377" ht="14.2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</row>
    <row r="378" ht="14.2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</row>
    <row r="379" ht="14.2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</row>
    <row r="380" ht="14.2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</row>
    <row r="381" ht="14.2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</row>
    <row r="382" ht="14.2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</row>
    <row r="383" ht="14.2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</row>
    <row r="384" ht="14.2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</row>
    <row r="385" ht="14.2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</row>
    <row r="386" ht="14.2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</row>
    <row r="387" ht="14.2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</row>
    <row r="388" ht="14.2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</row>
    <row r="389" ht="14.2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</row>
    <row r="390" ht="14.2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</row>
    <row r="391" ht="14.2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</row>
    <row r="392" ht="14.2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</row>
    <row r="393" ht="14.2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</row>
    <row r="394" ht="14.2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</row>
    <row r="395" ht="14.2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</row>
    <row r="396" ht="14.2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</row>
    <row r="397" ht="14.2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</row>
    <row r="398" ht="14.2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</row>
    <row r="399" ht="14.2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</row>
    <row r="400" ht="14.2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</row>
    <row r="401" ht="14.2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</row>
    <row r="402" ht="14.2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</row>
    <row r="403" ht="14.2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</row>
    <row r="404" ht="14.2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</row>
    <row r="405" ht="14.2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</row>
    <row r="406" ht="14.2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</row>
    <row r="407" ht="14.2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</row>
    <row r="408" ht="14.2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</row>
    <row r="409" ht="14.2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</row>
    <row r="410" ht="14.2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</row>
    <row r="411" ht="14.2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</row>
    <row r="412" ht="14.2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</row>
    <row r="413" ht="14.2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</row>
    <row r="414" ht="14.2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</row>
    <row r="415" ht="14.2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</row>
    <row r="416" ht="14.2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</row>
    <row r="417" ht="14.2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</row>
    <row r="418" ht="14.2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</row>
    <row r="419" ht="14.2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</row>
    <row r="420" ht="14.2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</row>
    <row r="421" ht="14.2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</row>
    <row r="422" ht="14.2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</row>
    <row r="423" ht="14.2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</row>
    <row r="424" ht="14.2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</row>
    <row r="425" ht="14.2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</row>
    <row r="426" ht="14.2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</row>
    <row r="427" ht="14.2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</row>
    <row r="428" ht="14.2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</row>
    <row r="429" ht="14.2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</row>
    <row r="430" ht="14.2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</row>
    <row r="431" ht="14.2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</row>
    <row r="432" ht="14.2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</row>
    <row r="433" ht="14.2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</row>
    <row r="434" ht="14.2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</row>
    <row r="435" ht="14.2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</row>
    <row r="436" ht="14.2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</row>
    <row r="437" ht="14.2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</row>
    <row r="438" ht="14.2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</row>
    <row r="439" ht="14.2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</row>
    <row r="440" ht="14.2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</row>
    <row r="441" ht="14.2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</row>
    <row r="442" ht="14.2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</row>
    <row r="443" ht="14.2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</row>
    <row r="444" ht="14.2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</row>
    <row r="445" ht="14.2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</row>
    <row r="446" ht="14.2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</row>
    <row r="447" ht="14.2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</row>
    <row r="448" ht="14.2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</row>
    <row r="449" ht="14.2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</row>
    <row r="450" ht="14.2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</row>
    <row r="451" ht="14.2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</row>
    <row r="452" ht="14.2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</row>
    <row r="453" ht="14.2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</row>
    <row r="454" ht="14.2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</row>
    <row r="455" ht="14.2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</row>
    <row r="456" ht="14.2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</row>
    <row r="457" ht="14.2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</row>
    <row r="458" ht="14.2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</row>
    <row r="459" ht="14.2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</row>
    <row r="460" ht="14.2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</row>
    <row r="461" ht="14.2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</row>
    <row r="462" ht="14.2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</row>
    <row r="463" ht="14.2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</row>
    <row r="464" ht="14.2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</row>
    <row r="465" ht="14.2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</row>
    <row r="466" ht="14.2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</row>
    <row r="467" ht="14.2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</row>
    <row r="468" ht="14.2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</row>
    <row r="469" ht="14.2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</row>
    <row r="470" ht="14.2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</row>
    <row r="471" ht="14.2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</row>
    <row r="472" ht="14.2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</row>
    <row r="473" ht="14.2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</row>
    <row r="474" ht="14.2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</row>
    <row r="475" ht="14.2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</row>
    <row r="476" ht="14.2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</row>
    <row r="477" ht="14.2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</row>
    <row r="478" ht="14.2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</row>
    <row r="479" ht="14.2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</row>
    <row r="480" ht="14.2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</row>
    <row r="481" ht="14.2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</row>
    <row r="482" ht="14.2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</row>
    <row r="483" ht="14.2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</row>
    <row r="484" ht="14.2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</row>
    <row r="485" ht="14.2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</row>
    <row r="486" ht="14.2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</row>
    <row r="487" ht="14.2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</row>
    <row r="488" ht="14.2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</row>
    <row r="489" ht="14.2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</row>
    <row r="490" ht="14.2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</row>
    <row r="491" ht="14.2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</row>
    <row r="492" ht="14.2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</row>
    <row r="493" ht="14.2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</row>
    <row r="494" ht="14.2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</row>
    <row r="495" ht="14.2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</row>
    <row r="496" ht="14.2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</row>
    <row r="497" ht="14.2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</row>
    <row r="498" ht="14.2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</row>
    <row r="499" ht="14.2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</row>
    <row r="500" ht="14.2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</row>
    <row r="501" ht="14.2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</row>
    <row r="502" ht="14.2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</row>
    <row r="503" ht="14.2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</row>
    <row r="504" ht="14.2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</row>
    <row r="505" ht="14.2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</row>
    <row r="506" ht="14.2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</row>
    <row r="507" ht="14.2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</row>
    <row r="508" ht="14.2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</row>
    <row r="509" ht="14.2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</row>
    <row r="510" ht="14.2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</row>
    <row r="511" ht="14.2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</row>
    <row r="512" ht="14.2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</row>
    <row r="513" ht="14.2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</row>
    <row r="514" ht="14.2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</row>
    <row r="515" ht="14.2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</row>
    <row r="516" ht="14.2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</row>
    <row r="517" ht="14.2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</row>
    <row r="518" ht="14.2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</row>
    <row r="519" ht="14.2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</row>
    <row r="520" ht="14.2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</row>
    <row r="521" ht="14.2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</row>
    <row r="522" ht="14.2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</row>
    <row r="523" ht="14.2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</row>
    <row r="524" ht="14.2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</row>
    <row r="525" ht="14.2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</row>
    <row r="526" ht="14.2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</row>
    <row r="527" ht="14.2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</row>
    <row r="528" ht="14.2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</row>
    <row r="529" ht="14.2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</row>
    <row r="530" ht="14.2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</row>
    <row r="531" ht="14.2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</row>
    <row r="532" ht="14.2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</row>
    <row r="533" ht="14.2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</row>
    <row r="534" ht="14.2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</row>
    <row r="535" ht="14.2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</row>
    <row r="536" ht="14.2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</row>
    <row r="537" ht="14.2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</row>
    <row r="538" ht="14.2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</row>
    <row r="539" ht="14.2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</row>
    <row r="540" ht="14.2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</row>
    <row r="541" ht="14.2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</row>
    <row r="542" ht="14.2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</row>
    <row r="543" ht="14.2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</row>
    <row r="544" ht="14.2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</row>
    <row r="545" ht="14.2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</row>
    <row r="546" ht="14.2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</row>
    <row r="547" ht="14.2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</row>
    <row r="548" ht="14.2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</row>
    <row r="549" ht="14.2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</row>
    <row r="550" ht="14.2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</row>
    <row r="551" ht="14.2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</row>
    <row r="552" ht="14.2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</row>
    <row r="553" ht="14.2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</row>
    <row r="554" ht="14.2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</row>
    <row r="555" ht="14.2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</row>
    <row r="556" ht="14.2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</row>
    <row r="557" ht="14.2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</row>
    <row r="558" ht="14.2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</row>
    <row r="559" ht="14.2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</row>
    <row r="560" ht="14.2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</row>
    <row r="561" ht="14.2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</row>
    <row r="562" ht="14.2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</row>
    <row r="563" ht="14.2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</row>
    <row r="564" ht="14.2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</row>
    <row r="565" ht="14.2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</row>
    <row r="566" ht="14.2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</row>
    <row r="567" ht="14.2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</row>
    <row r="568" ht="14.2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</row>
    <row r="569" ht="14.2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</row>
    <row r="570" ht="14.2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</row>
    <row r="571" ht="14.2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</row>
    <row r="572" ht="14.2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</row>
    <row r="573" ht="14.2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</row>
    <row r="574" ht="14.2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</row>
    <row r="575" ht="14.2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</row>
    <row r="576" ht="14.2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</row>
    <row r="577" ht="14.2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</row>
    <row r="578" ht="14.2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</row>
    <row r="579" ht="14.2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</row>
    <row r="580" ht="14.2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</row>
    <row r="581" ht="14.2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</row>
    <row r="582" ht="14.2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</row>
    <row r="583" ht="14.2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</row>
    <row r="584" ht="14.2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</row>
    <row r="585" ht="14.2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</row>
    <row r="586" ht="14.2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</row>
    <row r="587" ht="14.2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</row>
    <row r="588" ht="14.2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</row>
    <row r="589" ht="14.2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</row>
    <row r="590" ht="14.2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</row>
    <row r="591" ht="14.2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</row>
    <row r="592" ht="14.2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</row>
    <row r="593" ht="14.2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</row>
    <row r="594" ht="14.2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</row>
    <row r="595" ht="14.2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</row>
    <row r="596" ht="14.2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</row>
    <row r="597" ht="14.2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</row>
    <row r="598" ht="14.2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</row>
    <row r="599" ht="14.2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</row>
    <row r="600" ht="14.2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</row>
    <row r="601" ht="14.2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</row>
    <row r="602" ht="14.2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</row>
    <row r="603" ht="14.2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</row>
    <row r="604" ht="14.2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</row>
    <row r="605" ht="14.2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</row>
    <row r="606" ht="14.2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</row>
    <row r="607" ht="14.2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</row>
    <row r="608" ht="14.2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</row>
    <row r="609" ht="14.2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</row>
    <row r="610" ht="14.2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</row>
    <row r="611" ht="14.2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</row>
    <row r="612" ht="14.2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</row>
    <row r="613" ht="14.2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</row>
    <row r="614" ht="14.2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</row>
    <row r="615" ht="14.2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</row>
    <row r="616" ht="14.2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</row>
    <row r="617" ht="14.2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</row>
    <row r="618" ht="14.2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</row>
    <row r="619" ht="14.2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</row>
    <row r="620" ht="14.2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</row>
    <row r="621" ht="14.2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</row>
    <row r="622" ht="14.2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</row>
    <row r="623" ht="14.2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</row>
    <row r="624" ht="14.2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</row>
    <row r="625" ht="14.2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</row>
    <row r="626" ht="14.2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</row>
    <row r="627" ht="14.2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</row>
    <row r="628" ht="14.2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</row>
    <row r="629" ht="14.2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</row>
    <row r="630" ht="14.2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</row>
    <row r="631" ht="14.2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</row>
    <row r="632" ht="14.2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</row>
    <row r="633" ht="14.2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</row>
    <row r="634" ht="14.2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</row>
    <row r="635" ht="14.2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</row>
    <row r="636" ht="14.2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</row>
    <row r="637" ht="14.2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</row>
    <row r="638" ht="14.2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</row>
    <row r="639" ht="14.2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</row>
    <row r="640" ht="14.2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</row>
    <row r="641" ht="14.2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</row>
    <row r="642" ht="14.2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</row>
    <row r="643" ht="14.2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</row>
    <row r="644" ht="14.2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</row>
    <row r="645" ht="14.2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</row>
    <row r="646" ht="14.2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</row>
    <row r="647" ht="14.2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</row>
    <row r="648" ht="14.2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</row>
    <row r="649" ht="14.2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</row>
    <row r="650" ht="14.2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</row>
    <row r="651" ht="14.2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</row>
    <row r="652" ht="14.2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</row>
    <row r="653" ht="14.2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</row>
    <row r="654" ht="14.2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</row>
    <row r="655" ht="14.2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</row>
    <row r="656" ht="14.2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</row>
    <row r="657" ht="14.2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</row>
    <row r="658" ht="14.2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</row>
    <row r="659" ht="14.2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</row>
    <row r="660" ht="14.2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</row>
    <row r="661" ht="14.2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</row>
    <row r="662" ht="14.2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</row>
    <row r="663" ht="14.2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</row>
    <row r="664" ht="14.2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</row>
    <row r="665" ht="14.2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</row>
    <row r="666" ht="14.2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</row>
    <row r="667" ht="14.2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</row>
    <row r="668" ht="14.2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</row>
    <row r="669" ht="14.2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</row>
    <row r="670" ht="14.2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</row>
    <row r="671" ht="14.2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</row>
    <row r="672" ht="14.2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</row>
    <row r="673" ht="14.2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</row>
    <row r="674" ht="14.2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</row>
    <row r="675" ht="14.2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</row>
    <row r="676" ht="14.2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</row>
    <row r="677" ht="14.2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</row>
    <row r="678" ht="14.2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</row>
    <row r="679" ht="14.2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</row>
    <row r="680" ht="14.2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</row>
    <row r="681" ht="14.2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</row>
    <row r="682" ht="14.2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</row>
    <row r="683" ht="14.2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</row>
    <row r="684" ht="14.2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</row>
    <row r="685" ht="14.2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</row>
    <row r="686" ht="14.2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</row>
    <row r="687" ht="14.2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</row>
    <row r="688" ht="14.2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</row>
    <row r="689" ht="14.2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</row>
    <row r="690" ht="14.2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</row>
    <row r="691" ht="14.2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</row>
    <row r="692" ht="14.2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</row>
    <row r="693" ht="14.2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</row>
    <row r="694" ht="14.2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</row>
    <row r="695" ht="14.2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</row>
    <row r="696" ht="14.2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</row>
    <row r="697" ht="14.2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</row>
    <row r="698" ht="14.2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</row>
    <row r="699" ht="14.2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</row>
    <row r="700" ht="14.2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</row>
    <row r="701" ht="14.2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</row>
    <row r="702" ht="14.2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</row>
    <row r="703" ht="14.2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</row>
    <row r="704" ht="14.2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</row>
    <row r="705" ht="14.2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</row>
    <row r="706" ht="14.2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</row>
    <row r="707" ht="14.2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</row>
    <row r="708" ht="14.2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</row>
    <row r="709" ht="14.2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</row>
    <row r="710" ht="14.2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</row>
    <row r="711" ht="14.2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</row>
    <row r="712" ht="14.2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</row>
    <row r="713" ht="14.2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</row>
    <row r="714" ht="14.2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</row>
    <row r="715" ht="14.2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</row>
    <row r="716" ht="14.2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</row>
    <row r="717" ht="14.2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</row>
    <row r="718" ht="14.2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</row>
    <row r="719" ht="14.2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</row>
    <row r="720" ht="14.2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</row>
    <row r="721" ht="14.2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</row>
    <row r="722" ht="14.2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</row>
    <row r="723" ht="14.2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</row>
    <row r="724" ht="14.2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</row>
    <row r="725" ht="14.2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</row>
    <row r="726" ht="14.2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</row>
    <row r="727" ht="14.2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</row>
    <row r="728" ht="14.2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</row>
    <row r="729" ht="14.2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</row>
    <row r="730" ht="14.2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</row>
    <row r="731" ht="14.2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</row>
    <row r="732" ht="14.2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</row>
    <row r="733" ht="14.2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</row>
    <row r="734" ht="14.2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</row>
    <row r="735" ht="14.2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</row>
    <row r="736" ht="14.2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</row>
    <row r="737" ht="14.2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</row>
    <row r="738" ht="14.2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</row>
    <row r="739" ht="14.2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</row>
    <row r="740" ht="14.2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</row>
    <row r="741" ht="14.2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</row>
    <row r="742" ht="14.2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</row>
    <row r="743" ht="14.2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</row>
    <row r="744" ht="14.2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</row>
    <row r="745" ht="14.2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</row>
    <row r="746" ht="14.2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</row>
    <row r="747" ht="14.2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</row>
    <row r="748" ht="14.2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</row>
    <row r="749" ht="14.2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</row>
    <row r="750" ht="14.2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</row>
    <row r="751" ht="14.2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</row>
    <row r="752" ht="14.2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</row>
    <row r="753" ht="14.2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</row>
    <row r="754" ht="14.2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</row>
    <row r="755" ht="14.2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</row>
    <row r="756" ht="14.2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</row>
    <row r="757" ht="14.2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7"/>
    </row>
    <row r="758" ht="14.2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7"/>
    </row>
    <row r="759" ht="14.2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</row>
    <row r="760" ht="14.2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</row>
    <row r="761" ht="14.2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</row>
    <row r="762" ht="14.2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</row>
    <row r="763" ht="14.2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</row>
    <row r="764" ht="14.2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</row>
    <row r="765" ht="14.2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</row>
    <row r="766" ht="14.2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</row>
    <row r="767" ht="14.2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</row>
    <row r="768" ht="14.2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</row>
    <row r="769" ht="14.2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</row>
    <row r="770" ht="14.2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7"/>
    </row>
    <row r="771" ht="14.2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</row>
    <row r="772" ht="14.2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</row>
    <row r="773" ht="14.2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</row>
    <row r="774" ht="14.2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</row>
    <row r="775" ht="14.2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</row>
    <row r="776" ht="14.2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</row>
    <row r="777" ht="14.2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</row>
    <row r="778" ht="14.2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</row>
    <row r="779" ht="14.2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</row>
    <row r="780" ht="14.2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</row>
    <row r="781" ht="14.2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</row>
    <row r="782" ht="14.2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</row>
    <row r="783" ht="14.2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</row>
    <row r="784" ht="14.2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</row>
    <row r="785" ht="14.2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7"/>
    </row>
    <row r="786" ht="14.2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</row>
    <row r="787" ht="14.2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</row>
    <row r="788" ht="14.2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</row>
    <row r="789" ht="14.2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</row>
    <row r="790" ht="14.2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</row>
    <row r="791" ht="14.2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</row>
    <row r="792" ht="14.2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7"/>
    </row>
    <row r="793" ht="14.2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27"/>
    </row>
    <row r="794" ht="14.2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</row>
    <row r="795" ht="14.2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</row>
    <row r="796" ht="14.2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</row>
    <row r="797" ht="14.2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7"/>
    </row>
    <row r="798" ht="14.2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7"/>
    </row>
    <row r="799" ht="14.2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</row>
    <row r="800" ht="14.2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</row>
    <row r="801" ht="14.2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</row>
    <row r="802" ht="14.2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</row>
    <row r="803" ht="14.2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</row>
    <row r="804" ht="14.2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</row>
    <row r="805" ht="14.2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</row>
    <row r="806" ht="14.2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</row>
    <row r="807" ht="14.2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</row>
    <row r="808" ht="14.2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</row>
    <row r="809" ht="14.2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</row>
    <row r="810" ht="14.2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</row>
    <row r="811" ht="14.2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7"/>
    </row>
    <row r="812" ht="14.2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N812" s="27"/>
    </row>
    <row r="813" ht="14.2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27"/>
    </row>
    <row r="814" ht="14.2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</row>
    <row r="815" ht="14.2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</row>
    <row r="816" ht="14.2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7"/>
    </row>
    <row r="817" ht="14.2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7"/>
    </row>
    <row r="818" ht="14.2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7"/>
    </row>
    <row r="819" ht="14.2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</row>
    <row r="820" ht="14.2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</row>
    <row r="821" ht="14.2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</row>
    <row r="822" ht="14.2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</row>
    <row r="823" ht="14.2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</row>
    <row r="824" ht="14.2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</row>
    <row r="825" ht="14.2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</row>
    <row r="826" ht="14.2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</row>
    <row r="827" ht="14.2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</row>
    <row r="828" ht="14.2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7"/>
    </row>
    <row r="829" ht="14.2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</row>
    <row r="830" ht="14.2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7"/>
    </row>
    <row r="831" ht="14.2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</row>
    <row r="832" ht="14.2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7"/>
    </row>
    <row r="833" ht="14.2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7"/>
    </row>
    <row r="834" ht="14.2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</row>
    <row r="835" ht="14.2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</row>
    <row r="836" ht="14.2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7"/>
    </row>
    <row r="837" ht="14.2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7"/>
    </row>
    <row r="838" ht="14.2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</row>
    <row r="839" ht="14.2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</row>
    <row r="840" ht="14.2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</row>
    <row r="841" ht="14.2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7"/>
    </row>
    <row r="842" ht="14.2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7"/>
    </row>
    <row r="843" ht="14.2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</row>
    <row r="844" ht="14.2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</row>
    <row r="845" ht="14.2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27"/>
    </row>
    <row r="846" ht="14.2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27"/>
    </row>
    <row r="847" ht="14.2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</row>
    <row r="848" ht="14.2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7"/>
    </row>
    <row r="849" ht="14.2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</row>
    <row r="850" ht="14.2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</row>
    <row r="851" ht="14.2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</row>
    <row r="852" ht="14.2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N852" s="27"/>
    </row>
    <row r="853" ht="14.2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27"/>
    </row>
    <row r="854" ht="14.2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</row>
    <row r="855" ht="14.2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</row>
    <row r="856" ht="14.2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7"/>
    </row>
    <row r="857" ht="14.2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7"/>
    </row>
    <row r="858" ht="14.2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7"/>
    </row>
    <row r="859" ht="14.2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</row>
    <row r="860" ht="14.2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7"/>
    </row>
    <row r="861" ht="14.2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7"/>
    </row>
    <row r="862" ht="14.2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7"/>
    </row>
    <row r="863" ht="14.2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</row>
    <row r="864" ht="14.2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</row>
    <row r="865" ht="14.2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</row>
    <row r="866" ht="14.2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7"/>
    </row>
    <row r="867" ht="14.2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</row>
    <row r="868" ht="14.2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</row>
    <row r="869" ht="14.2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</row>
    <row r="870" ht="14.2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</row>
    <row r="871" ht="14.2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</row>
    <row r="872" ht="14.2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7"/>
    </row>
    <row r="873" ht="14.2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27"/>
    </row>
    <row r="874" ht="14.2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</row>
    <row r="875" ht="14.2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7"/>
    </row>
    <row r="876" ht="14.2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N876" s="27"/>
    </row>
    <row r="877" ht="14.2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27"/>
    </row>
    <row r="878" ht="14.2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27"/>
    </row>
    <row r="879" ht="14.2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</row>
    <row r="880" ht="14.2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N880" s="27"/>
    </row>
    <row r="881" ht="14.2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</row>
    <row r="882" ht="14.2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</row>
    <row r="883" ht="14.2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7"/>
    </row>
    <row r="884" ht="14.2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</row>
    <row r="885" ht="14.2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7"/>
    </row>
    <row r="886" ht="14.2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7"/>
    </row>
    <row r="887" ht="14.2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</row>
    <row r="888" ht="14.2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</row>
    <row r="889" ht="14.2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</row>
    <row r="890" ht="14.2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7"/>
    </row>
    <row r="891" ht="14.2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</row>
    <row r="892" ht="14.2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</row>
    <row r="893" ht="14.2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</row>
    <row r="894" ht="14.2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</row>
    <row r="895" ht="14.2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</row>
    <row r="896" ht="14.2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7"/>
    </row>
    <row r="897" ht="14.2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7"/>
    </row>
    <row r="898" ht="14.2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</row>
    <row r="899" ht="14.2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</row>
    <row r="900" ht="14.2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7"/>
    </row>
    <row r="901" ht="14.2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27"/>
    </row>
    <row r="902" ht="14.2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27"/>
    </row>
    <row r="903" ht="14.2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7"/>
    </row>
    <row r="904" ht="14.2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</row>
    <row r="905" ht="14.2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7"/>
    </row>
    <row r="906" ht="14.2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7"/>
    </row>
    <row r="907" ht="14.2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</row>
    <row r="908" ht="14.2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7"/>
    </row>
    <row r="909" ht="14.2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</row>
    <row r="910" ht="14.2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</row>
    <row r="911" ht="14.2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</row>
    <row r="912" ht="14.2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7"/>
    </row>
    <row r="913" ht="14.2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7"/>
    </row>
    <row r="914" ht="14.2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</row>
    <row r="915" ht="14.2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</row>
    <row r="916" ht="14.2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</row>
    <row r="917" ht="14.2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</row>
    <row r="918" ht="14.2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</row>
    <row r="919" ht="14.2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</row>
    <row r="920" ht="14.2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</row>
    <row r="921" ht="14.2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</row>
    <row r="922" ht="14.2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</row>
    <row r="923" ht="14.2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</row>
    <row r="924" ht="14.2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</row>
    <row r="925" ht="14.2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</row>
    <row r="926" ht="14.2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</row>
    <row r="927" ht="14.2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</row>
    <row r="928" ht="14.2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</row>
    <row r="929" ht="14.2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</row>
    <row r="930" ht="14.2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</row>
    <row r="931" ht="14.2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</row>
    <row r="932" ht="14.2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</row>
    <row r="933" ht="14.2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</row>
    <row r="934" ht="14.2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</row>
    <row r="935" ht="14.2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</row>
    <row r="936" ht="14.2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</row>
    <row r="937" ht="14.2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27"/>
    </row>
    <row r="938" ht="14.2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27"/>
    </row>
    <row r="939" ht="14.2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</row>
    <row r="940" ht="14.2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7"/>
    </row>
    <row r="941" ht="14.2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27"/>
    </row>
    <row r="942" ht="14.2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27"/>
    </row>
    <row r="943" ht="14.2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7"/>
    </row>
    <row r="944" ht="14.2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</row>
    <row r="945" ht="14.2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7"/>
    </row>
    <row r="946" ht="14.2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</row>
    <row r="947" ht="14.2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</row>
    <row r="948" ht="14.2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</row>
    <row r="949" ht="14.2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</row>
    <row r="950" ht="14.2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</row>
    <row r="951" ht="14.2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</row>
    <row r="952" ht="14.2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7"/>
    </row>
    <row r="953" ht="14.2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</row>
    <row r="954" ht="14.2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</row>
    <row r="955" ht="14.2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</row>
    <row r="956" ht="14.2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7"/>
    </row>
    <row r="957" ht="14.2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7"/>
    </row>
    <row r="958" ht="14.2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7"/>
    </row>
    <row r="959" ht="14.2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</row>
    <row r="960" ht="14.2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7"/>
    </row>
    <row r="961" ht="14.2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27"/>
    </row>
    <row r="962" ht="14.2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27"/>
    </row>
    <row r="963" ht="14.2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27"/>
    </row>
    <row r="964" ht="14.2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27"/>
    </row>
    <row r="965" ht="14.2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N965" s="27"/>
    </row>
    <row r="966" ht="14.2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  <c r="AN966" s="27"/>
    </row>
    <row r="967" ht="14.2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N967" s="27"/>
    </row>
    <row r="968" ht="14.2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  <c r="AN968" s="27"/>
    </row>
    <row r="969" ht="14.2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  <c r="AN969" s="27"/>
    </row>
    <row r="970" ht="14.2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N970" s="27"/>
    </row>
    <row r="971" ht="14.2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N971" s="27"/>
    </row>
    <row r="972" ht="14.2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  <c r="AN972" s="27"/>
    </row>
    <row r="973" ht="14.2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N973" s="27"/>
    </row>
    <row r="974" ht="14.2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7"/>
    </row>
    <row r="975" ht="14.2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27"/>
    </row>
    <row r="976" ht="14.2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7"/>
    </row>
    <row r="977" ht="14.2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27"/>
    </row>
    <row r="978" ht="14.2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27"/>
    </row>
    <row r="979" ht="14.2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7"/>
    </row>
    <row r="980" ht="14.2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27"/>
    </row>
    <row r="981" ht="14.2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27"/>
    </row>
    <row r="982" ht="14.2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27"/>
    </row>
    <row r="983" ht="14.2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</row>
    <row r="984" ht="14.2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</row>
    <row r="985" ht="14.2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27"/>
    </row>
    <row r="986" ht="14.2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27"/>
    </row>
    <row r="987" ht="14.2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</row>
    <row r="988" ht="14.2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7"/>
    </row>
    <row r="989" ht="14.2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27"/>
    </row>
    <row r="990" ht="14.2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27"/>
    </row>
    <row r="991" ht="14.2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</row>
    <row r="992" ht="14.2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</row>
    <row r="993" ht="14.2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  <c r="AL993" s="27"/>
      <c r="AM993" s="27"/>
      <c r="AN993" s="27"/>
    </row>
    <row r="994" ht="14.2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  <c r="AM994" s="27"/>
      <c r="AN994" s="27"/>
    </row>
    <row r="995" ht="14.2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  <c r="AJ995" s="27"/>
      <c r="AK995" s="27"/>
      <c r="AL995" s="27"/>
      <c r="AM995" s="27"/>
      <c r="AN995" s="27"/>
    </row>
    <row r="996" ht="14.2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  <c r="AI996" s="27"/>
      <c r="AJ996" s="27"/>
      <c r="AK996" s="27"/>
      <c r="AL996" s="27"/>
      <c r="AM996" s="27"/>
      <c r="AN996" s="27"/>
    </row>
    <row r="997" ht="14.2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  <c r="AI997" s="27"/>
      <c r="AJ997" s="27"/>
      <c r="AK997" s="27"/>
      <c r="AL997" s="27"/>
      <c r="AM997" s="27"/>
      <c r="AN997" s="27"/>
    </row>
    <row r="998" ht="14.2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  <c r="AI998" s="27"/>
      <c r="AJ998" s="27"/>
      <c r="AK998" s="27"/>
      <c r="AL998" s="27"/>
      <c r="AM998" s="27"/>
      <c r="AN998" s="27"/>
    </row>
    <row r="999" ht="14.2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  <c r="AH999" s="27"/>
      <c r="AI999" s="27"/>
      <c r="AJ999" s="27"/>
      <c r="AK999" s="27"/>
      <c r="AL999" s="27"/>
      <c r="AM999" s="27"/>
      <c r="AN999" s="27"/>
    </row>
    <row r="1000" ht="14.2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  <c r="AG1000" s="27"/>
      <c r="AH1000" s="27"/>
      <c r="AI1000" s="27"/>
      <c r="AJ1000" s="27"/>
      <c r="AK1000" s="27"/>
      <c r="AL1000" s="27"/>
      <c r="AM1000" s="27"/>
      <c r="AN1000" s="27"/>
    </row>
  </sheetData>
  <mergeCells count="23">
    <mergeCell ref="A1:AN2"/>
    <mergeCell ref="A5:AI5"/>
    <mergeCell ref="B7:E7"/>
    <mergeCell ref="Q7:T7"/>
    <mergeCell ref="A10:H10"/>
    <mergeCell ref="P10:W10"/>
    <mergeCell ref="P14:W14"/>
    <mergeCell ref="A22:H22"/>
    <mergeCell ref="A26:H26"/>
    <mergeCell ref="A30:H30"/>
    <mergeCell ref="A34:H34"/>
    <mergeCell ref="A38:H38"/>
    <mergeCell ref="AE25:AI25"/>
    <mergeCell ref="AE26:AI26"/>
    <mergeCell ref="P30:W30"/>
    <mergeCell ref="P34:W34"/>
    <mergeCell ref="A14:H14"/>
    <mergeCell ref="A18:H18"/>
    <mergeCell ref="P18:W18"/>
    <mergeCell ref="AE21:AI21"/>
    <mergeCell ref="P22:W22"/>
    <mergeCell ref="AE22:AI22"/>
    <mergeCell ref="P26:W26"/>
  </mergeCells>
  <printOptions/>
  <pageMargins bottom="1.0" footer="0.0" header="0.0" left="0.75" right="0.75" top="1.0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5.75"/>
    <col customWidth="1" min="2" max="2" width="7.0"/>
    <col customWidth="1" hidden="1" min="3" max="3" width="6.13"/>
    <col customWidth="1" min="4" max="4" width="1.75"/>
    <col customWidth="1" min="5" max="5" width="7.0"/>
    <col customWidth="1" hidden="1" min="6" max="6" width="6.13"/>
    <col customWidth="1" min="7" max="7" width="1.75"/>
    <col customWidth="1" min="8" max="8" width="7.0"/>
    <col customWidth="1" hidden="1" min="9" max="9" width="6.13"/>
    <col customWidth="1" hidden="1" min="10" max="10" width="7.75"/>
    <col customWidth="1" hidden="1" min="11" max="11" width="7.38"/>
    <col customWidth="1" hidden="1" min="12" max="12" width="11.25"/>
    <col customWidth="1" hidden="1" min="13" max="13" width="8.0"/>
    <col customWidth="1" hidden="1" min="14" max="14" width="6.13"/>
    <col customWidth="1" min="15" max="15" width="8.75"/>
    <col customWidth="1" min="16" max="16" width="45.75"/>
    <col customWidth="1" min="17" max="17" width="7.0"/>
    <col customWidth="1" hidden="1" min="18" max="18" width="6.13"/>
    <col customWidth="1" min="19" max="19" width="1.75"/>
    <col customWidth="1" min="20" max="20" width="7.0"/>
    <col customWidth="1" hidden="1" min="21" max="21" width="6.13"/>
    <col customWidth="1" min="22" max="22" width="1.75"/>
    <col customWidth="1" min="23" max="23" width="7.0"/>
    <col customWidth="1" hidden="1" min="24" max="24" width="6.13"/>
    <col customWidth="1" hidden="1" min="25" max="25" width="7.75"/>
    <col customWidth="1" hidden="1" min="26" max="26" width="7.38"/>
    <col customWidth="1" hidden="1" min="27" max="27" width="11.25"/>
    <col customWidth="1" hidden="1" min="28" max="28" width="8.0"/>
    <col customWidth="1" hidden="1" min="29" max="29" width="6.13"/>
    <col customWidth="1" min="30" max="30" width="8.75"/>
    <col customWidth="1" min="31" max="31" width="45.75"/>
    <col customWidth="1" min="32" max="32" width="10.5"/>
    <col customWidth="1" min="33" max="35" width="8.75"/>
    <col customWidth="1" hidden="1" min="36" max="36" width="9.25"/>
    <col customWidth="1" hidden="1" min="37" max="37" width="12.0"/>
    <col customWidth="1" hidden="1" min="38" max="38" width="8.0"/>
    <col customWidth="1" hidden="1" min="39" max="40" width="41.13"/>
  </cols>
  <sheetData>
    <row r="1" ht="21.0" customHeight="1">
      <c r="A1" s="22" t="s">
        <v>0</v>
      </c>
    </row>
    <row r="2" ht="21.0" customHeight="1"/>
    <row r="3" ht="14.2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</row>
    <row r="4" ht="14.2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</row>
    <row r="5">
      <c r="A5" s="146" t="s">
        <v>101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6"/>
      <c r="AJ5" s="27"/>
      <c r="AK5" s="27"/>
      <c r="AL5" s="27"/>
      <c r="AM5" s="27"/>
      <c r="AN5" s="27"/>
    </row>
    <row r="6" ht="14.25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</row>
    <row r="7" ht="30.75" customHeight="1">
      <c r="A7" s="147" t="s">
        <v>58</v>
      </c>
      <c r="B7" s="148" t="s">
        <v>59</v>
      </c>
      <c r="C7" s="30"/>
      <c r="D7" s="30"/>
      <c r="E7" s="31"/>
      <c r="F7" s="149"/>
      <c r="G7" s="64"/>
      <c r="H7" s="147" t="s">
        <v>60</v>
      </c>
      <c r="I7" s="34"/>
      <c r="J7" s="34"/>
      <c r="K7" s="34"/>
      <c r="L7" s="34"/>
      <c r="M7" s="35"/>
      <c r="N7" s="35"/>
      <c r="O7" s="34"/>
      <c r="P7" s="147" t="s">
        <v>58</v>
      </c>
      <c r="Q7" s="148" t="s">
        <v>59</v>
      </c>
      <c r="R7" s="30"/>
      <c r="S7" s="30"/>
      <c r="T7" s="31"/>
      <c r="U7" s="149"/>
      <c r="V7" s="64"/>
      <c r="W7" s="147" t="s">
        <v>60</v>
      </c>
      <c r="X7" s="34"/>
      <c r="Y7" s="35"/>
      <c r="Z7" s="35"/>
      <c r="AA7" s="35"/>
      <c r="AB7" s="35"/>
      <c r="AC7" s="35"/>
      <c r="AD7" s="34"/>
      <c r="AE7" s="147" t="s">
        <v>61</v>
      </c>
      <c r="AF7" s="147" t="s">
        <v>62</v>
      </c>
      <c r="AG7" s="147" t="s">
        <v>63</v>
      </c>
      <c r="AH7" s="147" t="s">
        <v>64</v>
      </c>
      <c r="AI7" s="147" t="s">
        <v>65</v>
      </c>
      <c r="AJ7" s="36"/>
      <c r="AK7" s="36"/>
      <c r="AL7" s="36"/>
      <c r="AM7" s="27"/>
      <c r="AN7" s="27"/>
    </row>
    <row r="8" ht="14.25" hidden="1" customHeight="1">
      <c r="A8" s="27"/>
      <c r="B8" s="37" t="s">
        <v>66</v>
      </c>
      <c r="C8" s="37" t="s">
        <v>67</v>
      </c>
      <c r="D8" s="37"/>
      <c r="E8" s="37" t="s">
        <v>66</v>
      </c>
      <c r="F8" s="37" t="s">
        <v>68</v>
      </c>
      <c r="G8" s="37"/>
      <c r="H8" s="37" t="s">
        <v>66</v>
      </c>
      <c r="I8" s="37" t="s">
        <v>69</v>
      </c>
      <c r="J8" s="37" t="s">
        <v>70</v>
      </c>
      <c r="K8" s="37" t="s">
        <v>71</v>
      </c>
      <c r="L8" s="37" t="s">
        <v>72</v>
      </c>
      <c r="M8" s="37" t="s">
        <v>73</v>
      </c>
      <c r="N8" s="37" t="s">
        <v>74</v>
      </c>
      <c r="O8" s="27"/>
      <c r="P8" s="27"/>
      <c r="Q8" s="37" t="s">
        <v>66</v>
      </c>
      <c r="R8" s="37" t="s">
        <v>67</v>
      </c>
      <c r="S8" s="37"/>
      <c r="T8" s="37" t="s">
        <v>66</v>
      </c>
      <c r="U8" s="37" t="s">
        <v>68</v>
      </c>
      <c r="V8" s="37"/>
      <c r="W8" s="37" t="s">
        <v>66</v>
      </c>
      <c r="X8" s="37" t="s">
        <v>69</v>
      </c>
      <c r="Y8" s="37" t="s">
        <v>70</v>
      </c>
      <c r="Z8" s="37" t="s">
        <v>71</v>
      </c>
      <c r="AA8" s="37" t="s">
        <v>72</v>
      </c>
      <c r="AB8" s="37" t="s">
        <v>73</v>
      </c>
      <c r="AC8" s="37" t="s">
        <v>74</v>
      </c>
      <c r="AD8" s="27"/>
      <c r="AE8" s="36"/>
      <c r="AF8" s="36"/>
      <c r="AG8" s="36"/>
      <c r="AH8" s="36"/>
      <c r="AI8" s="36"/>
      <c r="AJ8" s="37" t="s">
        <v>75</v>
      </c>
      <c r="AK8" s="37" t="s">
        <v>89</v>
      </c>
      <c r="AL8" s="39" t="s">
        <v>76</v>
      </c>
      <c r="AM8" s="40" t="s">
        <v>77</v>
      </c>
      <c r="AN8" s="40" t="s">
        <v>90</v>
      </c>
    </row>
    <row r="9" ht="14.25" customHeight="1">
      <c r="A9" s="41" t="str">
        <f>AE9</f>
        <v>Sophia Re</v>
      </c>
      <c r="B9" s="42">
        <v>0.0</v>
      </c>
      <c r="C9" s="43">
        <f>IF(B9&gt;B11,1,0)</f>
        <v>0</v>
      </c>
      <c r="D9" s="44"/>
      <c r="E9" s="42">
        <v>6.0</v>
      </c>
      <c r="F9" s="43">
        <f>IF(E9&gt;E11,1,0)</f>
        <v>1</v>
      </c>
      <c r="G9" s="44"/>
      <c r="H9" s="42">
        <v>8.0</v>
      </c>
      <c r="I9" s="27">
        <f>IF(H9&gt;H11,1,0)</f>
        <v>0</v>
      </c>
      <c r="J9" s="27">
        <f>IF(B9="",0,1)</f>
        <v>1</v>
      </c>
      <c r="K9" s="27">
        <f>IF(C9+F9=2,3,IF(C9+F9=1,1,0))</f>
        <v>1</v>
      </c>
      <c r="L9" s="27">
        <f>IF(K9=3,3,IF(I9+K9=2,2,IF(K9=1,1,0)))</f>
        <v>1</v>
      </c>
      <c r="M9" s="27">
        <f>B9+E9</f>
        <v>6</v>
      </c>
      <c r="N9" s="27">
        <f>C9+F9+I9</f>
        <v>1</v>
      </c>
      <c r="O9" s="27"/>
      <c r="P9" s="41" t="str">
        <f>AE9</f>
        <v>Sophia Re</v>
      </c>
      <c r="Q9" s="42">
        <v>3.0</v>
      </c>
      <c r="R9" s="43">
        <f>IF(Q9&gt;Q11,1,0)</f>
        <v>0</v>
      </c>
      <c r="S9" s="44"/>
      <c r="T9" s="42">
        <v>2.0</v>
      </c>
      <c r="U9" s="43">
        <f>IF(T9&gt;T11,1,0)</f>
        <v>0</v>
      </c>
      <c r="V9" s="44"/>
      <c r="W9" s="45"/>
      <c r="X9" s="27">
        <f>IF(W9&gt;W11,1,0)</f>
        <v>0</v>
      </c>
      <c r="Y9" s="27">
        <f>IF(Q9="",0,1)</f>
        <v>1</v>
      </c>
      <c r="Z9" s="27">
        <f>IF(R9+U9=2,3,IF(R9+U9=1,1,0))</f>
        <v>0</v>
      </c>
      <c r="AA9" s="27">
        <f>IF(Z9=3,3,IF(X9+Z9=2,2,IF(Z9=1,1,0)))</f>
        <v>0</v>
      </c>
      <c r="AB9" s="27">
        <f>Q9+T9</f>
        <v>5</v>
      </c>
      <c r="AC9" s="27">
        <f>R9+U9+X9</f>
        <v>0</v>
      </c>
      <c r="AD9" s="27"/>
      <c r="AE9" s="150" t="str">
        <f>'Players - Ladies'!B14</f>
        <v>Sophia Re</v>
      </c>
      <c r="AF9" s="47">
        <f>J9+Y9+J13+Y13+J17</f>
        <v>4</v>
      </c>
      <c r="AG9" s="47">
        <f t="shared" ref="AG9:AI9" si="1">L9+AA9+L13+AA13+L17</f>
        <v>3</v>
      </c>
      <c r="AH9" s="47">
        <f t="shared" si="1"/>
        <v>20</v>
      </c>
      <c r="AI9" s="48">
        <f t="shared" si="1"/>
        <v>3</v>
      </c>
      <c r="AJ9" s="27">
        <f>MAX(AG9:AG19)</f>
        <v>12</v>
      </c>
      <c r="AK9" s="27">
        <f>LARGE(AG9:AG19, 2)</f>
        <v>8</v>
      </c>
      <c r="AL9" s="27">
        <f>SUM(AF9:AF19)</f>
        <v>20</v>
      </c>
      <c r="AM9" s="27" t="str">
        <f>IF(AG9=$AJ$9,AE9,IF(AG11=$AJ$9,AE11,IF(AG13=$AJ$9,AE13,IF(AG15=$AJ$9,AE15,IF(AG17=$AJ$9,AE17,"")))))</f>
        <v>Dawn Azzopardi</v>
      </c>
      <c r="AN9" s="27" t="str">
        <f>IF(AG9=$AK$9,AE9,IF(AG11=$AK$9,AE11,IF(AG13=$AK$9,AE13,IF(AG15=$AK$9,AE15,IF(AG17=$AK$9,AE17,"")))))</f>
        <v>Giada Sciberras</v>
      </c>
    </row>
    <row r="10" ht="14.25" customHeight="1">
      <c r="A10" s="49" t="s">
        <v>78</v>
      </c>
      <c r="H10" s="50"/>
      <c r="I10" s="51"/>
      <c r="J10" s="27"/>
      <c r="K10" s="27"/>
      <c r="L10" s="27"/>
      <c r="M10" s="27"/>
      <c r="N10" s="27"/>
      <c r="O10" s="27"/>
      <c r="P10" s="49" t="s">
        <v>78</v>
      </c>
      <c r="W10" s="50"/>
      <c r="X10" s="51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36"/>
      <c r="AL10" s="36"/>
      <c r="AM10" s="27"/>
      <c r="AN10" s="27"/>
    </row>
    <row r="11" ht="14.25" customHeight="1">
      <c r="A11" s="52" t="str">
        <f>AE11</f>
        <v>Giada Sciberras</v>
      </c>
      <c r="B11" s="42">
        <v>6.0</v>
      </c>
      <c r="C11" s="53">
        <f>IF(B11&gt;B9,1,0)</f>
        <v>1</v>
      </c>
      <c r="D11" s="54"/>
      <c r="E11" s="42">
        <v>2.0</v>
      </c>
      <c r="F11" s="53">
        <f>IF(E11&gt;E9,1,0)</f>
        <v>0</v>
      </c>
      <c r="G11" s="54"/>
      <c r="H11" s="42">
        <v>10.0</v>
      </c>
      <c r="I11" s="27">
        <f>IF(H11&gt;H9,1,0)</f>
        <v>1</v>
      </c>
      <c r="J11" s="27">
        <f>IF(B11="",0,1)</f>
        <v>1</v>
      </c>
      <c r="K11" s="27">
        <f>IF(C11+F11=2,3,IF(C11+F11=1,1,0))</f>
        <v>1</v>
      </c>
      <c r="L11" s="27">
        <f>IF(K11=3,3,IF(I11+K11=2,2,IF(K11=1,1,0)))</f>
        <v>2</v>
      </c>
      <c r="M11" s="27">
        <f>B11+E11</f>
        <v>8</v>
      </c>
      <c r="N11" s="27">
        <f>C11+F11+I11</f>
        <v>2</v>
      </c>
      <c r="O11" s="27"/>
      <c r="P11" s="52" t="str">
        <f>AE13</f>
        <v>Dominique Francica</v>
      </c>
      <c r="Q11" s="42">
        <v>6.0</v>
      </c>
      <c r="R11" s="53">
        <f>IF(Q11&gt;Q9,1,0)</f>
        <v>1</v>
      </c>
      <c r="S11" s="54"/>
      <c r="T11" s="42">
        <v>6.0</v>
      </c>
      <c r="U11" s="53">
        <f>IF(T11&gt;T9,1,0)</f>
        <v>1</v>
      </c>
      <c r="V11" s="54"/>
      <c r="W11" s="45"/>
      <c r="X11" s="27">
        <f>IF(W11&gt;W9,1,0)</f>
        <v>0</v>
      </c>
      <c r="Y11" s="27">
        <f>IF(Q11="",0,1)</f>
        <v>1</v>
      </c>
      <c r="Z11" s="27">
        <f>IF(R11+U11=2,3,IF(R11+U11=1,1,0))</f>
        <v>3</v>
      </c>
      <c r="AA11" s="27">
        <f>IF(Z11=3,3,IF(X11+Z11=2,2,IF(Z11=1,1,0)))</f>
        <v>3</v>
      </c>
      <c r="AB11" s="27">
        <f>Q11+T11</f>
        <v>12</v>
      </c>
      <c r="AC11" s="27">
        <f>R11+U11+X11</f>
        <v>2</v>
      </c>
      <c r="AD11" s="27"/>
      <c r="AE11" s="150" t="str">
        <f>'Players - Ladies'!B15</f>
        <v>Giada Sciberras</v>
      </c>
      <c r="AF11" s="47">
        <f>J11+Y25+J21+Y21+Y17</f>
        <v>4</v>
      </c>
      <c r="AG11" s="47">
        <f t="shared" ref="AG11:AI11" si="2">L11+AA25+L21+AA21+AA17</f>
        <v>8</v>
      </c>
      <c r="AH11" s="47">
        <f t="shared" si="2"/>
        <v>35</v>
      </c>
      <c r="AI11" s="48">
        <f t="shared" si="2"/>
        <v>6</v>
      </c>
      <c r="AJ11" s="36"/>
      <c r="AK11" s="36"/>
      <c r="AL11" s="36"/>
      <c r="AM11" s="27"/>
      <c r="AN11" s="27"/>
    </row>
    <row r="12" ht="14.25" customHeight="1">
      <c r="A12" s="27"/>
      <c r="B12" s="27"/>
      <c r="C12" s="27"/>
      <c r="D12" s="27"/>
      <c r="E12" s="27"/>
      <c r="F12" s="27"/>
      <c r="G12" s="27"/>
      <c r="H12" s="53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53"/>
      <c r="X12" s="27"/>
      <c r="Y12" s="27"/>
      <c r="Z12" s="27"/>
      <c r="AA12" s="27"/>
      <c r="AB12" s="27"/>
      <c r="AC12" s="27"/>
      <c r="AD12" s="27"/>
      <c r="AE12" s="27"/>
      <c r="AF12" s="36"/>
      <c r="AG12" s="36"/>
      <c r="AH12" s="36"/>
      <c r="AI12" s="36"/>
      <c r="AJ12" s="36"/>
      <c r="AK12" s="36"/>
      <c r="AL12" s="36"/>
      <c r="AM12" s="27"/>
      <c r="AN12" s="27"/>
    </row>
    <row r="13" ht="14.25" customHeight="1">
      <c r="A13" s="41" t="str">
        <f>AE9</f>
        <v>Sophia Re</v>
      </c>
      <c r="B13" s="42">
        <v>2.0</v>
      </c>
      <c r="C13" s="43">
        <f>IF(B13&gt;B15,1,0)</f>
        <v>0</v>
      </c>
      <c r="D13" s="44"/>
      <c r="E13" s="42">
        <v>6.0</v>
      </c>
      <c r="F13" s="43">
        <f>IF(E13&gt;E15,1,0)</f>
        <v>1</v>
      </c>
      <c r="G13" s="44"/>
      <c r="H13" s="42">
        <v>10.0</v>
      </c>
      <c r="I13" s="27">
        <f>IF(H13&gt;H15,1,0)</f>
        <v>1</v>
      </c>
      <c r="J13" s="27">
        <f>IF(B13="",0,1)</f>
        <v>1</v>
      </c>
      <c r="K13" s="27">
        <f>IF(C13+F13=2,3,IF(C13+F13=1,1,0))</f>
        <v>1</v>
      </c>
      <c r="L13" s="27">
        <f>IF(K13=3,3,IF(I13+K13=2,2,IF(K13=1,1,0)))</f>
        <v>2</v>
      </c>
      <c r="M13" s="27">
        <f>B13+E13</f>
        <v>8</v>
      </c>
      <c r="N13" s="27">
        <f>C13+F13+I13</f>
        <v>2</v>
      </c>
      <c r="O13" s="27"/>
      <c r="P13" s="41" t="str">
        <f>AE9</f>
        <v>Sophia Re</v>
      </c>
      <c r="Q13" s="42">
        <v>0.0</v>
      </c>
      <c r="R13" s="43">
        <f>IF(Q13&gt;Q15,1,0)</f>
        <v>0</v>
      </c>
      <c r="S13" s="44"/>
      <c r="T13" s="42">
        <v>1.0</v>
      </c>
      <c r="U13" s="43">
        <f>IF(T13&gt;T15,1,0)</f>
        <v>0</v>
      </c>
      <c r="V13" s="44"/>
      <c r="W13" s="45"/>
      <c r="X13" s="27">
        <f>IF(W13&gt;W15,1,0)</f>
        <v>0</v>
      </c>
      <c r="Y13" s="27">
        <f>IF(Q13="",0,1)</f>
        <v>1</v>
      </c>
      <c r="Z13" s="27">
        <f>IF(R13+U13=2,3,IF(R13+U13=1,1,0))</f>
        <v>0</v>
      </c>
      <c r="AA13" s="27">
        <f>IF(Z13=3,3,IF(X13+Z13=2,2,IF(Z13=1,1,0)))</f>
        <v>0</v>
      </c>
      <c r="AB13" s="27">
        <f>Q13+T13</f>
        <v>1</v>
      </c>
      <c r="AC13" s="27">
        <f>R13+U13+X13</f>
        <v>0</v>
      </c>
      <c r="AD13" s="27"/>
      <c r="AE13" s="150" t="str">
        <f>'Players - Ladies'!B16</f>
        <v>Dominique Francica</v>
      </c>
      <c r="AF13" s="47">
        <f>Y29+Y11+Y33+J25+Y19</f>
        <v>4</v>
      </c>
      <c r="AG13" s="47">
        <f t="shared" ref="AG13:AI13" si="3">AA29+AA11+AA33+L25+AA19</f>
        <v>6</v>
      </c>
      <c r="AH13" s="47">
        <f t="shared" si="3"/>
        <v>36</v>
      </c>
      <c r="AI13" s="48">
        <f t="shared" si="3"/>
        <v>4</v>
      </c>
      <c r="AJ13" s="36"/>
      <c r="AK13" s="36"/>
      <c r="AL13" s="36"/>
      <c r="AM13" s="27"/>
      <c r="AN13" s="27"/>
    </row>
    <row r="14" ht="14.25" customHeight="1">
      <c r="A14" s="49" t="s">
        <v>78</v>
      </c>
      <c r="H14" s="50"/>
      <c r="I14" s="51"/>
      <c r="J14" s="27"/>
      <c r="K14" s="27"/>
      <c r="L14" s="27"/>
      <c r="M14" s="27"/>
      <c r="N14" s="27"/>
      <c r="O14" s="27"/>
      <c r="P14" s="49" t="s">
        <v>78</v>
      </c>
      <c r="W14" s="50"/>
      <c r="X14" s="51"/>
      <c r="Y14" s="27"/>
      <c r="Z14" s="27"/>
      <c r="AA14" s="27"/>
      <c r="AB14" s="27"/>
      <c r="AC14" s="27"/>
      <c r="AD14" s="27"/>
      <c r="AE14" s="27"/>
      <c r="AF14" s="36"/>
      <c r="AG14" s="36"/>
      <c r="AH14" s="36"/>
      <c r="AI14" s="36"/>
      <c r="AJ14" s="36"/>
      <c r="AK14" s="36"/>
      <c r="AL14" s="36"/>
      <c r="AM14" s="27"/>
      <c r="AN14" s="27"/>
    </row>
    <row r="15" ht="14.25" customHeight="1">
      <c r="A15" s="52" t="str">
        <f>AE15</f>
        <v>Jade Sammut</v>
      </c>
      <c r="B15" s="42">
        <v>6.0</v>
      </c>
      <c r="C15" s="53">
        <f>IF(B15&gt;B13,1,0)</f>
        <v>1</v>
      </c>
      <c r="D15" s="54"/>
      <c r="E15" s="42">
        <v>2.0</v>
      </c>
      <c r="F15" s="53">
        <f>IF(E15&gt;E13,1,0)</f>
        <v>0</v>
      </c>
      <c r="G15" s="54"/>
      <c r="H15" s="42">
        <v>8.0</v>
      </c>
      <c r="I15" s="27">
        <f>IF(H15&gt;H13,1,0)</f>
        <v>0</v>
      </c>
      <c r="J15" s="27">
        <f>IF(B15="",0,1)</f>
        <v>1</v>
      </c>
      <c r="K15" s="27">
        <f>IF(C15+F15=2,3,IF(C15+F15=1,1,0))</f>
        <v>1</v>
      </c>
      <c r="L15" s="27">
        <f>IF(K15=3,3,IF(I15+K15=2,2,IF(K15=1,1,0)))</f>
        <v>1</v>
      </c>
      <c r="M15" s="27">
        <f>B15+E15</f>
        <v>8</v>
      </c>
      <c r="N15" s="27">
        <f>C15+F15+I15</f>
        <v>1</v>
      </c>
      <c r="O15" s="27"/>
      <c r="P15" s="52" t="str">
        <f>AE17</f>
        <v>Dawn Azzopardi</v>
      </c>
      <c r="Q15" s="42">
        <v>6.0</v>
      </c>
      <c r="R15" s="53">
        <f>IF(Q15&gt;Q13,1,0)</f>
        <v>1</v>
      </c>
      <c r="S15" s="54"/>
      <c r="T15" s="42">
        <v>6.0</v>
      </c>
      <c r="U15" s="53">
        <f>IF(T15&gt;T13,1,0)</f>
        <v>1</v>
      </c>
      <c r="V15" s="54"/>
      <c r="W15" s="45"/>
      <c r="X15" s="27">
        <f>IF(W15&gt;W13,1,0)</f>
        <v>0</v>
      </c>
      <c r="Y15" s="27">
        <f>IF(Q15="",0,1)</f>
        <v>1</v>
      </c>
      <c r="Z15" s="27">
        <f>IF(R15+U15=2,3,IF(R15+U15=1,1,0))</f>
        <v>3</v>
      </c>
      <c r="AA15" s="27">
        <f>IF(Z15=3,3,IF(X15+Z15=2,2,IF(Z15=1,1,0)))</f>
        <v>3</v>
      </c>
      <c r="AB15" s="27">
        <f>Q15+T15</f>
        <v>12</v>
      </c>
      <c r="AC15" s="27">
        <f>R15+U15+X15</f>
        <v>2</v>
      </c>
      <c r="AD15" s="27"/>
      <c r="AE15" s="150" t="str">
        <f>'Players - Ladies'!B17</f>
        <v>Jade Sammut</v>
      </c>
      <c r="AF15" s="47">
        <f>Y31+J37+J15+Y23+J29</f>
        <v>4</v>
      </c>
      <c r="AG15" s="47">
        <f t="shared" ref="AG15:AI15" si="4">AA31+L37+L15+AA23+L29</f>
        <v>1</v>
      </c>
      <c r="AH15" s="47">
        <f t="shared" si="4"/>
        <v>21</v>
      </c>
      <c r="AI15" s="48">
        <f t="shared" si="4"/>
        <v>1</v>
      </c>
      <c r="AJ15" s="36"/>
      <c r="AK15" s="36"/>
      <c r="AL15" s="36"/>
      <c r="AM15" s="27"/>
      <c r="AN15" s="27"/>
    </row>
    <row r="16" ht="14.25" customHeight="1">
      <c r="A16" s="27"/>
      <c r="B16" s="36"/>
      <c r="C16" s="27"/>
      <c r="D16" s="27"/>
      <c r="E16" s="27"/>
      <c r="F16" s="27"/>
      <c r="G16" s="27"/>
      <c r="H16" s="53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53"/>
      <c r="X16" s="27"/>
      <c r="Y16" s="27"/>
      <c r="Z16" s="27"/>
      <c r="AA16" s="27"/>
      <c r="AB16" s="27"/>
      <c r="AC16" s="27"/>
      <c r="AD16" s="27"/>
      <c r="AE16" s="27"/>
      <c r="AF16" s="36"/>
      <c r="AG16" s="36"/>
      <c r="AH16" s="36"/>
      <c r="AI16" s="36"/>
      <c r="AJ16" s="36"/>
      <c r="AK16" s="36"/>
      <c r="AL16" s="36"/>
      <c r="AM16" s="27"/>
      <c r="AN16" s="27"/>
    </row>
    <row r="17" ht="14.25" customHeight="1">
      <c r="A17" s="70" t="str">
        <f>AE9</f>
        <v>Sophia Re</v>
      </c>
      <c r="B17" s="151"/>
      <c r="C17" s="72"/>
      <c r="D17" s="73"/>
      <c r="E17" s="151"/>
      <c r="F17" s="72">
        <f>IF(E17&gt;E19,1,0)</f>
        <v>0</v>
      </c>
      <c r="G17" s="73"/>
      <c r="H17" s="71"/>
      <c r="I17" s="27">
        <f>IF(H17&gt;H19,1,0)</f>
        <v>0</v>
      </c>
      <c r="J17" s="27">
        <f>IF(B17="",0,1)</f>
        <v>0</v>
      </c>
      <c r="K17" s="27">
        <f>IF(C17+F17=2,3,IF(C17+F17=1,1,0))</f>
        <v>0</v>
      </c>
      <c r="L17" s="27">
        <f>IF(K17=3,3,IF(I17+K17=2,2,IF(K17=1,1,0)))</f>
        <v>0</v>
      </c>
      <c r="M17" s="27">
        <f>B17+E17</f>
        <v>0</v>
      </c>
      <c r="N17" s="27">
        <f>C17+F17+I17</f>
        <v>0</v>
      </c>
      <c r="O17" s="27"/>
      <c r="P17" s="41" t="str">
        <f>AE11</f>
        <v>Giada Sciberras</v>
      </c>
      <c r="Q17" s="42">
        <v>6.0</v>
      </c>
      <c r="R17" s="43">
        <f>IF(Q17&gt;Q19,1,0)</f>
        <v>1</v>
      </c>
      <c r="S17" s="44"/>
      <c r="T17" s="42">
        <v>7.0</v>
      </c>
      <c r="U17" s="43">
        <f>IF(T17&gt;T19,1,0)</f>
        <v>1</v>
      </c>
      <c r="V17" s="44"/>
      <c r="W17" s="45"/>
      <c r="X17" s="27">
        <f>IF(W17&gt;W19,1,0)</f>
        <v>0</v>
      </c>
      <c r="Y17" s="27">
        <f>IF(Q17="",0,1)</f>
        <v>1</v>
      </c>
      <c r="Z17" s="27">
        <f>IF(R17+U17=2,3,IF(R17+U17=1,1,0))</f>
        <v>3</v>
      </c>
      <c r="AA17" s="27">
        <f>IF(Z17=3,3,IF(X17+Z17=2,2,IF(Z17=1,1,0)))</f>
        <v>3</v>
      </c>
      <c r="AB17" s="27">
        <f>Q17+T17</f>
        <v>13</v>
      </c>
      <c r="AC17" s="27">
        <f>R17+U17+X17</f>
        <v>2</v>
      </c>
      <c r="AD17" s="27"/>
      <c r="AE17" s="150" t="str">
        <f>'Players - Ladies'!B18</f>
        <v>Dawn Azzopardi</v>
      </c>
      <c r="AF17" s="47">
        <f>J33+J39+J23+Y15+J27</f>
        <v>4</v>
      </c>
      <c r="AG17" s="47">
        <f t="shared" ref="AG17:AI17" si="5">L33+L39+L23+AA15+L27</f>
        <v>12</v>
      </c>
      <c r="AH17" s="47">
        <f t="shared" si="5"/>
        <v>48</v>
      </c>
      <c r="AI17" s="48">
        <f t="shared" si="5"/>
        <v>8</v>
      </c>
      <c r="AJ17" s="36"/>
      <c r="AK17" s="36"/>
      <c r="AL17" s="36"/>
      <c r="AM17" s="27"/>
      <c r="AN17" s="27"/>
    </row>
    <row r="18" ht="14.25" customHeight="1">
      <c r="A18" s="75" t="s">
        <v>78</v>
      </c>
      <c r="H18" s="50"/>
      <c r="I18" s="51"/>
      <c r="J18" s="27"/>
      <c r="K18" s="27"/>
      <c r="L18" s="27"/>
      <c r="M18" s="27"/>
      <c r="N18" s="27"/>
      <c r="O18" s="27"/>
      <c r="P18" s="49" t="s">
        <v>78</v>
      </c>
      <c r="W18" s="50"/>
      <c r="X18" s="51"/>
      <c r="Y18" s="27"/>
      <c r="Z18" s="27"/>
      <c r="AA18" s="27"/>
      <c r="AB18" s="27"/>
      <c r="AC18" s="27"/>
      <c r="AD18" s="27"/>
      <c r="AE18" s="27"/>
      <c r="AF18" s="36"/>
      <c r="AG18" s="36"/>
      <c r="AH18" s="36"/>
      <c r="AI18" s="36"/>
      <c r="AJ18" s="36"/>
      <c r="AK18" s="36"/>
      <c r="AL18" s="36"/>
      <c r="AM18" s="27"/>
      <c r="AN18" s="27"/>
    </row>
    <row r="19" ht="14.25" customHeight="1">
      <c r="A19" s="76" t="str">
        <f>AE19</f>
        <v>Jin Attard</v>
      </c>
      <c r="B19" s="151"/>
      <c r="C19" s="77"/>
      <c r="D19" s="78"/>
      <c r="E19" s="151"/>
      <c r="F19" s="77">
        <f>IF(E19&gt;E17,1,0)</f>
        <v>0</v>
      </c>
      <c r="G19" s="78"/>
      <c r="H19" s="71"/>
      <c r="I19" s="27">
        <f>IF(H19&gt;H17,1,0)</f>
        <v>0</v>
      </c>
      <c r="J19" s="27">
        <f>IF(B19="",0,1)</f>
        <v>0</v>
      </c>
      <c r="K19" s="27">
        <f>IF(C19+F19=2,3,IF(C19+F19=1,1,0))</f>
        <v>0</v>
      </c>
      <c r="L19" s="27">
        <f>IF(K19=3,3,IF(I19+K19=2,2,IF(K19=1,1,0)))</f>
        <v>0</v>
      </c>
      <c r="M19" s="27">
        <f>B19+E19</f>
        <v>0</v>
      </c>
      <c r="N19" s="27">
        <f>C19+F19+I19</f>
        <v>0</v>
      </c>
      <c r="O19" s="27"/>
      <c r="P19" s="52" t="str">
        <f>AE13</f>
        <v>Dominique Francica</v>
      </c>
      <c r="Q19" s="42">
        <v>4.0</v>
      </c>
      <c r="R19" s="53">
        <f>IF(Q19&gt;Q17,1,0)</f>
        <v>0</v>
      </c>
      <c r="S19" s="54"/>
      <c r="T19" s="42">
        <v>6.0</v>
      </c>
      <c r="U19" s="53">
        <f>IF(T19&gt;T17,1,0)</f>
        <v>0</v>
      </c>
      <c r="V19" s="54"/>
      <c r="W19" s="45"/>
      <c r="X19" s="27">
        <f>IF(W19&gt;W17,1,0)</f>
        <v>0</v>
      </c>
      <c r="Y19" s="27">
        <f>IF(Q19="",0,1)</f>
        <v>1</v>
      </c>
      <c r="Z19" s="27">
        <f>IF(R19+U19=2,3,IF(R19+U19=1,1,0))</f>
        <v>0</v>
      </c>
      <c r="AA19" s="27">
        <f>IF(Z19=3,3,IF(X19+Z19=2,2,IF(Z19=1,1,0)))</f>
        <v>0</v>
      </c>
      <c r="AB19" s="27">
        <f>Q19+T19</f>
        <v>10</v>
      </c>
      <c r="AC19" s="27">
        <f>R19+U19+X19</f>
        <v>0</v>
      </c>
      <c r="AD19" s="27"/>
      <c r="AE19" s="79" t="str">
        <f>'Players - Ladies'!B19</f>
        <v>Jin Attard</v>
      </c>
      <c r="AF19" s="80">
        <f>J35+Y27+Y35+J19+J31</f>
        <v>0</v>
      </c>
      <c r="AG19" s="80">
        <f t="shared" ref="AG19:AI19" si="6">L35+AA27+AA35+L19+L31</f>
        <v>0</v>
      </c>
      <c r="AH19" s="80">
        <f t="shared" si="6"/>
        <v>0</v>
      </c>
      <c r="AI19" s="81">
        <f t="shared" si="6"/>
        <v>0</v>
      </c>
      <c r="AJ19" s="27"/>
      <c r="AK19" s="36"/>
      <c r="AL19" s="36"/>
      <c r="AM19" s="27"/>
      <c r="AN19" s="27"/>
    </row>
    <row r="20" ht="14.25" customHeight="1">
      <c r="A20" s="27"/>
      <c r="B20" s="27"/>
      <c r="C20" s="27"/>
      <c r="D20" s="27"/>
      <c r="E20" s="27"/>
      <c r="F20" s="27"/>
      <c r="G20" s="27"/>
      <c r="H20" s="53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53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36"/>
      <c r="AL20" s="27"/>
      <c r="AM20" s="27"/>
      <c r="AN20" s="27"/>
    </row>
    <row r="21" ht="14.25" customHeight="1">
      <c r="A21" s="41" t="str">
        <f>AE11</f>
        <v>Giada Sciberras</v>
      </c>
      <c r="B21" s="42">
        <v>1.0</v>
      </c>
      <c r="C21" s="43">
        <f>IF(B21&gt;B23,1,0)</f>
        <v>0</v>
      </c>
      <c r="D21" s="44"/>
      <c r="E21" s="42">
        <v>0.0</v>
      </c>
      <c r="F21" s="43">
        <f>IF(E21&gt;E23,1,0)</f>
        <v>0</v>
      </c>
      <c r="G21" s="44"/>
      <c r="H21" s="45"/>
      <c r="I21" s="27">
        <f>IF(H21&gt;H23,1,0)</f>
        <v>0</v>
      </c>
      <c r="J21" s="27">
        <f>IF(B21="",0,1)</f>
        <v>1</v>
      </c>
      <c r="K21" s="27">
        <f>IF(C21+F21=2,3,IF(C21+F21=1,1,0))</f>
        <v>0</v>
      </c>
      <c r="L21" s="27">
        <f>IF(K21=3,3,IF(I21+K21=2,2,IF(K21=1,1,0)))</f>
        <v>0</v>
      </c>
      <c r="M21" s="27">
        <f>B21+E21</f>
        <v>1</v>
      </c>
      <c r="N21" s="27">
        <f>C21+F21+I21</f>
        <v>0</v>
      </c>
      <c r="O21" s="27"/>
      <c r="P21" s="41" t="str">
        <f>AE11</f>
        <v>Giada Sciberras</v>
      </c>
      <c r="Q21" s="42">
        <v>6.0</v>
      </c>
      <c r="R21" s="43">
        <f>IF(Q21&gt;Q23,1,0)</f>
        <v>1</v>
      </c>
      <c r="S21" s="44"/>
      <c r="T21" s="42">
        <v>7.0</v>
      </c>
      <c r="U21" s="43">
        <f>IF(T21&gt;T23,1,0)</f>
        <v>1</v>
      </c>
      <c r="V21" s="44"/>
      <c r="W21" s="45"/>
      <c r="X21" s="27">
        <f>IF(W21&gt;W23,1,0)</f>
        <v>0</v>
      </c>
      <c r="Y21" s="27">
        <f>IF(Q21="",0,1)</f>
        <v>1</v>
      </c>
      <c r="Z21" s="27">
        <f>IF(R21+U21=2,3,IF(R21+U21=1,1,0))</f>
        <v>3</v>
      </c>
      <c r="AA21" s="27">
        <f>IF(Z21=3,3,IF(X21+Z21=2,2,IF(Z21=1,1,0)))</f>
        <v>3</v>
      </c>
      <c r="AB21" s="27">
        <f>Q21+T21</f>
        <v>13</v>
      </c>
      <c r="AC21" s="27">
        <f>R21+U21+X21</f>
        <v>2</v>
      </c>
      <c r="AD21" s="55"/>
      <c r="AE21" s="152" t="s">
        <v>83</v>
      </c>
      <c r="AF21" s="30"/>
      <c r="AG21" s="30"/>
      <c r="AH21" s="30"/>
      <c r="AI21" s="31"/>
      <c r="AJ21" s="27"/>
      <c r="AK21" s="27"/>
      <c r="AL21" s="27"/>
      <c r="AM21" s="27"/>
      <c r="AN21" s="27"/>
    </row>
    <row r="22" ht="14.25" customHeight="1">
      <c r="A22" s="49" t="s">
        <v>78</v>
      </c>
      <c r="H22" s="50"/>
      <c r="I22" s="51"/>
      <c r="J22" s="27"/>
      <c r="K22" s="27"/>
      <c r="L22" s="27"/>
      <c r="M22" s="27"/>
      <c r="N22" s="27"/>
      <c r="O22" s="27"/>
      <c r="P22" s="49" t="s">
        <v>78</v>
      </c>
      <c r="W22" s="50"/>
      <c r="X22" s="51"/>
      <c r="Y22" s="27"/>
      <c r="Z22" s="27"/>
      <c r="AA22" s="27"/>
      <c r="AB22" s="27"/>
      <c r="AC22" s="27"/>
      <c r="AD22" s="27"/>
      <c r="AE22" s="57" t="s">
        <v>106</v>
      </c>
      <c r="AF22" s="30"/>
      <c r="AG22" s="30"/>
      <c r="AH22" s="30"/>
      <c r="AI22" s="31"/>
      <c r="AJ22" s="27"/>
      <c r="AK22" s="36"/>
      <c r="AL22" s="27"/>
      <c r="AM22" s="27"/>
      <c r="AN22" s="27"/>
    </row>
    <row r="23" ht="14.25" customHeight="1">
      <c r="A23" s="52" t="str">
        <f>AE17</f>
        <v>Dawn Azzopardi</v>
      </c>
      <c r="B23" s="42">
        <v>6.0</v>
      </c>
      <c r="C23" s="53">
        <f>IF(B23&gt;B21,1,0)</f>
        <v>1</v>
      </c>
      <c r="D23" s="54"/>
      <c r="E23" s="42">
        <v>6.0</v>
      </c>
      <c r="F23" s="53">
        <f>IF(E23&gt;E21,1,0)</f>
        <v>1</v>
      </c>
      <c r="G23" s="54"/>
      <c r="H23" s="45"/>
      <c r="I23" s="27">
        <f>IF(H23&gt;H21,1,0)</f>
        <v>0</v>
      </c>
      <c r="J23" s="27">
        <f>IF(B23="",0,1)</f>
        <v>1</v>
      </c>
      <c r="K23" s="27">
        <f>IF(C23+F23=2,3,IF(C23+F23=1,1,0))</f>
        <v>3</v>
      </c>
      <c r="L23" s="27">
        <f>IF(K23=3,3,IF(I23+K23=2,2,IF(K23=1,1,0)))</f>
        <v>3</v>
      </c>
      <c r="M23" s="27">
        <f>B23+E23</f>
        <v>12</v>
      </c>
      <c r="N23" s="27">
        <f>C23+F23+I23</f>
        <v>2</v>
      </c>
      <c r="O23" s="27"/>
      <c r="P23" s="52" t="str">
        <f>AE15</f>
        <v>Jade Sammut</v>
      </c>
      <c r="Q23" s="42">
        <v>2.0</v>
      </c>
      <c r="R23" s="53">
        <f>IF(Q23&gt;Q21,1,0)</f>
        <v>0</v>
      </c>
      <c r="S23" s="54"/>
      <c r="T23" s="42">
        <v>6.0</v>
      </c>
      <c r="U23" s="53">
        <f>IF(T23&gt;T21,1,0)</f>
        <v>0</v>
      </c>
      <c r="V23" s="54"/>
      <c r="W23" s="45"/>
      <c r="X23" s="27">
        <f>IF(W23&gt;W21,1,0)</f>
        <v>0</v>
      </c>
      <c r="Y23" s="27">
        <f>IF(Q23="",0,1)</f>
        <v>1</v>
      </c>
      <c r="Z23" s="27">
        <f>IF(R23+U23=2,3,IF(R23+U23=1,1,0))</f>
        <v>0</v>
      </c>
      <c r="AA23" s="27">
        <f>IF(Z23=3,3,IF(X23+Z23=2,2,IF(Z23=1,1,0)))</f>
        <v>0</v>
      </c>
      <c r="AB23" s="27">
        <f>Q23+T23</f>
        <v>8</v>
      </c>
      <c r="AC23" s="27">
        <f>R23+U23+X23</f>
        <v>0</v>
      </c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</row>
    <row r="24" ht="14.25" customHeight="1">
      <c r="A24" s="27"/>
      <c r="B24" s="27"/>
      <c r="C24" s="27"/>
      <c r="D24" s="27"/>
      <c r="E24" s="27"/>
      <c r="F24" s="27"/>
      <c r="G24" s="27"/>
      <c r="H24" s="53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53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</row>
    <row r="25" ht="14.25" customHeight="1">
      <c r="A25" s="41" t="str">
        <f>AE13</f>
        <v>Dominique Francica</v>
      </c>
      <c r="B25" s="42">
        <v>1.0</v>
      </c>
      <c r="C25" s="43">
        <f>IF(B25&gt;B27,1,0)</f>
        <v>0</v>
      </c>
      <c r="D25" s="44"/>
      <c r="E25" s="42">
        <v>1.0</v>
      </c>
      <c r="F25" s="43">
        <f>IF(E25&gt;E27,1,0)</f>
        <v>0</v>
      </c>
      <c r="G25" s="44"/>
      <c r="H25" s="45"/>
      <c r="I25" s="27">
        <f>IF(H25&gt;H27,1,0)</f>
        <v>0</v>
      </c>
      <c r="J25" s="27">
        <f>IF(B25="",0,1)</f>
        <v>1</v>
      </c>
      <c r="K25" s="27">
        <f>IF(C25+F25=2,3,IF(C25+F25=1,1,0))</f>
        <v>0</v>
      </c>
      <c r="L25" s="27">
        <f>IF(K25=3,3,IF(I25+K25=2,2,IF(K25=1,1,0)))</f>
        <v>0</v>
      </c>
      <c r="M25" s="27">
        <f>B25+E25</f>
        <v>2</v>
      </c>
      <c r="N25" s="27">
        <f>C25+F25+I25</f>
        <v>0</v>
      </c>
      <c r="O25" s="27"/>
      <c r="P25" s="70" t="str">
        <f>AE11</f>
        <v>Giada Sciberras</v>
      </c>
      <c r="Q25" s="71"/>
      <c r="R25" s="72">
        <f>IF(Q25&gt;Q27,1,0)</f>
        <v>0</v>
      </c>
      <c r="S25" s="73"/>
      <c r="T25" s="71"/>
      <c r="U25" s="72">
        <f>IF(T25&gt;T27,1,0)</f>
        <v>0</v>
      </c>
      <c r="V25" s="73"/>
      <c r="W25" s="71"/>
      <c r="X25" s="27">
        <f>IF(W25&gt;W27,1,0)</f>
        <v>0</v>
      </c>
      <c r="Y25" s="27">
        <f>IF(Q25="",0,1)</f>
        <v>0</v>
      </c>
      <c r="Z25" s="27">
        <f>IF(R25+U25=2,3,IF(R25+U25=1,1,0))</f>
        <v>0</v>
      </c>
      <c r="AA25" s="27">
        <f>IF(Z25=3,3,IF(X25+Z25=2,2,IF(Z25=1,1,0)))</f>
        <v>0</v>
      </c>
      <c r="AB25" s="27">
        <f>Q25+T25</f>
        <v>0</v>
      </c>
      <c r="AC25" s="27">
        <f>R25+U25+X25</f>
        <v>0</v>
      </c>
      <c r="AD25" s="27"/>
      <c r="AE25" s="153" t="s">
        <v>84</v>
      </c>
      <c r="AF25" s="30"/>
      <c r="AG25" s="30"/>
      <c r="AH25" s="30"/>
      <c r="AI25" s="31"/>
      <c r="AJ25" s="27"/>
      <c r="AK25" s="27"/>
      <c r="AL25" s="27"/>
      <c r="AM25" s="27"/>
      <c r="AN25" s="27"/>
    </row>
    <row r="26" ht="14.25" customHeight="1">
      <c r="A26" s="49" t="s">
        <v>78</v>
      </c>
      <c r="H26" s="50"/>
      <c r="I26" s="51"/>
      <c r="J26" s="27"/>
      <c r="K26" s="27"/>
      <c r="L26" s="27"/>
      <c r="M26" s="27"/>
      <c r="N26" s="27"/>
      <c r="O26" s="27"/>
      <c r="P26" s="75" t="s">
        <v>78</v>
      </c>
      <c r="W26" s="50"/>
      <c r="X26" s="51"/>
      <c r="Y26" s="27"/>
      <c r="Z26" s="27"/>
      <c r="AA26" s="27"/>
      <c r="AB26" s="27"/>
      <c r="AC26" s="27"/>
      <c r="AD26" s="27"/>
      <c r="AE26" s="57" t="s">
        <v>103</v>
      </c>
      <c r="AF26" s="30"/>
      <c r="AG26" s="30"/>
      <c r="AH26" s="30"/>
      <c r="AI26" s="31"/>
      <c r="AJ26" s="27"/>
      <c r="AK26" s="27"/>
      <c r="AL26" s="27"/>
      <c r="AM26" s="27"/>
      <c r="AN26" s="27"/>
    </row>
    <row r="27" ht="14.25" customHeight="1">
      <c r="A27" s="52" t="str">
        <f>AE17</f>
        <v>Dawn Azzopardi</v>
      </c>
      <c r="B27" s="42">
        <v>6.0</v>
      </c>
      <c r="C27" s="53">
        <f>IF(B27&gt;B25,1,0)</f>
        <v>1</v>
      </c>
      <c r="D27" s="54"/>
      <c r="E27" s="42">
        <v>6.0</v>
      </c>
      <c r="F27" s="53">
        <f>IF(E27&gt;E25,1,0)</f>
        <v>1</v>
      </c>
      <c r="G27" s="54"/>
      <c r="H27" s="45"/>
      <c r="I27" s="27">
        <f>IF(H27&gt;H25,1,0)</f>
        <v>0</v>
      </c>
      <c r="J27" s="27">
        <f>IF(B27="",0,1)</f>
        <v>1</v>
      </c>
      <c r="K27" s="27">
        <f>IF(C27+F27=2,3,IF(C27+F27=1,1,0))</f>
        <v>3</v>
      </c>
      <c r="L27" s="27">
        <f>IF(K27=3,3,IF(I27+K27=2,2,IF(K27=1,1,0)))</f>
        <v>3</v>
      </c>
      <c r="M27" s="27">
        <f>B27+E27</f>
        <v>12</v>
      </c>
      <c r="N27" s="27">
        <f>C27+F27+I27</f>
        <v>2</v>
      </c>
      <c r="O27" s="27"/>
      <c r="P27" s="76" t="str">
        <f>AE19</f>
        <v>Jin Attard</v>
      </c>
      <c r="Q27" s="71"/>
      <c r="R27" s="77">
        <f>IF(Q27&gt;Q25,1,0)</f>
        <v>0</v>
      </c>
      <c r="S27" s="78"/>
      <c r="T27" s="71"/>
      <c r="U27" s="77">
        <f>IF(T27&gt;T25,1,0)</f>
        <v>0</v>
      </c>
      <c r="V27" s="78"/>
      <c r="W27" s="71"/>
      <c r="X27" s="27">
        <f>IF(W27&gt;W25,1,0)</f>
        <v>0</v>
      </c>
      <c r="Y27" s="27">
        <f>IF(Q27="",0,1)</f>
        <v>0</v>
      </c>
      <c r="Z27" s="27">
        <f>IF(R27+U27=2,3,IF(R27+U27=1,1,0))</f>
        <v>0</v>
      </c>
      <c r="AA27" s="27">
        <f>IF(Z27=3,3,IF(X27+Z27=2,2,IF(Z27=1,1,0)))</f>
        <v>0</v>
      </c>
      <c r="AB27" s="27">
        <f>Q27+T27</f>
        <v>0</v>
      </c>
      <c r="AC27" s="27">
        <f>R27+U27+X27</f>
        <v>0</v>
      </c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</row>
    <row r="28" ht="14.25" customHeight="1">
      <c r="A28" s="27"/>
      <c r="B28" s="27"/>
      <c r="C28" s="27"/>
      <c r="D28" s="27"/>
      <c r="E28" s="27"/>
      <c r="F28" s="27"/>
      <c r="G28" s="27"/>
      <c r="H28" s="53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53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36"/>
      <c r="AI28" s="27"/>
      <c r="AJ28" s="27"/>
      <c r="AK28" s="27"/>
      <c r="AL28" s="27"/>
      <c r="AM28" s="27"/>
      <c r="AN28" s="27"/>
    </row>
    <row r="29" ht="14.25" customHeight="1">
      <c r="A29" s="70" t="str">
        <f>AE15</f>
        <v>Jade Sammut</v>
      </c>
      <c r="B29" s="71"/>
      <c r="C29" s="72">
        <f>IF(B29&gt;B31,1,0)</f>
        <v>0</v>
      </c>
      <c r="D29" s="73"/>
      <c r="E29" s="71"/>
      <c r="F29" s="72">
        <f>IF(E29&gt;E31,1,0)</f>
        <v>0</v>
      </c>
      <c r="G29" s="73"/>
      <c r="H29" s="71"/>
      <c r="I29" s="27">
        <f>IF(H29&gt;H31,1,0)</f>
        <v>0</v>
      </c>
      <c r="J29" s="27">
        <f>IF(B29="",0,1)</f>
        <v>0</v>
      </c>
      <c r="K29" s="27">
        <f>IF(C29+F29=2,3,IF(C29+F29=1,1,0))</f>
        <v>0</v>
      </c>
      <c r="L29" s="27">
        <f>IF(K29=3,3,IF(I29+K29=2,2,IF(K29=1,1,0)))</f>
        <v>0</v>
      </c>
      <c r="M29" s="27">
        <f>B29+E29</f>
        <v>0</v>
      </c>
      <c r="N29" s="27">
        <f>C29+F29+I29</f>
        <v>0</v>
      </c>
      <c r="O29" s="27"/>
      <c r="P29" s="41" t="str">
        <f>AE13</f>
        <v>Dominique Francica</v>
      </c>
      <c r="Q29" s="42">
        <v>6.0</v>
      </c>
      <c r="R29" s="43">
        <f>IF(Q29&gt;Q31,1,0)</f>
        <v>1</v>
      </c>
      <c r="S29" s="44"/>
      <c r="T29" s="42">
        <v>6.0</v>
      </c>
      <c r="U29" s="43">
        <f>IF(T29&gt;T31,1,0)</f>
        <v>1</v>
      </c>
      <c r="V29" s="44"/>
      <c r="W29" s="45"/>
      <c r="X29" s="27">
        <f>IF(W29&gt;W31,1,0)</f>
        <v>0</v>
      </c>
      <c r="Y29" s="27">
        <f>IF(Q29="",0,1)</f>
        <v>1</v>
      </c>
      <c r="Z29" s="27">
        <f>IF(R29+U29=2,3,IF(R29+U29=1,1,0))</f>
        <v>3</v>
      </c>
      <c r="AA29" s="27">
        <f>IF(Z29=3,3,IF(X29+Z29=2,2,IF(Z29=1,1,0)))</f>
        <v>3</v>
      </c>
      <c r="AB29" s="27">
        <f>Q29+T29</f>
        <v>12</v>
      </c>
      <c r="AC29" s="27">
        <f>R29+U29+X29</f>
        <v>2</v>
      </c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</row>
    <row r="30" ht="14.25" customHeight="1">
      <c r="A30" s="75" t="s">
        <v>78</v>
      </c>
      <c r="H30" s="50"/>
      <c r="I30" s="51"/>
      <c r="J30" s="27"/>
      <c r="K30" s="27"/>
      <c r="L30" s="27"/>
      <c r="M30" s="27"/>
      <c r="N30" s="27"/>
      <c r="O30" s="27"/>
      <c r="P30" s="49" t="s">
        <v>78</v>
      </c>
      <c r="W30" s="50"/>
      <c r="X30" s="51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58"/>
      <c r="AM30" s="27"/>
      <c r="AN30" s="27"/>
    </row>
    <row r="31" ht="14.25" customHeight="1">
      <c r="A31" s="76" t="str">
        <f>AE19</f>
        <v>Jin Attard</v>
      </c>
      <c r="B31" s="71"/>
      <c r="C31" s="77">
        <f>IF(B31&gt;B29,1,0)</f>
        <v>0</v>
      </c>
      <c r="D31" s="78"/>
      <c r="E31" s="71"/>
      <c r="F31" s="77">
        <f>IF(E31&gt;E29,1,0)</f>
        <v>0</v>
      </c>
      <c r="G31" s="78"/>
      <c r="H31" s="71"/>
      <c r="I31" s="27">
        <f>IF(H31&gt;H29,1,0)</f>
        <v>0</v>
      </c>
      <c r="J31" s="27">
        <f>IF(B31="",0,1)</f>
        <v>0</v>
      </c>
      <c r="K31" s="27">
        <f>IF(C31+F31=2,3,IF(C31+F31=1,1,0))</f>
        <v>0</v>
      </c>
      <c r="L31" s="27">
        <f>IF(K31=3,3,IF(I31+K31=2,2,IF(K31=1,1,0)))</f>
        <v>0</v>
      </c>
      <c r="M31" s="27">
        <f>B31+E31</f>
        <v>0</v>
      </c>
      <c r="N31" s="27">
        <f>C31+F31+I31</f>
        <v>0</v>
      </c>
      <c r="O31" s="27"/>
      <c r="P31" s="52" t="str">
        <f>AE15</f>
        <v>Jade Sammut</v>
      </c>
      <c r="Q31" s="42">
        <v>1.0</v>
      </c>
      <c r="R31" s="53">
        <f>IF(Q31&gt;Q29,1,0)</f>
        <v>0</v>
      </c>
      <c r="S31" s="54"/>
      <c r="T31" s="42">
        <v>4.0</v>
      </c>
      <c r="U31" s="53">
        <f>IF(T31&gt;T29,1,0)</f>
        <v>0</v>
      </c>
      <c r="V31" s="54"/>
      <c r="W31" s="45"/>
      <c r="X31" s="27">
        <f>IF(W31&gt;W29,1,0)</f>
        <v>0</v>
      </c>
      <c r="Y31" s="27">
        <f>IF(Q31="",0,1)</f>
        <v>1</v>
      </c>
      <c r="Z31" s="27">
        <f>IF(R31+U31=2,3,IF(R31+U31=1,1,0))</f>
        <v>0</v>
      </c>
      <c r="AA31" s="27">
        <f>IF(Z31=3,3,IF(X31+Z31=2,2,IF(Z31=1,1,0)))</f>
        <v>0</v>
      </c>
      <c r="AB31" s="27">
        <f>Q31+T31</f>
        <v>5</v>
      </c>
      <c r="AC31" s="27">
        <f>R31+U31+X31</f>
        <v>0</v>
      </c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36"/>
    </row>
    <row r="32" ht="14.25" customHeight="1">
      <c r="A32" s="27"/>
      <c r="B32" s="27"/>
      <c r="C32" s="27"/>
      <c r="D32" s="27"/>
      <c r="E32" s="27"/>
      <c r="F32" s="27"/>
      <c r="G32" s="27"/>
      <c r="H32" s="53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53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58"/>
      <c r="AM32" s="27"/>
      <c r="AN32" s="27"/>
    </row>
    <row r="33" ht="14.25" customHeight="1">
      <c r="A33" s="70" t="str">
        <f>AE17</f>
        <v>Dawn Azzopardi</v>
      </c>
      <c r="B33" s="71"/>
      <c r="C33" s="72">
        <f>IF(B33&gt;B35,1,0)</f>
        <v>0</v>
      </c>
      <c r="D33" s="73"/>
      <c r="E33" s="71"/>
      <c r="F33" s="72">
        <f>IF(E33&gt;E35,1,0)</f>
        <v>0</v>
      </c>
      <c r="G33" s="73"/>
      <c r="H33" s="71"/>
      <c r="I33" s="27">
        <f>IF(H33&gt;H35,1,0)</f>
        <v>0</v>
      </c>
      <c r="J33" s="27">
        <f>IF(B33="",0,1)</f>
        <v>0</v>
      </c>
      <c r="K33" s="27">
        <f>IF(C33+F33=2,3,IF(C33+F33=1,1,0))</f>
        <v>0</v>
      </c>
      <c r="L33" s="27">
        <f>IF(K33=3,3,IF(I33+K33=2,2,IF(K33=1,1,0)))</f>
        <v>0</v>
      </c>
      <c r="M33" s="27">
        <f>B33+E33</f>
        <v>0</v>
      </c>
      <c r="N33" s="27">
        <f>C33+F33+I33</f>
        <v>0</v>
      </c>
      <c r="O33" s="27"/>
      <c r="P33" s="70" t="str">
        <f>AE13</f>
        <v>Dominique Francica</v>
      </c>
      <c r="Q33" s="71"/>
      <c r="R33" s="72">
        <f>IF(Q33&gt;Q35,1,0)</f>
        <v>0</v>
      </c>
      <c r="S33" s="73"/>
      <c r="T33" s="71"/>
      <c r="U33" s="72">
        <f>IF(T33&gt;T35,1,0)</f>
        <v>0</v>
      </c>
      <c r="V33" s="73"/>
      <c r="W33" s="71"/>
      <c r="X33" s="27">
        <f>IF(W33&gt;W35,1,0)</f>
        <v>0</v>
      </c>
      <c r="Y33" s="27">
        <f>IF(Q33="",0,1)</f>
        <v>0</v>
      </c>
      <c r="Z33" s="27">
        <f>IF(R33+U33=2,3,IF(R33+U33=1,1,0))</f>
        <v>0</v>
      </c>
      <c r="AA33" s="27">
        <f>IF(Z33=3,3,IF(X33+Z33=2,2,IF(Z33=1,1,0)))</f>
        <v>0</v>
      </c>
      <c r="AB33" s="27">
        <f>Q33+T33</f>
        <v>0</v>
      </c>
      <c r="AC33" s="27">
        <f>R33+U33+X33</f>
        <v>0</v>
      </c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</row>
    <row r="34" ht="14.25" customHeight="1">
      <c r="A34" s="75" t="s">
        <v>78</v>
      </c>
      <c r="H34" s="50"/>
      <c r="I34" s="51"/>
      <c r="J34" s="27"/>
      <c r="K34" s="27"/>
      <c r="L34" s="27"/>
      <c r="M34" s="27"/>
      <c r="N34" s="27"/>
      <c r="O34" s="27"/>
      <c r="P34" s="75" t="s">
        <v>78</v>
      </c>
      <c r="W34" s="50"/>
      <c r="X34" s="51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</row>
    <row r="35" ht="14.25" customHeight="1">
      <c r="A35" s="76" t="str">
        <f>AE19</f>
        <v>Jin Attard</v>
      </c>
      <c r="B35" s="71"/>
      <c r="C35" s="77">
        <f>IF(B35&gt;B33,1,0)</f>
        <v>0</v>
      </c>
      <c r="D35" s="78"/>
      <c r="E35" s="71"/>
      <c r="F35" s="77">
        <f>IF(E35&gt;E33,1,0)</f>
        <v>0</v>
      </c>
      <c r="G35" s="78"/>
      <c r="H35" s="71"/>
      <c r="I35" s="27">
        <f>IF(H35&gt;H33,1,0)</f>
        <v>0</v>
      </c>
      <c r="J35" s="27">
        <f>IF(B35="",0,1)</f>
        <v>0</v>
      </c>
      <c r="K35" s="27">
        <f>IF(C35+F35=2,3,IF(C35+F35=1,1,0))</f>
        <v>0</v>
      </c>
      <c r="L35" s="27">
        <f>IF(K35=3,3,IF(I35+K35=2,2,IF(K35=1,1,0)))</f>
        <v>0</v>
      </c>
      <c r="M35" s="27">
        <f>B35+E35</f>
        <v>0</v>
      </c>
      <c r="N35" s="27">
        <f>C35+F35+I35</f>
        <v>0</v>
      </c>
      <c r="O35" s="27"/>
      <c r="P35" s="76" t="str">
        <f>AE19</f>
        <v>Jin Attard</v>
      </c>
      <c r="Q35" s="71"/>
      <c r="R35" s="77">
        <f>IF(Q35&gt;Q33,1,0)</f>
        <v>0</v>
      </c>
      <c r="S35" s="78"/>
      <c r="T35" s="71"/>
      <c r="U35" s="77">
        <f>IF(T35&gt;T33,1,0)</f>
        <v>0</v>
      </c>
      <c r="V35" s="78"/>
      <c r="W35" s="71"/>
      <c r="X35" s="27">
        <f>IF(W35&gt;W33,1,0)</f>
        <v>0</v>
      </c>
      <c r="Y35" s="27">
        <f>IF(Q35="",0,1)</f>
        <v>0</v>
      </c>
      <c r="Z35" s="27">
        <f>IF(R35+U35=2,3,IF(R35+U35=1,1,0))</f>
        <v>0</v>
      </c>
      <c r="AA35" s="27">
        <f>IF(Z35=3,3,IF(X35+Z35=2,2,IF(Z35=1,1,0)))</f>
        <v>0</v>
      </c>
      <c r="AB35" s="27">
        <f>Q35+T35</f>
        <v>0</v>
      </c>
      <c r="AC35" s="27">
        <f>R35+U35+X35</f>
        <v>0</v>
      </c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</row>
    <row r="36" ht="14.25" customHeight="1">
      <c r="A36" s="27"/>
      <c r="B36" s="27"/>
      <c r="C36" s="27"/>
      <c r="D36" s="27"/>
      <c r="E36" s="27"/>
      <c r="F36" s="27"/>
      <c r="G36" s="27"/>
      <c r="H36" s="53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36"/>
      <c r="AI36" s="27"/>
      <c r="AJ36" s="27"/>
      <c r="AK36" s="36"/>
      <c r="AL36" s="27"/>
      <c r="AM36" s="27"/>
      <c r="AN36" s="27"/>
    </row>
    <row r="37" ht="14.25" customHeight="1">
      <c r="A37" s="41" t="str">
        <f>AE15</f>
        <v>Jade Sammut</v>
      </c>
      <c r="B37" s="42">
        <v>0.0</v>
      </c>
      <c r="C37" s="43">
        <f>IF(B37&gt;B39,1,0)</f>
        <v>0</v>
      </c>
      <c r="D37" s="44"/>
      <c r="E37" s="42">
        <v>0.0</v>
      </c>
      <c r="F37" s="43">
        <f>IF(E37&gt;E39,1,0)</f>
        <v>0</v>
      </c>
      <c r="G37" s="44"/>
      <c r="H37" s="45"/>
      <c r="I37" s="27">
        <f>IF(H37&gt;H39,1,0)</f>
        <v>0</v>
      </c>
      <c r="J37" s="27">
        <f>IF(B37="",0,1)</f>
        <v>1</v>
      </c>
      <c r="K37" s="27">
        <f>IF(C37+F37=2,3,IF(C37+F37=1,1,0))</f>
        <v>0</v>
      </c>
      <c r="L37" s="27">
        <f>IF(K37=3,3,IF(I37+K37=2,2,IF(K37=1,1,0)))</f>
        <v>0</v>
      </c>
      <c r="M37" s="27">
        <f>B37+E37</f>
        <v>0</v>
      </c>
      <c r="N37" s="27">
        <f>C37+F37+I37</f>
        <v>0</v>
      </c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36"/>
      <c r="AL37" s="27"/>
      <c r="AM37" s="27"/>
      <c r="AN37" s="27"/>
    </row>
    <row r="38" ht="14.25" customHeight="1">
      <c r="A38" s="49" t="s">
        <v>78</v>
      </c>
      <c r="H38" s="50"/>
      <c r="I38" s="51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59"/>
      <c r="AK38" s="27"/>
      <c r="AL38" s="27"/>
      <c r="AM38" s="27"/>
      <c r="AN38" s="27"/>
    </row>
    <row r="39" ht="14.25" customHeight="1">
      <c r="A39" s="52" t="str">
        <f>AE17</f>
        <v>Dawn Azzopardi</v>
      </c>
      <c r="B39" s="42">
        <v>6.0</v>
      </c>
      <c r="C39" s="53">
        <f>IF(B39&gt;B37,1,0)</f>
        <v>1</v>
      </c>
      <c r="D39" s="54"/>
      <c r="E39" s="42">
        <v>6.0</v>
      </c>
      <c r="F39" s="53">
        <f>IF(E39&gt;E37,1,0)</f>
        <v>1</v>
      </c>
      <c r="G39" s="54"/>
      <c r="H39" s="45"/>
      <c r="I39" s="27">
        <f>IF(H39&gt;H37,1,0)</f>
        <v>0</v>
      </c>
      <c r="J39" s="27">
        <f>IF(B39="",0,1)</f>
        <v>1</v>
      </c>
      <c r="K39" s="27">
        <f>IF(C39+F39=2,3,IF(C39+F39=1,1,0))</f>
        <v>3</v>
      </c>
      <c r="L39" s="27">
        <f>IF(K39=3,3,IF(I39+K39=2,2,IF(K39=1,1,0)))</f>
        <v>3</v>
      </c>
      <c r="M39" s="27">
        <f>B39+E39</f>
        <v>12</v>
      </c>
      <c r="N39" s="27">
        <f>C39+F39+I39</f>
        <v>2</v>
      </c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</row>
    <row r="40" ht="14.2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</row>
    <row r="41" ht="14.2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59"/>
      <c r="AK41" s="27"/>
      <c r="AL41" s="27"/>
      <c r="AM41" s="27"/>
      <c r="AN41" s="27"/>
    </row>
    <row r="42" ht="14.2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</row>
    <row r="43" ht="14.2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</row>
    <row r="44" ht="14.2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</row>
    <row r="45" ht="14.2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</row>
    <row r="46" ht="14.2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59"/>
      <c r="AK46" s="27"/>
      <c r="AL46" s="36"/>
      <c r="AM46" s="27"/>
      <c r="AN46" s="27"/>
    </row>
    <row r="47" ht="14.2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</row>
    <row r="48" ht="14.2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</row>
    <row r="49" ht="14.2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</row>
    <row r="50" ht="14.2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</row>
    <row r="51" ht="14.2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59"/>
      <c r="AK51" s="27"/>
      <c r="AL51" s="27"/>
      <c r="AM51" s="27"/>
      <c r="AN51" s="36"/>
    </row>
    <row r="52" ht="14.2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</row>
    <row r="53" ht="14.2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</row>
    <row r="54" ht="14.2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</row>
    <row r="55" ht="14.2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36"/>
      <c r="AI55" s="27"/>
      <c r="AJ55" s="27"/>
      <c r="AK55" s="36"/>
      <c r="AL55" s="27"/>
      <c r="AM55" s="27"/>
      <c r="AN55" s="27"/>
    </row>
    <row r="56" ht="14.2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</row>
    <row r="57" ht="14.2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</row>
    <row r="58" ht="14.2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</row>
    <row r="59" ht="14.2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</row>
    <row r="60" ht="14.2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</row>
    <row r="61" ht="14.2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</row>
    <row r="62" ht="14.2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</row>
    <row r="63" ht="14.2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</row>
    <row r="64" ht="14.2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</row>
    <row r="65" ht="14.2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</row>
    <row r="66" ht="14.2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</row>
    <row r="67" ht="14.2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</row>
    <row r="68" ht="14.2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</row>
    <row r="69" ht="14.2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</row>
    <row r="70" ht="14.2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</row>
    <row r="71" ht="14.2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</row>
    <row r="72" ht="14.2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</row>
    <row r="73" ht="14.2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</row>
    <row r="74" ht="14.2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</row>
    <row r="75" ht="14.2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</row>
    <row r="76" ht="14.2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</row>
    <row r="77" ht="14.2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</row>
    <row r="78" ht="14.2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</row>
    <row r="79" ht="14.2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</row>
    <row r="80" ht="14.2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</row>
    <row r="81" ht="14.2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</row>
    <row r="82" ht="14.2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</row>
    <row r="83" ht="14.2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</row>
    <row r="84" ht="14.2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</row>
    <row r="85" ht="14.2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</row>
    <row r="86" ht="14.2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</row>
    <row r="87" ht="14.2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</row>
    <row r="88" ht="14.2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</row>
    <row r="89" ht="14.2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</row>
    <row r="90" ht="14.2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</row>
    <row r="91" ht="14.2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</row>
    <row r="92" ht="14.2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</row>
    <row r="93" ht="14.2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</row>
    <row r="94" ht="14.2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</row>
    <row r="95" ht="14.2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</row>
    <row r="96" ht="14.2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</row>
    <row r="97" ht="14.2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</row>
    <row r="98" ht="14.2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</row>
    <row r="99" ht="14.2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</row>
    <row r="100" ht="14.2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</row>
    <row r="101" ht="14.2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</row>
    <row r="102" ht="14.2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</row>
    <row r="103" ht="14.2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</row>
    <row r="104" ht="14.2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</row>
    <row r="105" ht="14.2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36"/>
      <c r="R105" s="36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</row>
    <row r="106" ht="14.2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</row>
    <row r="107" ht="14.2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</row>
    <row r="108" ht="14.2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</row>
    <row r="109" ht="14.2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</row>
    <row r="110" ht="14.2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</row>
    <row r="111" ht="14.2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</row>
    <row r="112" ht="14.2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</row>
    <row r="113" ht="14.2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</row>
    <row r="114" ht="14.2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</row>
    <row r="115" ht="14.2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</row>
    <row r="116" ht="14.2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</row>
    <row r="117" ht="14.2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</row>
    <row r="118" ht="14.2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</row>
    <row r="119" ht="14.2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</row>
    <row r="120" ht="14.2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</row>
    <row r="121" ht="14.2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</row>
    <row r="122" ht="14.2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</row>
    <row r="123" ht="14.2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</row>
    <row r="124" ht="14.2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</row>
    <row r="125" ht="14.2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</row>
    <row r="126" ht="14.2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</row>
    <row r="127" ht="14.2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</row>
    <row r="128" ht="14.2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</row>
    <row r="129" ht="14.2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</row>
    <row r="130" ht="14.2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</row>
    <row r="131" ht="14.2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</row>
    <row r="132" ht="14.2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</row>
    <row r="133" ht="14.2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</row>
    <row r="134" ht="14.2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</row>
    <row r="135" ht="14.2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</row>
    <row r="136" ht="14.2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</row>
    <row r="137" ht="14.2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</row>
    <row r="138" ht="14.2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</row>
    <row r="139" ht="14.2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</row>
    <row r="140" ht="14.2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</row>
    <row r="141" ht="14.2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</row>
    <row r="142" ht="14.2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</row>
    <row r="143" ht="14.2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</row>
    <row r="144" ht="14.2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</row>
    <row r="145" ht="14.2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</row>
    <row r="146" ht="14.2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</row>
    <row r="147" ht="14.2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</row>
    <row r="148" ht="14.2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</row>
    <row r="149" ht="14.2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</row>
    <row r="150" ht="14.2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</row>
    <row r="151" ht="14.2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</row>
    <row r="152" ht="14.2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</row>
    <row r="153" ht="14.2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</row>
    <row r="154" ht="14.2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</row>
    <row r="155" ht="14.2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</row>
    <row r="156" ht="14.2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</row>
    <row r="157" ht="14.2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</row>
    <row r="158" ht="14.2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</row>
    <row r="159" ht="14.2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</row>
    <row r="160" ht="14.2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</row>
    <row r="161" ht="14.2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</row>
    <row r="162" ht="14.2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</row>
    <row r="163" ht="14.2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</row>
    <row r="164" ht="14.2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</row>
    <row r="165" ht="14.2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</row>
    <row r="166" ht="14.2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</row>
    <row r="167" ht="14.2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</row>
    <row r="168" ht="14.2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</row>
    <row r="169" ht="14.2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</row>
    <row r="170" ht="14.2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</row>
    <row r="171" ht="14.2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</row>
    <row r="172" ht="14.2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</row>
    <row r="173" ht="14.2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</row>
    <row r="174" ht="14.2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</row>
    <row r="175" ht="14.2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</row>
    <row r="176" ht="14.2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</row>
    <row r="177" ht="14.2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</row>
    <row r="178" ht="14.2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</row>
    <row r="179" ht="14.2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</row>
    <row r="180" ht="14.2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</row>
    <row r="181" ht="14.2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</row>
    <row r="182" ht="14.2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</row>
    <row r="183" ht="14.2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</row>
    <row r="184" ht="14.2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</row>
    <row r="185" ht="14.2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</row>
    <row r="186" ht="14.2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</row>
    <row r="187" ht="14.2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</row>
    <row r="188" ht="14.2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</row>
    <row r="189" ht="14.2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</row>
    <row r="190" ht="14.2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</row>
    <row r="191" ht="14.2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</row>
    <row r="192" ht="14.2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</row>
    <row r="193" ht="14.2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</row>
    <row r="194" ht="14.2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</row>
    <row r="195" ht="14.2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</row>
    <row r="196" ht="14.2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</row>
    <row r="197" ht="14.2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</row>
    <row r="198" ht="14.2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</row>
    <row r="199" ht="14.2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</row>
    <row r="200" ht="14.2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</row>
    <row r="201" ht="14.2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</row>
    <row r="202" ht="14.2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</row>
    <row r="203" ht="14.2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</row>
    <row r="204" ht="14.2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</row>
    <row r="205" ht="14.2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</row>
    <row r="206" ht="14.2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</row>
    <row r="207" ht="14.2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</row>
    <row r="208" ht="14.2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</row>
    <row r="209" ht="14.2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</row>
    <row r="210" ht="14.2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</row>
    <row r="211" ht="14.2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</row>
    <row r="212" ht="14.2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</row>
    <row r="213" ht="14.2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</row>
    <row r="214" ht="14.2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</row>
    <row r="215" ht="14.2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</row>
    <row r="216" ht="14.2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</row>
    <row r="217" ht="14.2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</row>
    <row r="218" ht="14.2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</row>
    <row r="219" ht="14.2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</row>
    <row r="220" ht="14.2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</row>
    <row r="221" ht="14.2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</row>
    <row r="222" ht="14.2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</row>
    <row r="223" ht="14.2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</row>
    <row r="224" ht="14.2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</row>
    <row r="225" ht="14.2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</row>
    <row r="226" ht="14.2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</row>
    <row r="227" ht="14.2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</row>
    <row r="228" ht="14.2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</row>
    <row r="229" ht="14.2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</row>
    <row r="230" ht="14.2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</row>
    <row r="231" ht="14.2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</row>
    <row r="232" ht="14.2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</row>
    <row r="233" ht="14.2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</row>
    <row r="234" ht="14.2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</row>
    <row r="235" ht="14.2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</row>
    <row r="236" ht="14.2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</row>
    <row r="237" ht="14.2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</row>
    <row r="238" ht="14.2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</row>
    <row r="239" ht="14.2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</row>
    <row r="240" ht="14.2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</row>
    <row r="241" ht="14.2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</row>
    <row r="242" ht="14.2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</row>
    <row r="243" ht="14.2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</row>
    <row r="244" ht="14.2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</row>
    <row r="245" ht="14.2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</row>
    <row r="246" ht="14.2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</row>
    <row r="247" ht="14.2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</row>
    <row r="248" ht="14.2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</row>
    <row r="249" ht="14.2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</row>
    <row r="250" ht="14.2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</row>
    <row r="251" ht="14.2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</row>
    <row r="252" ht="14.2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</row>
    <row r="253" ht="14.2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</row>
    <row r="254" ht="14.2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</row>
    <row r="255" ht="14.2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</row>
    <row r="256" ht="14.2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</row>
    <row r="257" ht="14.2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</row>
    <row r="258" ht="14.2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</row>
    <row r="259" ht="14.2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</row>
    <row r="260" ht="14.2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</row>
    <row r="261" ht="14.2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</row>
    <row r="262" ht="14.2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</row>
    <row r="263" ht="14.2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</row>
    <row r="264" ht="14.2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</row>
    <row r="265" ht="14.2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</row>
    <row r="266" ht="14.2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</row>
    <row r="267" ht="14.2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</row>
    <row r="268" ht="14.2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</row>
    <row r="269" ht="14.2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</row>
    <row r="270" ht="14.2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</row>
    <row r="271" ht="14.2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</row>
    <row r="272" ht="14.2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</row>
    <row r="273" ht="14.2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</row>
    <row r="274" ht="14.2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</row>
    <row r="275" ht="14.2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</row>
    <row r="276" ht="14.2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</row>
    <row r="277" ht="14.2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</row>
    <row r="278" ht="14.2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</row>
    <row r="279" ht="14.2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</row>
    <row r="280" ht="14.2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</row>
    <row r="281" ht="14.2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</row>
    <row r="282" ht="14.2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</row>
    <row r="283" ht="14.2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</row>
    <row r="284" ht="14.2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</row>
    <row r="285" ht="14.2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</row>
    <row r="286" ht="14.2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</row>
    <row r="287" ht="14.2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</row>
    <row r="288" ht="14.2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</row>
    <row r="289" ht="14.2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</row>
    <row r="290" ht="14.2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</row>
    <row r="291" ht="14.2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</row>
    <row r="292" ht="14.2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</row>
    <row r="293" ht="14.2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</row>
    <row r="294" ht="14.2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</row>
    <row r="295" ht="14.2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</row>
    <row r="296" ht="14.2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</row>
    <row r="297" ht="14.2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</row>
    <row r="298" ht="14.2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</row>
    <row r="299" ht="14.2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</row>
    <row r="300" ht="14.2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</row>
    <row r="301" ht="14.2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</row>
    <row r="302" ht="14.2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</row>
    <row r="303" ht="14.2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</row>
    <row r="304" ht="14.2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</row>
    <row r="305" ht="14.2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</row>
    <row r="306" ht="14.2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</row>
    <row r="307" ht="14.2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</row>
    <row r="308" ht="14.2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</row>
    <row r="309" ht="14.2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</row>
    <row r="310" ht="14.2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</row>
    <row r="311" ht="14.2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</row>
    <row r="312" ht="14.2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</row>
    <row r="313" ht="14.2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</row>
    <row r="314" ht="14.2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</row>
    <row r="315" ht="14.2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</row>
    <row r="316" ht="14.2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</row>
    <row r="317" ht="14.2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</row>
    <row r="318" ht="14.2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</row>
    <row r="319" ht="14.2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</row>
    <row r="320" ht="14.2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</row>
    <row r="321" ht="14.2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</row>
    <row r="322" ht="14.2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</row>
    <row r="323" ht="14.2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</row>
    <row r="324" ht="14.2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</row>
    <row r="325" ht="14.2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</row>
    <row r="326" ht="14.2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</row>
    <row r="327" ht="14.2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</row>
    <row r="328" ht="14.2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</row>
    <row r="329" ht="14.2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</row>
    <row r="330" ht="14.2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</row>
    <row r="331" ht="14.2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</row>
    <row r="332" ht="14.2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</row>
    <row r="333" ht="14.2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</row>
    <row r="334" ht="14.2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</row>
    <row r="335" ht="14.2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</row>
    <row r="336" ht="14.2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</row>
    <row r="337" ht="14.2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</row>
    <row r="338" ht="14.2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</row>
    <row r="339" ht="14.2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</row>
    <row r="340" ht="14.2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</row>
    <row r="341" ht="14.2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</row>
    <row r="342" ht="14.2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</row>
    <row r="343" ht="14.2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</row>
    <row r="344" ht="14.2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</row>
    <row r="345" ht="14.2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</row>
    <row r="346" ht="14.2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</row>
    <row r="347" ht="14.2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</row>
    <row r="348" ht="14.2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</row>
    <row r="349" ht="14.2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</row>
    <row r="350" ht="14.2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</row>
    <row r="351" ht="14.2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</row>
    <row r="352" ht="14.2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</row>
    <row r="353" ht="14.2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</row>
    <row r="354" ht="14.2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</row>
    <row r="355" ht="14.2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</row>
    <row r="356" ht="14.2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</row>
    <row r="357" ht="14.2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</row>
    <row r="358" ht="14.2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</row>
    <row r="359" ht="14.2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</row>
    <row r="360" ht="14.2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</row>
    <row r="361" ht="14.2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</row>
    <row r="362" ht="14.2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</row>
    <row r="363" ht="14.2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</row>
    <row r="364" ht="14.2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</row>
    <row r="365" ht="14.2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</row>
    <row r="366" ht="14.2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</row>
    <row r="367" ht="14.2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</row>
    <row r="368" ht="14.2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</row>
    <row r="369" ht="14.2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</row>
    <row r="370" ht="14.2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</row>
    <row r="371" ht="14.2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</row>
    <row r="372" ht="14.2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</row>
    <row r="373" ht="14.2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</row>
    <row r="374" ht="14.2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</row>
    <row r="375" ht="14.2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</row>
    <row r="376" ht="14.2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</row>
    <row r="377" ht="14.2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</row>
    <row r="378" ht="14.2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</row>
    <row r="379" ht="14.2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</row>
    <row r="380" ht="14.2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</row>
    <row r="381" ht="14.2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</row>
    <row r="382" ht="14.2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</row>
    <row r="383" ht="14.2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</row>
    <row r="384" ht="14.2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</row>
    <row r="385" ht="14.2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</row>
    <row r="386" ht="14.2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</row>
    <row r="387" ht="14.2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</row>
    <row r="388" ht="14.2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</row>
    <row r="389" ht="14.2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</row>
    <row r="390" ht="14.2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</row>
    <row r="391" ht="14.2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</row>
    <row r="392" ht="14.2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</row>
    <row r="393" ht="14.2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</row>
    <row r="394" ht="14.2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</row>
    <row r="395" ht="14.2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</row>
    <row r="396" ht="14.2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</row>
    <row r="397" ht="14.2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</row>
    <row r="398" ht="14.2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</row>
    <row r="399" ht="14.2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</row>
    <row r="400" ht="14.2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</row>
    <row r="401" ht="14.2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</row>
    <row r="402" ht="14.2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</row>
    <row r="403" ht="14.2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</row>
    <row r="404" ht="14.2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</row>
    <row r="405" ht="14.2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</row>
    <row r="406" ht="14.2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</row>
    <row r="407" ht="14.2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</row>
    <row r="408" ht="14.2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</row>
    <row r="409" ht="14.2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</row>
    <row r="410" ht="14.2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</row>
    <row r="411" ht="14.2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</row>
    <row r="412" ht="14.2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</row>
    <row r="413" ht="14.2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</row>
    <row r="414" ht="14.2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</row>
    <row r="415" ht="14.2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</row>
    <row r="416" ht="14.2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</row>
    <row r="417" ht="14.2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</row>
    <row r="418" ht="14.2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</row>
    <row r="419" ht="14.2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</row>
    <row r="420" ht="14.2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</row>
    <row r="421" ht="14.2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</row>
    <row r="422" ht="14.2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</row>
    <row r="423" ht="14.2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</row>
    <row r="424" ht="14.2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</row>
    <row r="425" ht="14.2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</row>
    <row r="426" ht="14.2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</row>
    <row r="427" ht="14.2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</row>
    <row r="428" ht="14.2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</row>
    <row r="429" ht="14.2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</row>
    <row r="430" ht="14.2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</row>
    <row r="431" ht="14.2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</row>
    <row r="432" ht="14.2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</row>
    <row r="433" ht="14.2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</row>
    <row r="434" ht="14.2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</row>
    <row r="435" ht="14.2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</row>
    <row r="436" ht="14.2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</row>
    <row r="437" ht="14.2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</row>
    <row r="438" ht="14.2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</row>
    <row r="439" ht="14.2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</row>
    <row r="440" ht="14.2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</row>
    <row r="441" ht="14.2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</row>
    <row r="442" ht="14.2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</row>
    <row r="443" ht="14.2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</row>
    <row r="444" ht="14.2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</row>
    <row r="445" ht="14.2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</row>
    <row r="446" ht="14.2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</row>
    <row r="447" ht="14.2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</row>
    <row r="448" ht="14.2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</row>
    <row r="449" ht="14.2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</row>
    <row r="450" ht="14.2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</row>
    <row r="451" ht="14.2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</row>
    <row r="452" ht="14.2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</row>
    <row r="453" ht="14.2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</row>
    <row r="454" ht="14.2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</row>
    <row r="455" ht="14.2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</row>
    <row r="456" ht="14.2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</row>
    <row r="457" ht="14.2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</row>
    <row r="458" ht="14.2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</row>
    <row r="459" ht="14.2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</row>
    <row r="460" ht="14.2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</row>
    <row r="461" ht="14.2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</row>
    <row r="462" ht="14.2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</row>
    <row r="463" ht="14.2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</row>
    <row r="464" ht="14.2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</row>
    <row r="465" ht="14.2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</row>
    <row r="466" ht="14.2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</row>
    <row r="467" ht="14.2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</row>
    <row r="468" ht="14.2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</row>
    <row r="469" ht="14.2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</row>
    <row r="470" ht="14.2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</row>
    <row r="471" ht="14.2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</row>
    <row r="472" ht="14.2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</row>
    <row r="473" ht="14.2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</row>
    <row r="474" ht="14.2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</row>
    <row r="475" ht="14.2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</row>
    <row r="476" ht="14.2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</row>
    <row r="477" ht="14.2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</row>
    <row r="478" ht="14.2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</row>
    <row r="479" ht="14.2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</row>
    <row r="480" ht="14.2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</row>
    <row r="481" ht="14.2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</row>
    <row r="482" ht="14.2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</row>
    <row r="483" ht="14.2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</row>
    <row r="484" ht="14.2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</row>
    <row r="485" ht="14.2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</row>
    <row r="486" ht="14.2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</row>
    <row r="487" ht="14.2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</row>
    <row r="488" ht="14.2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</row>
    <row r="489" ht="14.2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</row>
    <row r="490" ht="14.2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</row>
    <row r="491" ht="14.2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</row>
    <row r="492" ht="14.2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</row>
    <row r="493" ht="14.2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</row>
    <row r="494" ht="14.2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</row>
    <row r="495" ht="14.2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</row>
    <row r="496" ht="14.2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</row>
    <row r="497" ht="14.2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</row>
    <row r="498" ht="14.2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</row>
    <row r="499" ht="14.2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</row>
    <row r="500" ht="14.2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</row>
    <row r="501" ht="14.2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</row>
    <row r="502" ht="14.2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</row>
    <row r="503" ht="14.2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</row>
    <row r="504" ht="14.2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</row>
    <row r="505" ht="14.2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</row>
    <row r="506" ht="14.2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</row>
    <row r="507" ht="14.2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</row>
    <row r="508" ht="14.2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</row>
    <row r="509" ht="14.2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</row>
    <row r="510" ht="14.2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</row>
    <row r="511" ht="14.2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</row>
    <row r="512" ht="14.2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</row>
    <row r="513" ht="14.2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</row>
    <row r="514" ht="14.2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</row>
    <row r="515" ht="14.2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</row>
    <row r="516" ht="14.2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</row>
    <row r="517" ht="14.2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</row>
    <row r="518" ht="14.2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</row>
    <row r="519" ht="14.2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</row>
    <row r="520" ht="14.2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</row>
    <row r="521" ht="14.2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</row>
    <row r="522" ht="14.2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</row>
    <row r="523" ht="14.2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</row>
    <row r="524" ht="14.2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</row>
    <row r="525" ht="14.2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</row>
    <row r="526" ht="14.2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</row>
    <row r="527" ht="14.2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</row>
    <row r="528" ht="14.2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</row>
    <row r="529" ht="14.2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</row>
    <row r="530" ht="14.2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</row>
    <row r="531" ht="14.2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</row>
    <row r="532" ht="14.2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</row>
    <row r="533" ht="14.2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</row>
    <row r="534" ht="14.2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</row>
    <row r="535" ht="14.2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</row>
    <row r="536" ht="14.2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</row>
    <row r="537" ht="14.2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</row>
    <row r="538" ht="14.2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</row>
    <row r="539" ht="14.2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</row>
    <row r="540" ht="14.2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</row>
    <row r="541" ht="14.2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</row>
    <row r="542" ht="14.2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</row>
    <row r="543" ht="14.2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</row>
    <row r="544" ht="14.2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</row>
    <row r="545" ht="14.2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</row>
    <row r="546" ht="14.2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</row>
    <row r="547" ht="14.2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</row>
    <row r="548" ht="14.2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</row>
    <row r="549" ht="14.2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</row>
    <row r="550" ht="14.2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</row>
    <row r="551" ht="14.2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</row>
    <row r="552" ht="14.2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</row>
    <row r="553" ht="14.2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</row>
    <row r="554" ht="14.2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</row>
    <row r="555" ht="14.2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</row>
    <row r="556" ht="14.2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</row>
    <row r="557" ht="14.2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</row>
    <row r="558" ht="14.2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</row>
    <row r="559" ht="14.2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</row>
    <row r="560" ht="14.2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</row>
    <row r="561" ht="14.2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</row>
    <row r="562" ht="14.2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</row>
    <row r="563" ht="14.2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</row>
    <row r="564" ht="14.2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</row>
    <row r="565" ht="14.2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</row>
    <row r="566" ht="14.2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</row>
    <row r="567" ht="14.2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</row>
    <row r="568" ht="14.2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</row>
    <row r="569" ht="14.2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</row>
    <row r="570" ht="14.2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</row>
    <row r="571" ht="14.2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</row>
    <row r="572" ht="14.2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</row>
    <row r="573" ht="14.2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</row>
    <row r="574" ht="14.2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</row>
    <row r="575" ht="14.2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</row>
    <row r="576" ht="14.2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</row>
    <row r="577" ht="14.2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</row>
    <row r="578" ht="14.2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</row>
    <row r="579" ht="14.2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</row>
    <row r="580" ht="14.2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</row>
    <row r="581" ht="14.2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</row>
    <row r="582" ht="14.2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</row>
    <row r="583" ht="14.2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</row>
    <row r="584" ht="14.2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</row>
    <row r="585" ht="14.2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</row>
    <row r="586" ht="14.2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</row>
    <row r="587" ht="14.2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</row>
    <row r="588" ht="14.2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</row>
    <row r="589" ht="14.2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</row>
    <row r="590" ht="14.2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</row>
    <row r="591" ht="14.2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</row>
    <row r="592" ht="14.2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</row>
    <row r="593" ht="14.2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</row>
    <row r="594" ht="14.2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</row>
    <row r="595" ht="14.2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</row>
    <row r="596" ht="14.2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</row>
    <row r="597" ht="14.2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</row>
    <row r="598" ht="14.2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</row>
    <row r="599" ht="14.2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</row>
    <row r="600" ht="14.2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</row>
    <row r="601" ht="14.2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</row>
    <row r="602" ht="14.2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</row>
    <row r="603" ht="14.2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</row>
    <row r="604" ht="14.2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</row>
    <row r="605" ht="14.2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</row>
    <row r="606" ht="14.2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</row>
    <row r="607" ht="14.2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</row>
    <row r="608" ht="14.2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</row>
    <row r="609" ht="14.2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</row>
    <row r="610" ht="14.2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</row>
    <row r="611" ht="14.2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</row>
    <row r="612" ht="14.2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</row>
    <row r="613" ht="14.2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</row>
    <row r="614" ht="14.2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</row>
    <row r="615" ht="14.2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</row>
    <row r="616" ht="14.2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</row>
    <row r="617" ht="14.2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</row>
    <row r="618" ht="14.2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</row>
    <row r="619" ht="14.2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</row>
    <row r="620" ht="14.2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</row>
    <row r="621" ht="14.2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</row>
    <row r="622" ht="14.2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</row>
    <row r="623" ht="14.2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</row>
    <row r="624" ht="14.2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</row>
    <row r="625" ht="14.2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</row>
    <row r="626" ht="14.2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</row>
    <row r="627" ht="14.2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</row>
    <row r="628" ht="14.2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</row>
    <row r="629" ht="14.2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</row>
    <row r="630" ht="14.2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</row>
    <row r="631" ht="14.2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</row>
    <row r="632" ht="14.2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</row>
    <row r="633" ht="14.2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</row>
    <row r="634" ht="14.2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</row>
    <row r="635" ht="14.2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</row>
    <row r="636" ht="14.2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</row>
    <row r="637" ht="14.2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</row>
    <row r="638" ht="14.2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</row>
    <row r="639" ht="14.2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</row>
    <row r="640" ht="14.2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</row>
    <row r="641" ht="14.2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</row>
    <row r="642" ht="14.2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</row>
    <row r="643" ht="14.2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</row>
    <row r="644" ht="14.2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</row>
    <row r="645" ht="14.2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</row>
    <row r="646" ht="14.2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</row>
    <row r="647" ht="14.2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</row>
    <row r="648" ht="14.2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</row>
    <row r="649" ht="14.2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</row>
    <row r="650" ht="14.2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</row>
    <row r="651" ht="14.2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</row>
    <row r="652" ht="14.2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</row>
    <row r="653" ht="14.2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</row>
    <row r="654" ht="14.2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</row>
    <row r="655" ht="14.2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</row>
    <row r="656" ht="14.2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</row>
    <row r="657" ht="14.2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</row>
    <row r="658" ht="14.2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</row>
    <row r="659" ht="14.2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</row>
    <row r="660" ht="14.2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</row>
    <row r="661" ht="14.2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</row>
    <row r="662" ht="14.2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</row>
    <row r="663" ht="14.2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</row>
    <row r="664" ht="14.2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</row>
    <row r="665" ht="14.2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</row>
    <row r="666" ht="14.2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</row>
    <row r="667" ht="14.2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</row>
    <row r="668" ht="14.2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</row>
    <row r="669" ht="14.2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</row>
    <row r="670" ht="14.2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</row>
    <row r="671" ht="14.2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</row>
    <row r="672" ht="14.2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</row>
    <row r="673" ht="14.2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</row>
    <row r="674" ht="14.2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</row>
    <row r="675" ht="14.2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</row>
    <row r="676" ht="14.2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</row>
    <row r="677" ht="14.2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</row>
    <row r="678" ht="14.2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</row>
    <row r="679" ht="14.2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</row>
    <row r="680" ht="14.2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</row>
    <row r="681" ht="14.2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</row>
    <row r="682" ht="14.2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</row>
    <row r="683" ht="14.2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</row>
    <row r="684" ht="14.2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</row>
    <row r="685" ht="14.2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</row>
    <row r="686" ht="14.2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</row>
    <row r="687" ht="14.2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</row>
    <row r="688" ht="14.2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</row>
    <row r="689" ht="14.2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</row>
    <row r="690" ht="14.2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</row>
    <row r="691" ht="14.2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</row>
    <row r="692" ht="14.2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</row>
    <row r="693" ht="14.2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</row>
    <row r="694" ht="14.2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</row>
    <row r="695" ht="14.2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</row>
    <row r="696" ht="14.2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</row>
    <row r="697" ht="14.2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</row>
    <row r="698" ht="14.2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</row>
    <row r="699" ht="14.2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</row>
    <row r="700" ht="14.2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</row>
    <row r="701" ht="14.2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</row>
    <row r="702" ht="14.2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</row>
    <row r="703" ht="14.2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</row>
    <row r="704" ht="14.2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</row>
    <row r="705" ht="14.2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</row>
    <row r="706" ht="14.2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</row>
    <row r="707" ht="14.2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</row>
    <row r="708" ht="14.2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</row>
    <row r="709" ht="14.2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</row>
    <row r="710" ht="14.2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</row>
    <row r="711" ht="14.2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</row>
    <row r="712" ht="14.2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</row>
    <row r="713" ht="14.2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</row>
    <row r="714" ht="14.2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</row>
    <row r="715" ht="14.2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</row>
    <row r="716" ht="14.2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</row>
    <row r="717" ht="14.2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</row>
    <row r="718" ht="14.2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</row>
    <row r="719" ht="14.2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</row>
    <row r="720" ht="14.2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</row>
    <row r="721" ht="14.2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</row>
    <row r="722" ht="14.2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</row>
    <row r="723" ht="14.2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</row>
    <row r="724" ht="14.2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</row>
    <row r="725" ht="14.2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</row>
    <row r="726" ht="14.2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</row>
    <row r="727" ht="14.2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</row>
    <row r="728" ht="14.2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</row>
    <row r="729" ht="14.2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</row>
    <row r="730" ht="14.2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</row>
    <row r="731" ht="14.2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</row>
    <row r="732" ht="14.2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</row>
    <row r="733" ht="14.2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</row>
    <row r="734" ht="14.2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</row>
    <row r="735" ht="14.2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</row>
    <row r="736" ht="14.2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</row>
    <row r="737" ht="14.2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</row>
    <row r="738" ht="14.2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</row>
    <row r="739" ht="14.2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</row>
    <row r="740" ht="14.2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</row>
    <row r="741" ht="14.2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</row>
    <row r="742" ht="14.2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</row>
    <row r="743" ht="14.2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</row>
    <row r="744" ht="14.2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</row>
    <row r="745" ht="14.2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</row>
    <row r="746" ht="14.2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</row>
    <row r="747" ht="14.2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</row>
    <row r="748" ht="14.2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</row>
    <row r="749" ht="14.2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</row>
    <row r="750" ht="14.2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</row>
    <row r="751" ht="14.2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</row>
    <row r="752" ht="14.2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</row>
    <row r="753" ht="14.2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</row>
    <row r="754" ht="14.2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</row>
    <row r="755" ht="14.2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</row>
    <row r="756" ht="14.2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</row>
    <row r="757" ht="14.2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7"/>
    </row>
    <row r="758" ht="14.2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7"/>
    </row>
    <row r="759" ht="14.2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</row>
    <row r="760" ht="14.2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</row>
    <row r="761" ht="14.2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</row>
    <row r="762" ht="14.2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</row>
    <row r="763" ht="14.2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</row>
    <row r="764" ht="14.2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</row>
    <row r="765" ht="14.2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</row>
    <row r="766" ht="14.2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</row>
    <row r="767" ht="14.2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</row>
    <row r="768" ht="14.2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</row>
    <row r="769" ht="14.2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</row>
    <row r="770" ht="14.2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7"/>
    </row>
    <row r="771" ht="14.2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</row>
    <row r="772" ht="14.2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</row>
    <row r="773" ht="14.2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</row>
    <row r="774" ht="14.2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</row>
    <row r="775" ht="14.2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</row>
    <row r="776" ht="14.2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</row>
    <row r="777" ht="14.2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</row>
    <row r="778" ht="14.2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</row>
    <row r="779" ht="14.2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</row>
    <row r="780" ht="14.2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</row>
    <row r="781" ht="14.2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</row>
    <row r="782" ht="14.2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</row>
    <row r="783" ht="14.2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</row>
    <row r="784" ht="14.2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</row>
    <row r="785" ht="14.2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7"/>
    </row>
    <row r="786" ht="14.2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</row>
    <row r="787" ht="14.2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</row>
    <row r="788" ht="14.2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</row>
    <row r="789" ht="14.2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</row>
    <row r="790" ht="14.2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</row>
    <row r="791" ht="14.2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</row>
    <row r="792" ht="14.2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7"/>
    </row>
    <row r="793" ht="14.2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27"/>
    </row>
    <row r="794" ht="14.2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</row>
    <row r="795" ht="14.2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</row>
    <row r="796" ht="14.2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</row>
    <row r="797" ht="14.2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7"/>
    </row>
    <row r="798" ht="14.2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7"/>
    </row>
    <row r="799" ht="14.2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</row>
    <row r="800" ht="14.2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</row>
    <row r="801" ht="14.2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</row>
    <row r="802" ht="14.2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</row>
    <row r="803" ht="14.2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</row>
    <row r="804" ht="14.2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</row>
    <row r="805" ht="14.2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</row>
    <row r="806" ht="14.2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</row>
    <row r="807" ht="14.2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</row>
    <row r="808" ht="14.2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</row>
    <row r="809" ht="14.2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</row>
    <row r="810" ht="14.2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</row>
    <row r="811" ht="14.2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7"/>
    </row>
    <row r="812" ht="14.2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N812" s="27"/>
    </row>
    <row r="813" ht="14.2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27"/>
    </row>
    <row r="814" ht="14.2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</row>
    <row r="815" ht="14.2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</row>
    <row r="816" ht="14.2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7"/>
    </row>
    <row r="817" ht="14.2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7"/>
    </row>
    <row r="818" ht="14.2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7"/>
    </row>
    <row r="819" ht="14.2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</row>
    <row r="820" ht="14.2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</row>
    <row r="821" ht="14.2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</row>
    <row r="822" ht="14.2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</row>
    <row r="823" ht="14.2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</row>
    <row r="824" ht="14.2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</row>
    <row r="825" ht="14.2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</row>
    <row r="826" ht="14.2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</row>
    <row r="827" ht="14.2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</row>
    <row r="828" ht="14.2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7"/>
    </row>
    <row r="829" ht="14.2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</row>
    <row r="830" ht="14.2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7"/>
    </row>
    <row r="831" ht="14.2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</row>
    <row r="832" ht="14.2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7"/>
    </row>
    <row r="833" ht="14.2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7"/>
    </row>
    <row r="834" ht="14.2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</row>
    <row r="835" ht="14.2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</row>
    <row r="836" ht="14.2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7"/>
    </row>
    <row r="837" ht="14.2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7"/>
    </row>
    <row r="838" ht="14.2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</row>
    <row r="839" ht="14.2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</row>
    <row r="840" ht="14.2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</row>
    <row r="841" ht="14.2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7"/>
    </row>
    <row r="842" ht="14.2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7"/>
    </row>
    <row r="843" ht="14.2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</row>
    <row r="844" ht="14.2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</row>
    <row r="845" ht="14.2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27"/>
    </row>
    <row r="846" ht="14.2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27"/>
    </row>
    <row r="847" ht="14.2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</row>
    <row r="848" ht="14.2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7"/>
    </row>
    <row r="849" ht="14.2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</row>
    <row r="850" ht="14.2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</row>
    <row r="851" ht="14.2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</row>
    <row r="852" ht="14.2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N852" s="27"/>
    </row>
    <row r="853" ht="14.2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27"/>
    </row>
    <row r="854" ht="14.2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</row>
    <row r="855" ht="14.2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</row>
    <row r="856" ht="14.2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7"/>
    </row>
    <row r="857" ht="14.2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7"/>
    </row>
    <row r="858" ht="14.2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7"/>
    </row>
    <row r="859" ht="14.2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</row>
    <row r="860" ht="14.2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7"/>
    </row>
    <row r="861" ht="14.2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7"/>
    </row>
    <row r="862" ht="14.2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7"/>
    </row>
    <row r="863" ht="14.2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</row>
    <row r="864" ht="14.2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</row>
    <row r="865" ht="14.2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</row>
    <row r="866" ht="14.2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7"/>
    </row>
    <row r="867" ht="14.2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</row>
    <row r="868" ht="14.2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</row>
    <row r="869" ht="14.2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</row>
    <row r="870" ht="14.2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</row>
    <row r="871" ht="14.2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</row>
    <row r="872" ht="14.2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7"/>
    </row>
    <row r="873" ht="14.2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27"/>
    </row>
    <row r="874" ht="14.2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</row>
    <row r="875" ht="14.2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7"/>
    </row>
    <row r="876" ht="14.2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N876" s="27"/>
    </row>
    <row r="877" ht="14.2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27"/>
    </row>
    <row r="878" ht="14.2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27"/>
    </row>
    <row r="879" ht="14.2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</row>
    <row r="880" ht="14.2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N880" s="27"/>
    </row>
    <row r="881" ht="14.2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</row>
    <row r="882" ht="14.2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</row>
    <row r="883" ht="14.2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7"/>
    </row>
    <row r="884" ht="14.2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</row>
    <row r="885" ht="14.2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7"/>
    </row>
    <row r="886" ht="14.2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7"/>
    </row>
    <row r="887" ht="14.2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</row>
    <row r="888" ht="14.2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</row>
    <row r="889" ht="14.2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</row>
    <row r="890" ht="14.2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7"/>
    </row>
    <row r="891" ht="14.2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</row>
    <row r="892" ht="14.2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</row>
    <row r="893" ht="14.2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</row>
    <row r="894" ht="14.2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</row>
    <row r="895" ht="14.2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</row>
    <row r="896" ht="14.2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7"/>
    </row>
    <row r="897" ht="14.2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7"/>
    </row>
    <row r="898" ht="14.2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</row>
    <row r="899" ht="14.2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</row>
    <row r="900" ht="14.2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7"/>
    </row>
    <row r="901" ht="14.2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27"/>
    </row>
    <row r="902" ht="14.2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27"/>
    </row>
    <row r="903" ht="14.2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7"/>
    </row>
    <row r="904" ht="14.2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</row>
    <row r="905" ht="14.2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7"/>
    </row>
    <row r="906" ht="14.2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7"/>
    </row>
    <row r="907" ht="14.2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</row>
    <row r="908" ht="14.2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7"/>
    </row>
    <row r="909" ht="14.2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</row>
    <row r="910" ht="14.2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</row>
    <row r="911" ht="14.2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</row>
    <row r="912" ht="14.2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7"/>
    </row>
    <row r="913" ht="14.2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7"/>
    </row>
    <row r="914" ht="14.2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</row>
    <row r="915" ht="14.2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</row>
    <row r="916" ht="14.2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</row>
    <row r="917" ht="14.2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</row>
    <row r="918" ht="14.2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</row>
    <row r="919" ht="14.2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</row>
    <row r="920" ht="14.2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</row>
    <row r="921" ht="14.2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</row>
    <row r="922" ht="14.2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</row>
    <row r="923" ht="14.2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</row>
    <row r="924" ht="14.2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</row>
    <row r="925" ht="14.2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</row>
    <row r="926" ht="14.2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</row>
    <row r="927" ht="14.2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</row>
    <row r="928" ht="14.2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</row>
    <row r="929" ht="14.2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</row>
    <row r="930" ht="14.2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</row>
    <row r="931" ht="14.2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</row>
    <row r="932" ht="14.2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</row>
    <row r="933" ht="14.2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</row>
    <row r="934" ht="14.2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</row>
    <row r="935" ht="14.2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</row>
    <row r="936" ht="14.2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</row>
    <row r="937" ht="14.2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27"/>
    </row>
    <row r="938" ht="14.2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27"/>
    </row>
    <row r="939" ht="14.2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</row>
    <row r="940" ht="14.2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7"/>
    </row>
    <row r="941" ht="14.2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27"/>
    </row>
    <row r="942" ht="14.2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27"/>
    </row>
    <row r="943" ht="14.2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7"/>
    </row>
    <row r="944" ht="14.2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</row>
    <row r="945" ht="14.2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7"/>
    </row>
    <row r="946" ht="14.2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</row>
    <row r="947" ht="14.2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</row>
    <row r="948" ht="14.2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</row>
    <row r="949" ht="14.2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</row>
    <row r="950" ht="14.2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</row>
    <row r="951" ht="14.2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</row>
    <row r="952" ht="14.2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7"/>
    </row>
    <row r="953" ht="14.2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</row>
    <row r="954" ht="14.2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</row>
    <row r="955" ht="14.2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</row>
    <row r="956" ht="14.2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7"/>
    </row>
    <row r="957" ht="14.2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7"/>
    </row>
    <row r="958" ht="14.2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7"/>
    </row>
    <row r="959" ht="14.2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</row>
    <row r="960" ht="14.2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7"/>
    </row>
    <row r="961" ht="14.2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27"/>
    </row>
    <row r="962" ht="14.2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27"/>
    </row>
    <row r="963" ht="14.2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27"/>
    </row>
    <row r="964" ht="14.2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27"/>
    </row>
    <row r="965" ht="14.2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N965" s="27"/>
    </row>
    <row r="966" ht="14.2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  <c r="AN966" s="27"/>
    </row>
    <row r="967" ht="14.2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N967" s="27"/>
    </row>
    <row r="968" ht="14.2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  <c r="AN968" s="27"/>
    </row>
    <row r="969" ht="14.2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  <c r="AN969" s="27"/>
    </row>
    <row r="970" ht="14.2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N970" s="27"/>
    </row>
    <row r="971" ht="14.2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N971" s="27"/>
    </row>
    <row r="972" ht="14.2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  <c r="AN972" s="27"/>
    </row>
    <row r="973" ht="14.2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N973" s="27"/>
    </row>
    <row r="974" ht="14.2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7"/>
    </row>
    <row r="975" ht="14.2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27"/>
    </row>
    <row r="976" ht="14.2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7"/>
    </row>
    <row r="977" ht="14.2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27"/>
    </row>
    <row r="978" ht="14.2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27"/>
    </row>
    <row r="979" ht="14.2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7"/>
    </row>
    <row r="980" ht="14.2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27"/>
    </row>
    <row r="981" ht="14.2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27"/>
    </row>
    <row r="982" ht="14.2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27"/>
    </row>
    <row r="983" ht="14.2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</row>
    <row r="984" ht="14.2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</row>
    <row r="985" ht="14.2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27"/>
    </row>
    <row r="986" ht="14.2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27"/>
    </row>
    <row r="987" ht="14.2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</row>
    <row r="988" ht="14.2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7"/>
    </row>
    <row r="989" ht="14.2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27"/>
    </row>
    <row r="990" ht="14.2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27"/>
    </row>
    <row r="991" ht="14.2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</row>
    <row r="992" ht="14.2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</row>
    <row r="993" ht="14.2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  <c r="AL993" s="27"/>
      <c r="AM993" s="27"/>
      <c r="AN993" s="27"/>
    </row>
    <row r="994" ht="14.2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  <c r="AM994" s="27"/>
      <c r="AN994" s="27"/>
    </row>
    <row r="995" ht="14.2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  <c r="AJ995" s="27"/>
      <c r="AK995" s="27"/>
      <c r="AL995" s="27"/>
      <c r="AM995" s="27"/>
      <c r="AN995" s="27"/>
    </row>
    <row r="996" ht="14.2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  <c r="AI996" s="27"/>
      <c r="AJ996" s="27"/>
      <c r="AK996" s="27"/>
      <c r="AL996" s="27"/>
      <c r="AM996" s="27"/>
      <c r="AN996" s="27"/>
    </row>
    <row r="997" ht="14.2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  <c r="AI997" s="27"/>
      <c r="AJ997" s="27"/>
      <c r="AK997" s="27"/>
      <c r="AL997" s="27"/>
      <c r="AM997" s="27"/>
      <c r="AN997" s="27"/>
    </row>
    <row r="998" ht="14.2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  <c r="AI998" s="27"/>
      <c r="AJ998" s="27"/>
      <c r="AK998" s="27"/>
      <c r="AL998" s="27"/>
      <c r="AM998" s="27"/>
      <c r="AN998" s="27"/>
    </row>
    <row r="999" ht="14.2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  <c r="AH999" s="27"/>
      <c r="AI999" s="27"/>
      <c r="AJ999" s="27"/>
      <c r="AK999" s="27"/>
      <c r="AL999" s="27"/>
      <c r="AM999" s="27"/>
      <c r="AN999" s="27"/>
    </row>
    <row r="1000" ht="14.2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  <c r="AG1000" s="27"/>
      <c r="AH1000" s="27"/>
      <c r="AI1000" s="27"/>
      <c r="AJ1000" s="27"/>
      <c r="AK1000" s="27"/>
      <c r="AL1000" s="27"/>
      <c r="AM1000" s="27"/>
      <c r="AN1000" s="27"/>
    </row>
  </sheetData>
  <mergeCells count="23">
    <mergeCell ref="A1:AN2"/>
    <mergeCell ref="A5:AI5"/>
    <mergeCell ref="B7:E7"/>
    <mergeCell ref="Q7:T7"/>
    <mergeCell ref="A10:H10"/>
    <mergeCell ref="P10:W10"/>
    <mergeCell ref="P14:W14"/>
    <mergeCell ref="A22:H22"/>
    <mergeCell ref="A26:H26"/>
    <mergeCell ref="A30:H30"/>
    <mergeCell ref="A34:H34"/>
    <mergeCell ref="A38:H38"/>
    <mergeCell ref="AE25:AI25"/>
    <mergeCell ref="AE26:AI26"/>
    <mergeCell ref="P30:W30"/>
    <mergeCell ref="P34:W34"/>
    <mergeCell ref="A14:H14"/>
    <mergeCell ref="A18:H18"/>
    <mergeCell ref="P18:W18"/>
    <mergeCell ref="AE21:AI21"/>
    <mergeCell ref="P22:W22"/>
    <mergeCell ref="AE22:AI22"/>
    <mergeCell ref="P26:W26"/>
  </mergeCells>
  <printOptions/>
  <pageMargins bottom="1.0" footer="0.0" header="0.0" left="0.75" right="0.75" top="1.0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5.75"/>
    <col customWidth="1" min="2" max="2" width="7.0"/>
    <col customWidth="1" hidden="1" min="3" max="3" width="6.13"/>
    <col customWidth="1" min="4" max="4" width="1.75"/>
    <col customWidth="1" min="5" max="5" width="7.0"/>
    <col customWidth="1" hidden="1" min="6" max="6" width="6.13"/>
    <col customWidth="1" min="7" max="7" width="1.75"/>
    <col customWidth="1" min="8" max="8" width="7.0"/>
    <col customWidth="1" hidden="1" min="9" max="9" width="6.13"/>
    <col customWidth="1" hidden="1" min="10" max="10" width="7.75"/>
    <col customWidth="1" hidden="1" min="11" max="11" width="7.38"/>
    <col customWidth="1" hidden="1" min="12" max="12" width="11.25"/>
    <col customWidth="1" hidden="1" min="13" max="13" width="8.0"/>
    <col customWidth="1" hidden="1" min="14" max="14" width="6.13"/>
    <col customWidth="1" min="15" max="15" width="8.75"/>
    <col customWidth="1" min="16" max="16" width="45.75"/>
    <col customWidth="1" min="17" max="17" width="7.0"/>
    <col customWidth="1" hidden="1" min="18" max="18" width="6.13"/>
    <col customWidth="1" min="19" max="19" width="1.75"/>
    <col customWidth="1" min="20" max="20" width="7.0"/>
    <col customWidth="1" hidden="1" min="21" max="21" width="6.13"/>
    <col customWidth="1" min="22" max="22" width="1.75"/>
    <col customWidth="1" min="23" max="23" width="7.0"/>
    <col customWidth="1" hidden="1" min="24" max="24" width="6.13"/>
    <col customWidth="1" hidden="1" min="25" max="25" width="7.75"/>
    <col customWidth="1" hidden="1" min="26" max="26" width="7.38"/>
    <col customWidth="1" hidden="1" min="27" max="27" width="11.25"/>
    <col customWidth="1" hidden="1" min="28" max="28" width="8.0"/>
    <col customWidth="1" hidden="1" min="29" max="29" width="6.13"/>
    <col customWidth="1" min="30" max="30" width="8.75"/>
    <col customWidth="1" min="31" max="31" width="45.75"/>
    <col customWidth="1" min="32" max="32" width="10.5"/>
    <col customWidth="1" min="33" max="35" width="8.75"/>
    <col customWidth="1" hidden="1" min="36" max="36" width="9.25"/>
    <col customWidth="1" hidden="1" min="37" max="37" width="12.0"/>
    <col customWidth="1" hidden="1" min="38" max="38" width="8.0"/>
    <col customWidth="1" hidden="1" min="39" max="40" width="41.13"/>
  </cols>
  <sheetData>
    <row r="1" ht="21.0" customHeight="1">
      <c r="A1" s="22" t="s">
        <v>0</v>
      </c>
    </row>
    <row r="2" ht="21.0" customHeight="1"/>
    <row r="3" ht="14.2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</row>
    <row r="4" ht="14.2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</row>
    <row r="5">
      <c r="A5" s="154" t="s">
        <v>108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6"/>
      <c r="AJ5" s="27"/>
      <c r="AK5" s="27"/>
      <c r="AL5" s="27"/>
      <c r="AM5" s="27"/>
      <c r="AN5" s="27"/>
    </row>
    <row r="6" ht="14.25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</row>
    <row r="7" ht="30.0" customHeight="1">
      <c r="A7" s="155" t="s">
        <v>58</v>
      </c>
      <c r="B7" s="156" t="s">
        <v>59</v>
      </c>
      <c r="C7" s="30"/>
      <c r="D7" s="30"/>
      <c r="E7" s="31"/>
      <c r="F7" s="157"/>
      <c r="G7" s="64"/>
      <c r="H7" s="156" t="s">
        <v>60</v>
      </c>
      <c r="I7" s="30"/>
      <c r="J7" s="30"/>
      <c r="K7" s="31"/>
      <c r="L7" s="34"/>
      <c r="M7" s="35"/>
      <c r="N7" s="35"/>
      <c r="O7" s="158"/>
      <c r="P7" s="155" t="s">
        <v>58</v>
      </c>
      <c r="Q7" s="156" t="s">
        <v>59</v>
      </c>
      <c r="R7" s="30"/>
      <c r="S7" s="30"/>
      <c r="T7" s="31"/>
      <c r="U7" s="157"/>
      <c r="V7" s="64"/>
      <c r="W7" s="156" t="s">
        <v>60</v>
      </c>
      <c r="X7" s="30"/>
      <c r="Y7" s="30"/>
      <c r="Z7" s="31"/>
      <c r="AA7" s="35"/>
      <c r="AB7" s="35"/>
      <c r="AC7" s="35"/>
      <c r="AD7" s="34"/>
      <c r="AE7" s="155" t="s">
        <v>61</v>
      </c>
      <c r="AF7" s="159" t="s">
        <v>62</v>
      </c>
      <c r="AG7" s="159" t="s">
        <v>63</v>
      </c>
      <c r="AH7" s="159" t="s">
        <v>64</v>
      </c>
      <c r="AI7" s="159" t="s">
        <v>65</v>
      </c>
      <c r="AJ7" s="36"/>
      <c r="AK7" s="36"/>
      <c r="AL7" s="36"/>
      <c r="AM7" s="27"/>
      <c r="AN7" s="27"/>
    </row>
    <row r="8" ht="14.25" hidden="1" customHeight="1">
      <c r="A8" s="27"/>
      <c r="B8" s="37" t="s">
        <v>66</v>
      </c>
      <c r="C8" s="37" t="s">
        <v>67</v>
      </c>
      <c r="D8" s="37"/>
      <c r="E8" s="37" t="s">
        <v>66</v>
      </c>
      <c r="F8" s="37" t="s">
        <v>68</v>
      </c>
      <c r="G8" s="37"/>
      <c r="H8" s="37" t="s">
        <v>66</v>
      </c>
      <c r="I8" s="37" t="s">
        <v>69</v>
      </c>
      <c r="J8" s="37" t="s">
        <v>70</v>
      </c>
      <c r="K8" s="37" t="s">
        <v>71</v>
      </c>
      <c r="L8" s="37" t="s">
        <v>72</v>
      </c>
      <c r="M8" s="37" t="s">
        <v>73</v>
      </c>
      <c r="N8" s="37" t="s">
        <v>74</v>
      </c>
      <c r="O8" s="27"/>
      <c r="P8" s="27"/>
      <c r="Q8" s="37" t="s">
        <v>66</v>
      </c>
      <c r="R8" s="37" t="s">
        <v>67</v>
      </c>
      <c r="S8" s="37"/>
      <c r="T8" s="37" t="s">
        <v>66</v>
      </c>
      <c r="U8" s="37" t="s">
        <v>68</v>
      </c>
      <c r="V8" s="37"/>
      <c r="W8" s="37" t="s">
        <v>66</v>
      </c>
      <c r="X8" s="37" t="s">
        <v>69</v>
      </c>
      <c r="Y8" s="37" t="s">
        <v>70</v>
      </c>
      <c r="Z8" s="37" t="s">
        <v>71</v>
      </c>
      <c r="AA8" s="37" t="s">
        <v>72</v>
      </c>
      <c r="AB8" s="37" t="s">
        <v>73</v>
      </c>
      <c r="AC8" s="37" t="s">
        <v>74</v>
      </c>
      <c r="AD8" s="27"/>
      <c r="AE8" s="36"/>
      <c r="AF8" s="36"/>
      <c r="AG8" s="36"/>
      <c r="AH8" s="36"/>
      <c r="AI8" s="36"/>
      <c r="AJ8" s="37" t="s">
        <v>75</v>
      </c>
      <c r="AK8" s="37" t="s">
        <v>89</v>
      </c>
      <c r="AL8" s="39" t="s">
        <v>76</v>
      </c>
      <c r="AM8" s="40" t="s">
        <v>77</v>
      </c>
      <c r="AN8" s="40" t="s">
        <v>90</v>
      </c>
    </row>
    <row r="9" ht="14.25" customHeight="1">
      <c r="A9" s="41" t="str">
        <f>AE9</f>
        <v>Nancy Wong</v>
      </c>
      <c r="B9" s="42">
        <v>6.0</v>
      </c>
      <c r="C9" s="43">
        <f>IF(B9&gt;B11,1,0)</f>
        <v>1</v>
      </c>
      <c r="D9" s="44"/>
      <c r="E9" s="42">
        <v>6.0</v>
      </c>
      <c r="F9" s="43">
        <f>IF(E9&gt;E11,1,0)</f>
        <v>1</v>
      </c>
      <c r="G9" s="44"/>
      <c r="H9" s="45"/>
      <c r="I9" s="27">
        <f>IF(H9&gt;H11,1,0)</f>
        <v>0</v>
      </c>
      <c r="J9" s="27">
        <f>IF(B9="",0,1)</f>
        <v>1</v>
      </c>
      <c r="K9" s="27">
        <f>IF(C9+F9=2,3,IF(C9+F9=1,1,0))</f>
        <v>3</v>
      </c>
      <c r="L9" s="27">
        <f>IF(K9=3,3,IF(I9+K9=2,2,IF(K9=1,1,0)))</f>
        <v>3</v>
      </c>
      <c r="M9" s="27">
        <f>B9+E9</f>
        <v>12</v>
      </c>
      <c r="N9" s="27">
        <f>C9+F9+I9</f>
        <v>2</v>
      </c>
      <c r="O9" s="27"/>
      <c r="P9" s="41" t="str">
        <f>AE9</f>
        <v>Nancy Wong</v>
      </c>
      <c r="Q9" s="42">
        <v>1.0</v>
      </c>
      <c r="R9" s="43">
        <f>IF(Q9&gt;Q11,1,0)</f>
        <v>0</v>
      </c>
      <c r="S9" s="44"/>
      <c r="T9" s="42">
        <v>2.0</v>
      </c>
      <c r="U9" s="43">
        <f>IF(T9&gt;T11,1,0)</f>
        <v>0</v>
      </c>
      <c r="V9" s="44"/>
      <c r="W9" s="45"/>
      <c r="X9" s="27">
        <f>IF(W9&gt;W11,1,0)</f>
        <v>0</v>
      </c>
      <c r="Y9" s="27">
        <f>IF(Q9="",0,1)</f>
        <v>1</v>
      </c>
      <c r="Z9" s="27">
        <f>IF(R9+U9=2,3,IF(R9+U9=1,1,0))</f>
        <v>0</v>
      </c>
      <c r="AA9" s="27">
        <f>IF(Z9=3,3,IF(X9+Z9=2,2,IF(Z9=1,1,0)))</f>
        <v>0</v>
      </c>
      <c r="AB9" s="27">
        <f>Q9+T9</f>
        <v>3</v>
      </c>
      <c r="AC9" s="27">
        <f>R9+U9+X9</f>
        <v>0</v>
      </c>
      <c r="AD9" s="27"/>
      <c r="AE9" s="160" t="str">
        <f>'Players - Ladies'!B22</f>
        <v>Nancy Wong</v>
      </c>
      <c r="AF9" s="47">
        <f>J9+Y9+J13+Y13</f>
        <v>4</v>
      </c>
      <c r="AG9" s="47">
        <f t="shared" ref="AG9:AI9" si="1">L9+AA9+L13+AA13</f>
        <v>9</v>
      </c>
      <c r="AH9" s="47">
        <f t="shared" si="1"/>
        <v>39</v>
      </c>
      <c r="AI9" s="48">
        <f t="shared" si="1"/>
        <v>6</v>
      </c>
      <c r="AJ9" s="27">
        <f>MAX(AG9:AG19)</f>
        <v>12</v>
      </c>
      <c r="AK9" s="27">
        <f>LARGE(AG9:AG19, 2)</f>
        <v>9</v>
      </c>
      <c r="AL9" s="27">
        <f>SUM(AF9:AF19)</f>
        <v>20</v>
      </c>
      <c r="AM9" s="27" t="str">
        <f>IF(AG9=$AJ$9,AE9,IF(AG11=$AJ$9,AE11,IF(AG13=$AJ$9,AE13,IF(AG15=$AJ$9,AE15,IF(AG17=$AJ$9,AE17,"")))))</f>
        <v>Maria Angela Gambin</v>
      </c>
      <c r="AN9" s="27" t="str">
        <f>IF(AG9=$AK$9,AE9,IF(AG11=$AK$9,AE11,IF(AG13=$AK$9,AE13,IF(AG15=$AK$9,AE15,IF(AG17=$AK$9,AE17,"")))))</f>
        <v>Nancy Wong</v>
      </c>
    </row>
    <row r="10" ht="14.25" customHeight="1">
      <c r="A10" s="49" t="s">
        <v>78</v>
      </c>
      <c r="H10" s="50"/>
      <c r="I10" s="51"/>
      <c r="J10" s="27"/>
      <c r="K10" s="27"/>
      <c r="L10" s="27"/>
      <c r="M10" s="27"/>
      <c r="N10" s="27"/>
      <c r="O10" s="27"/>
      <c r="P10" s="49" t="s">
        <v>78</v>
      </c>
      <c r="W10" s="50"/>
      <c r="X10" s="51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36"/>
      <c r="AL10" s="36"/>
      <c r="AM10" s="27"/>
      <c r="AN10" s="27"/>
    </row>
    <row r="11" ht="14.25" customHeight="1">
      <c r="A11" s="52" t="str">
        <f>AE11</f>
        <v>Tiffany Fenech</v>
      </c>
      <c r="B11" s="42">
        <v>4.0</v>
      </c>
      <c r="C11" s="53">
        <f>IF(B11&gt;B9,1,0)</f>
        <v>0</v>
      </c>
      <c r="D11" s="54"/>
      <c r="E11" s="42">
        <v>2.0</v>
      </c>
      <c r="F11" s="53">
        <f>IF(E11&gt;E9,1,0)</f>
        <v>0</v>
      </c>
      <c r="G11" s="54"/>
      <c r="H11" s="45"/>
      <c r="I11" s="27">
        <f>IF(H11&gt;H9,1,0)</f>
        <v>0</v>
      </c>
      <c r="J11" s="27">
        <f>IF(B11="",0,1)</f>
        <v>1</v>
      </c>
      <c r="K11" s="27">
        <f>IF(C11+F11=2,3,IF(C11+F11=1,1,0))</f>
        <v>0</v>
      </c>
      <c r="L11" s="27">
        <f>IF(K11=3,3,IF(I11+K11=2,2,IF(K11=1,1,0)))</f>
        <v>0</v>
      </c>
      <c r="M11" s="27">
        <f>B11+E11</f>
        <v>6</v>
      </c>
      <c r="N11" s="27">
        <f>C11+F11+I11</f>
        <v>0</v>
      </c>
      <c r="O11" s="27"/>
      <c r="P11" s="52" t="str">
        <f>AE13</f>
        <v>Maria Angela Gambin</v>
      </c>
      <c r="Q11" s="42">
        <v>6.0</v>
      </c>
      <c r="R11" s="53">
        <f>IF(Q11&gt;Q9,1,0)</f>
        <v>1</v>
      </c>
      <c r="S11" s="54"/>
      <c r="T11" s="42">
        <v>6.0</v>
      </c>
      <c r="U11" s="53">
        <f>IF(T11&gt;T9,1,0)</f>
        <v>1</v>
      </c>
      <c r="V11" s="54"/>
      <c r="W11" s="45"/>
      <c r="X11" s="27">
        <f>IF(W11&gt;W9,1,0)</f>
        <v>0</v>
      </c>
      <c r="Y11" s="27">
        <f>IF(Q11="",0,1)</f>
        <v>1</v>
      </c>
      <c r="Z11" s="27">
        <f>IF(R11+U11=2,3,IF(R11+U11=1,1,0))</f>
        <v>3</v>
      </c>
      <c r="AA11" s="27">
        <f>IF(Z11=3,3,IF(X11+Z11=2,2,IF(Z11=1,1,0)))</f>
        <v>3</v>
      </c>
      <c r="AB11" s="27">
        <f>Q11+T11</f>
        <v>12</v>
      </c>
      <c r="AC11" s="27">
        <f>R11+U11+X11</f>
        <v>2</v>
      </c>
      <c r="AD11" s="27"/>
      <c r="AE11" s="160" t="str">
        <f>'Players - Ladies'!B23</f>
        <v>Tiffany Fenech</v>
      </c>
      <c r="AF11" s="47">
        <f>J11+J21+Y21+Y17</f>
        <v>4</v>
      </c>
      <c r="AG11" s="47">
        <f t="shared" ref="AG11:AI11" si="2">L11+L21+AA21+AA17</f>
        <v>0</v>
      </c>
      <c r="AH11" s="47">
        <f t="shared" si="2"/>
        <v>12</v>
      </c>
      <c r="AI11" s="48">
        <f t="shared" si="2"/>
        <v>0</v>
      </c>
      <c r="AJ11" s="36"/>
      <c r="AK11" s="36"/>
      <c r="AL11" s="36"/>
      <c r="AM11" s="27"/>
      <c r="AN11" s="27"/>
    </row>
    <row r="12" ht="14.25" customHeight="1">
      <c r="A12" s="27"/>
      <c r="B12" s="27"/>
      <c r="C12" s="27"/>
      <c r="D12" s="27"/>
      <c r="E12" s="27"/>
      <c r="F12" s="27"/>
      <c r="G12" s="27"/>
      <c r="H12" s="53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53"/>
      <c r="X12" s="27"/>
      <c r="Y12" s="27"/>
      <c r="Z12" s="27"/>
      <c r="AA12" s="27"/>
      <c r="AB12" s="27"/>
      <c r="AC12" s="27"/>
      <c r="AD12" s="27"/>
      <c r="AE12" s="27"/>
      <c r="AF12" s="36"/>
      <c r="AG12" s="36"/>
      <c r="AH12" s="36"/>
      <c r="AI12" s="36"/>
      <c r="AJ12" s="36"/>
      <c r="AK12" s="36"/>
      <c r="AL12" s="36"/>
      <c r="AM12" s="27"/>
      <c r="AN12" s="27"/>
    </row>
    <row r="13" ht="14.25" customHeight="1">
      <c r="A13" s="41" t="str">
        <f>AE9</f>
        <v>Nancy Wong</v>
      </c>
      <c r="B13" s="42">
        <v>6.0</v>
      </c>
      <c r="C13" s="43">
        <f>IF(B13&gt;B15,1,0)</f>
        <v>1</v>
      </c>
      <c r="D13" s="44"/>
      <c r="E13" s="42">
        <v>6.0</v>
      </c>
      <c r="F13" s="43">
        <f>IF(E13&gt;E15,1,0)</f>
        <v>1</v>
      </c>
      <c r="G13" s="44"/>
      <c r="H13" s="45"/>
      <c r="I13" s="27">
        <f>IF(H13&gt;H15,1,0)</f>
        <v>0</v>
      </c>
      <c r="J13" s="27">
        <f>IF(B13="",0,1)</f>
        <v>1</v>
      </c>
      <c r="K13" s="27">
        <f>IF(C13+F13=2,3,IF(C13+F13=1,1,0))</f>
        <v>3</v>
      </c>
      <c r="L13" s="27">
        <f>IF(K13=3,3,IF(I13+K13=2,2,IF(K13=1,1,0)))</f>
        <v>3</v>
      </c>
      <c r="M13" s="27">
        <f>B13+E13</f>
        <v>12</v>
      </c>
      <c r="N13" s="27">
        <f>C13+F13+I13</f>
        <v>2</v>
      </c>
      <c r="O13" s="27"/>
      <c r="P13" s="41" t="str">
        <f>AE9</f>
        <v>Nancy Wong</v>
      </c>
      <c r="Q13" s="42">
        <v>6.0</v>
      </c>
      <c r="R13" s="43">
        <f>IF(Q13&gt;Q15,1,0)</f>
        <v>1</v>
      </c>
      <c r="S13" s="44"/>
      <c r="T13" s="42">
        <v>6.0</v>
      </c>
      <c r="U13" s="43">
        <f>IF(T13&gt;T15,1,0)</f>
        <v>1</v>
      </c>
      <c r="V13" s="44"/>
      <c r="W13" s="45"/>
      <c r="X13" s="27">
        <f>IF(W13&gt;W15,1,0)</f>
        <v>0</v>
      </c>
      <c r="Y13" s="27">
        <f>IF(Q13="",0,1)</f>
        <v>1</v>
      </c>
      <c r="Z13" s="27">
        <f>IF(R13+U13=2,3,IF(R13+U13=1,1,0))</f>
        <v>3</v>
      </c>
      <c r="AA13" s="27">
        <f>IF(Z13=3,3,IF(X13+Z13=2,2,IF(Z13=1,1,0)))</f>
        <v>3</v>
      </c>
      <c r="AB13" s="27">
        <f>Q13+T13</f>
        <v>12</v>
      </c>
      <c r="AC13" s="27">
        <f>R13+U13+X13</f>
        <v>2</v>
      </c>
      <c r="AD13" s="27"/>
      <c r="AE13" s="160" t="str">
        <f>'Players - Ladies'!B24</f>
        <v>Maria Angela Gambin</v>
      </c>
      <c r="AF13" s="47">
        <f>J17+Y11+J25+Y19</f>
        <v>4</v>
      </c>
      <c r="AG13" s="47">
        <f>AA11+L17+L25+AA19</f>
        <v>12</v>
      </c>
      <c r="AH13" s="47">
        <f>M17+AB11+M25+AB19</f>
        <v>48</v>
      </c>
      <c r="AI13" s="48">
        <f>AC11+N17+N25+AC19</f>
        <v>8</v>
      </c>
      <c r="AJ13" s="36"/>
      <c r="AK13" s="36"/>
      <c r="AL13" s="36"/>
      <c r="AM13" s="27"/>
      <c r="AN13" s="27"/>
    </row>
    <row r="14" ht="14.25" customHeight="1">
      <c r="A14" s="49" t="s">
        <v>78</v>
      </c>
      <c r="H14" s="50"/>
      <c r="I14" s="51"/>
      <c r="J14" s="27"/>
      <c r="K14" s="27"/>
      <c r="L14" s="27"/>
      <c r="M14" s="27"/>
      <c r="N14" s="27"/>
      <c r="O14" s="27"/>
      <c r="P14" s="49" t="s">
        <v>78</v>
      </c>
      <c r="W14" s="50"/>
      <c r="X14" s="51"/>
      <c r="Y14" s="27"/>
      <c r="Z14" s="27"/>
      <c r="AA14" s="27"/>
      <c r="AB14" s="27"/>
      <c r="AC14" s="27"/>
      <c r="AD14" s="27"/>
      <c r="AE14" s="27"/>
      <c r="AF14" s="36"/>
      <c r="AG14" s="36"/>
      <c r="AH14" s="36"/>
      <c r="AI14" s="36"/>
      <c r="AJ14" s="36"/>
      <c r="AK14" s="36"/>
      <c r="AL14" s="36"/>
      <c r="AM14" s="27"/>
      <c r="AN14" s="27"/>
    </row>
    <row r="15" ht="14.25" customHeight="1">
      <c r="A15" s="52" t="str">
        <f>AE15</f>
        <v>Leanne Sammut</v>
      </c>
      <c r="B15" s="42">
        <v>2.0</v>
      </c>
      <c r="C15" s="53">
        <f>IF(B15&gt;B13,1,0)</f>
        <v>0</v>
      </c>
      <c r="D15" s="54"/>
      <c r="E15" s="42">
        <v>1.0</v>
      </c>
      <c r="F15" s="53">
        <f>IF(E15&gt;E13,1,0)</f>
        <v>0</v>
      </c>
      <c r="G15" s="54"/>
      <c r="H15" s="45"/>
      <c r="I15" s="27">
        <f>IF(H15&gt;H13,1,0)</f>
        <v>0</v>
      </c>
      <c r="J15" s="27">
        <f>IF(B15="",0,1)</f>
        <v>1</v>
      </c>
      <c r="K15" s="27">
        <f>IF(C15+F15=2,3,IF(C15+F15=1,1,0))</f>
        <v>0</v>
      </c>
      <c r="L15" s="27">
        <f>IF(K15=3,3,IF(I15+K15=2,2,IF(K15=1,1,0)))</f>
        <v>0</v>
      </c>
      <c r="M15" s="27">
        <f>B15+E15</f>
        <v>3</v>
      </c>
      <c r="N15" s="27">
        <f>C15+F15+I15</f>
        <v>0</v>
      </c>
      <c r="O15" s="27"/>
      <c r="P15" s="52" t="str">
        <f>AE17</f>
        <v>Maria Ellul</v>
      </c>
      <c r="Q15" s="42">
        <v>2.0</v>
      </c>
      <c r="R15" s="53">
        <f>IF(Q15&gt;Q13,1,0)</f>
        <v>0</v>
      </c>
      <c r="S15" s="54"/>
      <c r="T15" s="42">
        <v>1.0</v>
      </c>
      <c r="U15" s="53">
        <f>IF(T15&gt;T13,1,0)</f>
        <v>0</v>
      </c>
      <c r="V15" s="54"/>
      <c r="W15" s="45"/>
      <c r="X15" s="27">
        <f>IF(W15&gt;W13,1,0)</f>
        <v>0</v>
      </c>
      <c r="Y15" s="27">
        <f>IF(Q15="",0,1)</f>
        <v>1</v>
      </c>
      <c r="Z15" s="27">
        <f>IF(R15+U15=2,3,IF(R15+U15=1,1,0))</f>
        <v>0</v>
      </c>
      <c r="AA15" s="27">
        <f>IF(Z15=3,3,IF(X15+Z15=2,2,IF(Z15=1,1,0)))</f>
        <v>0</v>
      </c>
      <c r="AB15" s="27">
        <f>Q15+T15</f>
        <v>3</v>
      </c>
      <c r="AC15" s="27">
        <f>R15+U15+X15</f>
        <v>0</v>
      </c>
      <c r="AD15" s="27"/>
      <c r="AE15" s="160" t="str">
        <f>'Players - Ladies'!B25</f>
        <v>Leanne Sammut</v>
      </c>
      <c r="AF15" s="47">
        <f>Y27+J15+Y23+J27</f>
        <v>4</v>
      </c>
      <c r="AG15" s="47">
        <f t="shared" ref="AG15:AI15" si="3">AA27+L15+AA23+L27</f>
        <v>3</v>
      </c>
      <c r="AH15" s="47">
        <f t="shared" si="3"/>
        <v>21</v>
      </c>
      <c r="AI15" s="48">
        <f t="shared" si="3"/>
        <v>2</v>
      </c>
      <c r="AJ15" s="36"/>
      <c r="AK15" s="36"/>
      <c r="AL15" s="36"/>
      <c r="AM15" s="27"/>
      <c r="AN15" s="27"/>
    </row>
    <row r="16" ht="14.25" customHeight="1">
      <c r="A16" s="27"/>
      <c r="B16" s="36"/>
      <c r="C16" s="27"/>
      <c r="D16" s="27"/>
      <c r="E16" s="27"/>
      <c r="F16" s="27"/>
      <c r="G16" s="27"/>
      <c r="H16" s="53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53"/>
      <c r="X16" s="27"/>
      <c r="Y16" s="27"/>
      <c r="Z16" s="27"/>
      <c r="AA16" s="27"/>
      <c r="AB16" s="27"/>
      <c r="AC16" s="27"/>
      <c r="AD16" s="27"/>
      <c r="AE16" s="27"/>
      <c r="AF16" s="36"/>
      <c r="AG16" s="36"/>
      <c r="AH16" s="36"/>
      <c r="AI16" s="36"/>
      <c r="AJ16" s="36"/>
      <c r="AK16" s="36"/>
      <c r="AL16" s="36"/>
      <c r="AM16" s="27"/>
      <c r="AN16" s="27"/>
    </row>
    <row r="17" ht="14.25" customHeight="1">
      <c r="A17" s="41" t="str">
        <f>AE13</f>
        <v>Maria Angela Gambin</v>
      </c>
      <c r="B17" s="42">
        <v>6.0</v>
      </c>
      <c r="C17" s="43">
        <f>IF(B17&gt;B19,1,0)</f>
        <v>1</v>
      </c>
      <c r="D17" s="44"/>
      <c r="E17" s="42">
        <v>6.0</v>
      </c>
      <c r="F17" s="43">
        <f>IF(E17&gt;E19,1,0)</f>
        <v>1</v>
      </c>
      <c r="G17" s="44"/>
      <c r="H17" s="45"/>
      <c r="I17" s="27">
        <f>IF(H17&gt;H19,1,0)</f>
        <v>0</v>
      </c>
      <c r="J17" s="27">
        <f>IF(B17="",0,1)</f>
        <v>1</v>
      </c>
      <c r="K17" s="27">
        <f>IF(C17+F17=2,3,IF(C17+F17=1,1,0))</f>
        <v>3</v>
      </c>
      <c r="L17" s="27">
        <f>IF(K17=3,3,IF(I17+K17=2,2,IF(K17=1,1,0)))</f>
        <v>3</v>
      </c>
      <c r="M17" s="27">
        <f>B17+E17</f>
        <v>12</v>
      </c>
      <c r="N17" s="27">
        <f>C17+F17+I17</f>
        <v>2</v>
      </c>
      <c r="O17" s="27"/>
      <c r="P17" s="41" t="str">
        <f>AE11</f>
        <v>Tiffany Fenech</v>
      </c>
      <c r="Q17" s="42">
        <v>0.0</v>
      </c>
      <c r="R17" s="43">
        <f>IF(Q17&gt;Q19,1,0)</f>
        <v>0</v>
      </c>
      <c r="S17" s="44"/>
      <c r="T17" s="42">
        <v>0.0</v>
      </c>
      <c r="U17" s="43">
        <f>IF(T17&gt;T19,1,0)</f>
        <v>0</v>
      </c>
      <c r="V17" s="44"/>
      <c r="W17" s="45"/>
      <c r="X17" s="27">
        <f>IF(W17&gt;W19,1,0)</f>
        <v>0</v>
      </c>
      <c r="Y17" s="27">
        <f>IF(Q17="",0,1)</f>
        <v>1</v>
      </c>
      <c r="Z17" s="27">
        <f>IF(R17+U17=2,3,IF(R17+U17=1,1,0))</f>
        <v>0</v>
      </c>
      <c r="AA17" s="27">
        <f>IF(Z17=3,3,IF(X17+Z17=2,2,IF(Z17=1,1,0)))</f>
        <v>0</v>
      </c>
      <c r="AB17" s="27">
        <f>Q17+T17</f>
        <v>0</v>
      </c>
      <c r="AC17" s="27">
        <f>R17+U17+X17</f>
        <v>0</v>
      </c>
      <c r="AD17" s="27"/>
      <c r="AE17" s="160" t="str">
        <f>'Players - Ladies'!B26</f>
        <v>Maria Ellul</v>
      </c>
      <c r="AF17" s="47">
        <f>Y25+J23+Y15+J19</f>
        <v>4</v>
      </c>
      <c r="AG17" s="47">
        <f>AA25+L23+AA15+L19</f>
        <v>6</v>
      </c>
      <c r="AH17" s="47">
        <f>M19+AB15+M23+AB25</f>
        <v>29</v>
      </c>
      <c r="AI17" s="48">
        <f>AC25+N23+AC15+N19</f>
        <v>4</v>
      </c>
      <c r="AJ17" s="36"/>
      <c r="AK17" s="36"/>
      <c r="AL17" s="36"/>
      <c r="AM17" s="27"/>
      <c r="AN17" s="27"/>
    </row>
    <row r="18" ht="14.25" customHeight="1">
      <c r="A18" s="49"/>
      <c r="H18" s="50"/>
      <c r="I18" s="51"/>
      <c r="J18" s="27"/>
      <c r="K18" s="27"/>
      <c r="L18" s="27"/>
      <c r="M18" s="27"/>
      <c r="N18" s="27"/>
      <c r="O18" s="27"/>
      <c r="P18" s="49" t="s">
        <v>78</v>
      </c>
      <c r="W18" s="50"/>
      <c r="X18" s="51"/>
      <c r="Y18" s="27"/>
      <c r="Z18" s="27"/>
      <c r="AA18" s="27"/>
      <c r="AB18" s="27"/>
      <c r="AC18" s="27"/>
      <c r="AD18" s="27"/>
      <c r="AE18" s="27"/>
      <c r="AF18" s="36"/>
      <c r="AG18" s="36"/>
      <c r="AH18" s="36"/>
      <c r="AI18" s="36"/>
      <c r="AJ18" s="36"/>
      <c r="AK18" s="36"/>
      <c r="AL18" s="36"/>
      <c r="AM18" s="27"/>
      <c r="AN18" s="27"/>
    </row>
    <row r="19" ht="14.25" customHeight="1">
      <c r="A19" s="52" t="str">
        <f>AE17</f>
        <v>Maria Ellul</v>
      </c>
      <c r="B19" s="42">
        <v>2.0</v>
      </c>
      <c r="C19" s="53">
        <f>IF(B19&gt;B17,1,0)</f>
        <v>0</v>
      </c>
      <c r="D19" s="54"/>
      <c r="E19" s="42">
        <v>0.0</v>
      </c>
      <c r="F19" s="53">
        <f>IF(E19&gt;E17,1,0)</f>
        <v>0</v>
      </c>
      <c r="G19" s="54"/>
      <c r="H19" s="45"/>
      <c r="I19" s="27">
        <f>IF(H19&gt;H17,1,0)</f>
        <v>0</v>
      </c>
      <c r="J19" s="27">
        <f>IF(B19="",0,1)</f>
        <v>1</v>
      </c>
      <c r="K19" s="27">
        <f>IF(C19+F19=2,3,IF(C19+F19=1,1,0))</f>
        <v>0</v>
      </c>
      <c r="L19" s="27">
        <f>IF(K19=3,3,IF(I19+K19=2,2,IF(K19=1,1,0)))</f>
        <v>0</v>
      </c>
      <c r="M19" s="27">
        <f>B19+E19</f>
        <v>2</v>
      </c>
      <c r="N19" s="27">
        <f>C19+F19+I19</f>
        <v>0</v>
      </c>
      <c r="O19" s="27"/>
      <c r="P19" s="52" t="str">
        <f>AE13</f>
        <v>Maria Angela Gambin</v>
      </c>
      <c r="Q19" s="42">
        <v>6.0</v>
      </c>
      <c r="R19" s="53">
        <f>IF(Q19&gt;Q17,1,0)</f>
        <v>1</v>
      </c>
      <c r="S19" s="54"/>
      <c r="T19" s="42">
        <v>6.0</v>
      </c>
      <c r="U19" s="53">
        <f>IF(T19&gt;T17,1,0)</f>
        <v>1</v>
      </c>
      <c r="V19" s="54"/>
      <c r="W19" s="45"/>
      <c r="X19" s="27">
        <f>IF(W19&gt;W17,1,0)</f>
        <v>0</v>
      </c>
      <c r="Y19" s="27">
        <f>IF(Q19="",0,1)</f>
        <v>1</v>
      </c>
      <c r="Z19" s="27">
        <f>IF(R19+U19=2,3,IF(R19+U19=1,1,0))</f>
        <v>3</v>
      </c>
      <c r="AA19" s="27">
        <f>IF(Z19=3,3,IF(X19+Z19=2,2,IF(Z19=1,1,0)))</f>
        <v>3</v>
      </c>
      <c r="AB19" s="27">
        <f>Q19+T19</f>
        <v>12</v>
      </c>
      <c r="AC19" s="27">
        <f>R19+U19+X19</f>
        <v>2</v>
      </c>
      <c r="AD19" s="27"/>
      <c r="AE19" s="161"/>
      <c r="AF19" s="36"/>
      <c r="AG19" s="36"/>
      <c r="AH19" s="36"/>
      <c r="AI19" s="36"/>
      <c r="AJ19" s="27"/>
      <c r="AK19" s="36"/>
      <c r="AL19" s="36"/>
      <c r="AM19" s="27"/>
      <c r="AN19" s="27"/>
    </row>
    <row r="20" ht="14.25" customHeight="1">
      <c r="A20" s="27"/>
      <c r="B20" s="27"/>
      <c r="C20" s="27"/>
      <c r="D20" s="27"/>
      <c r="E20" s="27"/>
      <c r="F20" s="27"/>
      <c r="G20" s="27"/>
      <c r="H20" s="53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53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36"/>
      <c r="AL20" s="27"/>
      <c r="AM20" s="27"/>
      <c r="AN20" s="27"/>
    </row>
    <row r="21" ht="14.25" customHeight="1">
      <c r="A21" s="41" t="str">
        <f>AE11</f>
        <v>Tiffany Fenech</v>
      </c>
      <c r="B21" s="42">
        <v>0.0</v>
      </c>
      <c r="C21" s="43">
        <f>IF(B21&gt;B23,1,0)</f>
        <v>0</v>
      </c>
      <c r="D21" s="44"/>
      <c r="E21" s="42">
        <v>0.0</v>
      </c>
      <c r="F21" s="43">
        <f>IF(E21&gt;E23,1,0)</f>
        <v>0</v>
      </c>
      <c r="G21" s="44"/>
      <c r="H21" s="45"/>
      <c r="I21" s="27">
        <f>IF(H21&gt;H23,1,0)</f>
        <v>0</v>
      </c>
      <c r="J21" s="27">
        <f>IF(B21="",0,1)</f>
        <v>1</v>
      </c>
      <c r="K21" s="27">
        <f>IF(C21+F21=2,3,IF(C21+F21=1,1,0))</f>
        <v>0</v>
      </c>
      <c r="L21" s="27">
        <f>IF(K21=3,3,IF(I21+K21=2,2,IF(K21=1,1,0)))</f>
        <v>0</v>
      </c>
      <c r="M21" s="27">
        <f>B21+E21</f>
        <v>0</v>
      </c>
      <c r="N21" s="27">
        <f>C21+F21+I21</f>
        <v>0</v>
      </c>
      <c r="O21" s="27"/>
      <c r="P21" s="41" t="str">
        <f>AE11</f>
        <v>Tiffany Fenech</v>
      </c>
      <c r="Q21" s="42">
        <v>4.0</v>
      </c>
      <c r="R21" s="43">
        <f>IF(Q21&gt;Q23,1,0)</f>
        <v>0</v>
      </c>
      <c r="S21" s="44"/>
      <c r="T21" s="42">
        <v>2.0</v>
      </c>
      <c r="U21" s="43">
        <f>IF(T21&gt;T23,1,0)</f>
        <v>0</v>
      </c>
      <c r="V21" s="44"/>
      <c r="W21" s="45"/>
      <c r="X21" s="27">
        <f>IF(W21&gt;W23,1,0)</f>
        <v>0</v>
      </c>
      <c r="Y21" s="27">
        <f>IF(Q21="",0,1)</f>
        <v>1</v>
      </c>
      <c r="Z21" s="27">
        <f>IF(R21+U21=2,3,IF(R21+U21=1,1,0))</f>
        <v>0</v>
      </c>
      <c r="AA21" s="27">
        <f>IF(Z21=3,3,IF(X21+Z21=2,2,IF(Z21=1,1,0)))</f>
        <v>0</v>
      </c>
      <c r="AB21" s="27">
        <f>Q21+T21</f>
        <v>6</v>
      </c>
      <c r="AC21" s="27">
        <f>R21+U21+X21</f>
        <v>0</v>
      </c>
      <c r="AD21" s="27"/>
      <c r="AE21" s="162" t="s">
        <v>91</v>
      </c>
      <c r="AF21" s="30"/>
      <c r="AG21" s="30"/>
      <c r="AH21" s="30"/>
      <c r="AI21" s="31"/>
      <c r="AJ21" s="27"/>
      <c r="AK21" s="27"/>
      <c r="AL21" s="27"/>
      <c r="AM21" s="27"/>
      <c r="AN21" s="27"/>
    </row>
    <row r="22" ht="14.25" customHeight="1">
      <c r="A22" s="49" t="s">
        <v>78</v>
      </c>
      <c r="H22" s="50"/>
      <c r="I22" s="51"/>
      <c r="J22" s="27"/>
      <c r="K22" s="27"/>
      <c r="L22" s="27"/>
      <c r="M22" s="27"/>
      <c r="N22" s="27"/>
      <c r="O22" s="27"/>
      <c r="P22" s="49" t="s">
        <v>78</v>
      </c>
      <c r="W22" s="50"/>
      <c r="X22" s="51"/>
      <c r="Y22" s="27"/>
      <c r="Z22" s="27"/>
      <c r="AA22" s="27"/>
      <c r="AB22" s="27"/>
      <c r="AC22" s="27"/>
      <c r="AD22" s="27"/>
      <c r="AE22" s="57" t="s">
        <v>111</v>
      </c>
      <c r="AF22" s="30"/>
      <c r="AG22" s="30"/>
      <c r="AH22" s="30"/>
      <c r="AI22" s="31"/>
      <c r="AJ22" s="27"/>
      <c r="AK22" s="36"/>
      <c r="AL22" s="27"/>
      <c r="AM22" s="27"/>
      <c r="AN22" s="27"/>
    </row>
    <row r="23" ht="14.25" customHeight="1">
      <c r="A23" s="52" t="str">
        <f>AE17</f>
        <v>Maria Ellul</v>
      </c>
      <c r="B23" s="42">
        <v>6.0</v>
      </c>
      <c r="C23" s="53">
        <f>IF(B23&gt;B21,1,0)</f>
        <v>1</v>
      </c>
      <c r="D23" s="54"/>
      <c r="E23" s="42">
        <v>6.0</v>
      </c>
      <c r="F23" s="53">
        <f>IF(E23&gt;E21,1,0)</f>
        <v>1</v>
      </c>
      <c r="G23" s="54"/>
      <c r="H23" s="45"/>
      <c r="I23" s="27">
        <f>IF(H23&gt;H21,1,0)</f>
        <v>0</v>
      </c>
      <c r="J23" s="27">
        <f>IF(B23="",0,1)</f>
        <v>1</v>
      </c>
      <c r="K23" s="27">
        <f>IF(C23+F23=2,3,IF(C23+F23=1,1,0))</f>
        <v>3</v>
      </c>
      <c r="L23" s="27">
        <f>IF(K23=3,3,IF(I23+K23=2,2,IF(K23=1,1,0)))</f>
        <v>3</v>
      </c>
      <c r="M23" s="27">
        <f>B23+E23</f>
        <v>12</v>
      </c>
      <c r="N23" s="27">
        <f>C23+F23+I23</f>
        <v>2</v>
      </c>
      <c r="O23" s="27"/>
      <c r="P23" s="52" t="str">
        <f>AE15</f>
        <v>Leanne Sammut</v>
      </c>
      <c r="Q23" s="42">
        <v>6.0</v>
      </c>
      <c r="R23" s="53">
        <f>IF(Q23&gt;Q21,1,0)</f>
        <v>1</v>
      </c>
      <c r="S23" s="54"/>
      <c r="T23" s="42">
        <v>6.0</v>
      </c>
      <c r="U23" s="53">
        <f>IF(T23&gt;T21,1,0)</f>
        <v>1</v>
      </c>
      <c r="V23" s="54"/>
      <c r="W23" s="45"/>
      <c r="X23" s="27">
        <f>IF(W23&gt;W21,1,0)</f>
        <v>0</v>
      </c>
      <c r="Y23" s="27">
        <f>IF(Q23="",0,1)</f>
        <v>1</v>
      </c>
      <c r="Z23" s="27">
        <f>IF(R23+U23=2,3,IF(R23+U23=1,1,0))</f>
        <v>3</v>
      </c>
      <c r="AA23" s="27">
        <f>IF(Z23=3,3,IF(X23+Z23=2,2,IF(Z23=1,1,0)))</f>
        <v>3</v>
      </c>
      <c r="AB23" s="27">
        <f>Q23+T23</f>
        <v>12</v>
      </c>
      <c r="AC23" s="27">
        <f>R23+U23+X23</f>
        <v>2</v>
      </c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</row>
    <row r="24" ht="14.25" customHeight="1">
      <c r="A24" s="27"/>
      <c r="B24" s="27"/>
      <c r="C24" s="27"/>
      <c r="D24" s="27"/>
      <c r="E24" s="27"/>
      <c r="F24" s="27"/>
      <c r="G24" s="27"/>
      <c r="H24" s="53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53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</row>
    <row r="25" ht="14.25" customHeight="1">
      <c r="A25" s="41" t="str">
        <f>AE13</f>
        <v>Maria Angela Gambin</v>
      </c>
      <c r="B25" s="42">
        <v>6.0</v>
      </c>
      <c r="C25" s="43">
        <f>IF(B25&gt;B27,1,0)</f>
        <v>1</v>
      </c>
      <c r="D25" s="44"/>
      <c r="E25" s="42">
        <v>6.0</v>
      </c>
      <c r="F25" s="43">
        <f>IF(E25&gt;E27,1,0)</f>
        <v>1</v>
      </c>
      <c r="G25" s="44"/>
      <c r="H25" s="45"/>
      <c r="I25" s="27">
        <f>IF(H25&gt;H27,1,0)</f>
        <v>0</v>
      </c>
      <c r="J25" s="27">
        <f>IF(B25="",0,1)</f>
        <v>1</v>
      </c>
      <c r="K25" s="27">
        <f>IF(C25+F25=2,3,IF(C25+F25=1,1,0))</f>
        <v>3</v>
      </c>
      <c r="L25" s="27">
        <f>IF(K25=3,3,IF(I25+K25=2,2,IF(K25=1,1,0)))</f>
        <v>3</v>
      </c>
      <c r="M25" s="27">
        <f>B25+E25</f>
        <v>12</v>
      </c>
      <c r="N25" s="27">
        <f>C25+F25+I25</f>
        <v>2</v>
      </c>
      <c r="O25" s="27"/>
      <c r="P25" s="41" t="str">
        <f>AE17</f>
        <v>Maria Ellul</v>
      </c>
      <c r="Q25" s="42">
        <v>6.0</v>
      </c>
      <c r="R25" s="43">
        <f>IF(Q25&gt;Q27,1,0)</f>
        <v>1</v>
      </c>
      <c r="S25" s="44"/>
      <c r="T25" s="42">
        <v>6.0</v>
      </c>
      <c r="U25" s="43">
        <f>IF(T25&gt;T27,1,0)</f>
        <v>1</v>
      </c>
      <c r="V25" s="44"/>
      <c r="W25" s="45"/>
      <c r="X25" s="27">
        <f>IF(W25&gt;W27,1,0)</f>
        <v>0</v>
      </c>
      <c r="Y25" s="27">
        <f>IF(Q25="",0,1)</f>
        <v>1</v>
      </c>
      <c r="Z25" s="27">
        <f>IF(R25+U25=2,3,IF(R25+U25=1,1,0))</f>
        <v>3</v>
      </c>
      <c r="AA25" s="27">
        <f>IF(Z25=3,3,IF(X25+Z25=2,2,IF(Z25=1,1,0)))</f>
        <v>3</v>
      </c>
      <c r="AB25" s="27">
        <f>Q25+T25</f>
        <v>12</v>
      </c>
      <c r="AC25" s="27">
        <f>R25+U25+X25</f>
        <v>2</v>
      </c>
      <c r="AD25" s="27"/>
      <c r="AE25" s="162" t="s">
        <v>120</v>
      </c>
      <c r="AF25" s="30"/>
      <c r="AG25" s="30"/>
      <c r="AH25" s="30"/>
      <c r="AI25" s="31"/>
      <c r="AJ25" s="27"/>
      <c r="AK25" s="27"/>
      <c r="AL25" s="27"/>
      <c r="AM25" s="27"/>
      <c r="AN25" s="27"/>
    </row>
    <row r="26" ht="14.25" customHeight="1">
      <c r="A26" s="49" t="s">
        <v>78</v>
      </c>
      <c r="H26" s="50"/>
      <c r="I26" s="51"/>
      <c r="J26" s="27"/>
      <c r="K26" s="27"/>
      <c r="L26" s="27"/>
      <c r="M26" s="27"/>
      <c r="N26" s="27"/>
      <c r="O26" s="27"/>
      <c r="P26" s="49" t="s">
        <v>78</v>
      </c>
      <c r="W26" s="50"/>
      <c r="X26" s="51"/>
      <c r="Y26" s="27"/>
      <c r="Z26" s="27"/>
      <c r="AA26" s="27"/>
      <c r="AB26" s="27"/>
      <c r="AC26" s="27"/>
      <c r="AD26" s="27"/>
      <c r="AE26" s="57" t="s">
        <v>109</v>
      </c>
      <c r="AF26" s="30"/>
      <c r="AG26" s="30"/>
      <c r="AH26" s="30"/>
      <c r="AI26" s="31"/>
      <c r="AJ26" s="27"/>
      <c r="AK26" s="27"/>
      <c r="AL26" s="27"/>
      <c r="AM26" s="27"/>
      <c r="AN26" s="27"/>
    </row>
    <row r="27" ht="14.25" customHeight="1">
      <c r="A27" s="52" t="str">
        <f>AE15</f>
        <v>Leanne Sammut</v>
      </c>
      <c r="B27" s="42">
        <v>1.0</v>
      </c>
      <c r="C27" s="53">
        <f>IF(B27&gt;B25,1,0)</f>
        <v>0</v>
      </c>
      <c r="D27" s="54"/>
      <c r="E27" s="42">
        <v>0.0</v>
      </c>
      <c r="F27" s="53">
        <f>IF(E27&gt;E25,1,0)</f>
        <v>0</v>
      </c>
      <c r="G27" s="54"/>
      <c r="H27" s="45"/>
      <c r="I27" s="27">
        <f>IF(H27&gt;H25,1,0)</f>
        <v>0</v>
      </c>
      <c r="J27" s="27">
        <f>IF(B27="",0,1)</f>
        <v>1</v>
      </c>
      <c r="K27" s="27">
        <f>IF(C27+F27=2,3,IF(C27+F27=1,1,0))</f>
        <v>0</v>
      </c>
      <c r="L27" s="27">
        <f>IF(K27=3,3,IF(I27+K27=2,2,IF(K27=1,1,0)))</f>
        <v>0</v>
      </c>
      <c r="M27" s="27">
        <f>B27+E27</f>
        <v>1</v>
      </c>
      <c r="N27" s="27">
        <f>C27+F27+I27</f>
        <v>0</v>
      </c>
      <c r="O27" s="27"/>
      <c r="P27" s="52" t="str">
        <f>AE15</f>
        <v>Leanne Sammut</v>
      </c>
      <c r="Q27" s="42">
        <v>2.0</v>
      </c>
      <c r="R27" s="53">
        <f>IF(Q27&gt;Q25,1,0)</f>
        <v>0</v>
      </c>
      <c r="S27" s="54"/>
      <c r="T27" s="42">
        <v>3.0</v>
      </c>
      <c r="U27" s="53">
        <f>IF(T27&gt;T25,1,0)</f>
        <v>0</v>
      </c>
      <c r="V27" s="54"/>
      <c r="W27" s="45"/>
      <c r="X27" s="27">
        <f>IF(W27&gt;W25,1,0)</f>
        <v>0</v>
      </c>
      <c r="Y27" s="27">
        <f>IF(Q27="",0,1)</f>
        <v>1</v>
      </c>
      <c r="Z27" s="27">
        <f>IF(R27+U27=2,3,IF(R27+U27=1,1,0))</f>
        <v>0</v>
      </c>
      <c r="AA27" s="27">
        <f>IF(Z27=3,3,IF(X27+Z27=2,2,IF(Z27=1,1,0)))</f>
        <v>0</v>
      </c>
      <c r="AB27" s="27">
        <f>Q27+T27</f>
        <v>5</v>
      </c>
      <c r="AC27" s="27">
        <f>R27+U27+X27</f>
        <v>0</v>
      </c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</row>
    <row r="28" ht="14.2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36"/>
      <c r="AI28" s="27"/>
      <c r="AJ28" s="27"/>
      <c r="AK28" s="27"/>
      <c r="AL28" s="27"/>
      <c r="AM28" s="27"/>
      <c r="AN28" s="27"/>
    </row>
    <row r="29" ht="14.25" customHeight="1">
      <c r="A29" s="27"/>
      <c r="B29" s="36"/>
      <c r="C29" s="27"/>
      <c r="D29" s="36"/>
      <c r="E29" s="36"/>
      <c r="F29" s="27"/>
      <c r="G29" s="36"/>
      <c r="H29" s="36"/>
      <c r="I29" s="27"/>
      <c r="J29" s="27"/>
      <c r="K29" s="27"/>
      <c r="L29" s="27"/>
      <c r="M29" s="27"/>
      <c r="N29" s="27"/>
      <c r="O29" s="27"/>
      <c r="P29" s="27"/>
      <c r="Q29" s="36"/>
      <c r="R29" s="27"/>
      <c r="S29" s="36"/>
      <c r="T29" s="36"/>
      <c r="U29" s="27"/>
      <c r="V29" s="36"/>
      <c r="W29" s="36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</row>
    <row r="30" ht="14.25" customHeight="1">
      <c r="A30" s="27"/>
      <c r="I30" s="51"/>
      <c r="J30" s="27"/>
      <c r="K30" s="27"/>
      <c r="L30" s="27"/>
      <c r="M30" s="27"/>
      <c r="N30" s="27"/>
      <c r="O30" s="27"/>
      <c r="P30" s="27"/>
      <c r="X30" s="51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58"/>
      <c r="AM30" s="27"/>
      <c r="AN30" s="27"/>
    </row>
    <row r="31" ht="14.25" customHeight="1">
      <c r="A31" s="27"/>
      <c r="B31" s="36"/>
      <c r="C31" s="27"/>
      <c r="D31" s="36"/>
      <c r="E31" s="36"/>
      <c r="F31" s="27"/>
      <c r="G31" s="36"/>
      <c r="H31" s="36"/>
      <c r="I31" s="27"/>
      <c r="J31" s="27"/>
      <c r="K31" s="27"/>
      <c r="L31" s="27"/>
      <c r="M31" s="27"/>
      <c r="N31" s="27"/>
      <c r="O31" s="27"/>
      <c r="P31" s="27"/>
      <c r="Q31" s="36"/>
      <c r="R31" s="27"/>
      <c r="S31" s="36"/>
      <c r="T31" s="36"/>
      <c r="U31" s="27"/>
      <c r="V31" s="36"/>
      <c r="W31" s="36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36"/>
    </row>
    <row r="32" ht="14.2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58"/>
      <c r="AM32" s="27"/>
      <c r="AN32" s="27"/>
    </row>
    <row r="33" ht="14.25" customHeight="1">
      <c r="A33" s="27"/>
      <c r="B33" s="36"/>
      <c r="C33" s="27"/>
      <c r="D33" s="36"/>
      <c r="E33" s="36"/>
      <c r="F33" s="27"/>
      <c r="G33" s="36"/>
      <c r="H33" s="36"/>
      <c r="I33" s="27"/>
      <c r="J33" s="27"/>
      <c r="K33" s="27"/>
      <c r="L33" s="27"/>
      <c r="M33" s="27"/>
      <c r="N33" s="27"/>
      <c r="O33" s="27"/>
      <c r="P33" s="27"/>
      <c r="Q33" s="36"/>
      <c r="R33" s="27"/>
      <c r="S33" s="36"/>
      <c r="T33" s="36"/>
      <c r="U33" s="27"/>
      <c r="V33" s="36"/>
      <c r="W33" s="36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</row>
    <row r="34" ht="14.25" customHeight="1">
      <c r="A34" s="27"/>
      <c r="I34" s="51"/>
      <c r="J34" s="27"/>
      <c r="K34" s="27"/>
      <c r="L34" s="27"/>
      <c r="M34" s="27"/>
      <c r="N34" s="27"/>
      <c r="O34" s="27"/>
      <c r="P34" s="27"/>
      <c r="X34" s="51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</row>
    <row r="35" ht="14.25" customHeight="1">
      <c r="A35" s="27"/>
      <c r="B35" s="36"/>
      <c r="C35" s="27"/>
      <c r="D35" s="36"/>
      <c r="E35" s="36"/>
      <c r="F35" s="27"/>
      <c r="G35" s="36"/>
      <c r="H35" s="36"/>
      <c r="I35" s="27"/>
      <c r="J35" s="27"/>
      <c r="K35" s="27"/>
      <c r="L35" s="27"/>
      <c r="M35" s="27"/>
      <c r="N35" s="27"/>
      <c r="O35" s="27"/>
      <c r="P35" s="27"/>
      <c r="Q35" s="36"/>
      <c r="R35" s="27"/>
      <c r="S35" s="36"/>
      <c r="T35" s="36"/>
      <c r="U35" s="27"/>
      <c r="V35" s="36"/>
      <c r="W35" s="36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</row>
    <row r="36" ht="14.2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36"/>
      <c r="AI36" s="27"/>
      <c r="AJ36" s="27"/>
      <c r="AK36" s="36"/>
      <c r="AL36" s="27"/>
      <c r="AM36" s="27"/>
      <c r="AN36" s="27"/>
    </row>
    <row r="37" ht="14.25" customHeight="1">
      <c r="A37" s="27"/>
      <c r="B37" s="36"/>
      <c r="C37" s="27"/>
      <c r="D37" s="36"/>
      <c r="E37" s="36"/>
      <c r="F37" s="27"/>
      <c r="G37" s="36"/>
      <c r="H37" s="36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36"/>
      <c r="AL37" s="27"/>
      <c r="AM37" s="27"/>
      <c r="AN37" s="27"/>
    </row>
    <row r="38" ht="14.25" customHeight="1">
      <c r="A38" s="27"/>
      <c r="I38" s="51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59"/>
      <c r="AK38" s="27"/>
      <c r="AL38" s="27"/>
      <c r="AM38" s="27"/>
      <c r="AN38" s="27"/>
    </row>
    <row r="39" ht="14.25" customHeight="1">
      <c r="A39" s="27"/>
      <c r="B39" s="36"/>
      <c r="C39" s="27"/>
      <c r="D39" s="36"/>
      <c r="E39" s="36"/>
      <c r="F39" s="27"/>
      <c r="G39" s="36"/>
      <c r="H39" s="36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</row>
    <row r="40" ht="14.2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</row>
    <row r="41" ht="14.2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59"/>
      <c r="AK41" s="27"/>
      <c r="AL41" s="27"/>
      <c r="AM41" s="27"/>
      <c r="AN41" s="27"/>
    </row>
    <row r="42" ht="14.2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</row>
    <row r="43" ht="14.2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</row>
    <row r="44" ht="14.2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</row>
    <row r="45" ht="14.2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</row>
    <row r="46" ht="14.2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59"/>
      <c r="AK46" s="27"/>
      <c r="AL46" s="36"/>
      <c r="AM46" s="27"/>
      <c r="AN46" s="27"/>
    </row>
    <row r="47" ht="14.2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</row>
    <row r="48" ht="14.2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</row>
    <row r="49" ht="14.2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</row>
    <row r="50" ht="14.2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</row>
    <row r="51" ht="14.2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59"/>
      <c r="AK51" s="27"/>
      <c r="AL51" s="27"/>
      <c r="AM51" s="27"/>
      <c r="AN51" s="36"/>
    </row>
    <row r="52" ht="14.2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</row>
    <row r="53" ht="14.2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</row>
    <row r="54" ht="14.2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55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</row>
    <row r="55" ht="14.2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36"/>
      <c r="AI55" s="27"/>
      <c r="AJ55" s="27"/>
      <c r="AK55" s="36"/>
      <c r="AL55" s="27"/>
      <c r="AM55" s="27"/>
      <c r="AN55" s="27"/>
    </row>
    <row r="56" ht="14.2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</row>
    <row r="57" ht="14.2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</row>
    <row r="58" ht="14.2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</row>
    <row r="59" ht="14.2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</row>
    <row r="60" ht="14.2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</row>
    <row r="61" ht="14.2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</row>
    <row r="62" ht="14.2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</row>
    <row r="63" ht="14.2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</row>
    <row r="64" ht="14.2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</row>
    <row r="65" ht="14.2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</row>
    <row r="66" ht="14.2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</row>
    <row r="67" ht="14.2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</row>
    <row r="68" ht="14.2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</row>
    <row r="69" ht="14.2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</row>
    <row r="70" ht="14.2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</row>
    <row r="71" ht="14.2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</row>
    <row r="72" ht="14.2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</row>
    <row r="73" ht="14.2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</row>
    <row r="74" ht="14.2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</row>
    <row r="75" ht="14.2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</row>
    <row r="76" ht="14.2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</row>
    <row r="77" ht="14.2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</row>
    <row r="78" ht="14.2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</row>
    <row r="79" ht="14.2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</row>
    <row r="80" ht="14.2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</row>
    <row r="81" ht="14.2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</row>
    <row r="82" ht="14.2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</row>
    <row r="83" ht="14.2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</row>
    <row r="84" ht="14.2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</row>
    <row r="85" ht="14.2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</row>
    <row r="86" ht="14.2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</row>
    <row r="87" ht="14.2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</row>
    <row r="88" ht="14.2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</row>
    <row r="89" ht="14.2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</row>
    <row r="90" ht="14.2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</row>
    <row r="91" ht="14.2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</row>
    <row r="92" ht="14.2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</row>
    <row r="93" ht="14.2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</row>
    <row r="94" ht="14.2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</row>
    <row r="95" ht="14.2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</row>
    <row r="96" ht="14.2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</row>
    <row r="97" ht="14.2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</row>
    <row r="98" ht="14.2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</row>
    <row r="99" ht="14.2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</row>
    <row r="100" ht="14.2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</row>
    <row r="101" ht="14.2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</row>
    <row r="102" ht="14.2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</row>
    <row r="103" ht="14.2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</row>
    <row r="104" ht="14.2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</row>
    <row r="105" ht="14.2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36"/>
      <c r="R105" s="36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</row>
    <row r="106" ht="14.2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</row>
    <row r="107" ht="14.2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</row>
    <row r="108" ht="14.2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</row>
    <row r="109" ht="14.2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</row>
    <row r="110" ht="14.2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</row>
    <row r="111" ht="14.2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</row>
    <row r="112" ht="14.2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</row>
    <row r="113" ht="14.2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</row>
    <row r="114" ht="14.2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</row>
    <row r="115" ht="14.2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</row>
    <row r="116" ht="14.2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</row>
    <row r="117" ht="14.2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</row>
    <row r="118" ht="14.2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</row>
    <row r="119" ht="14.2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</row>
    <row r="120" ht="14.2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</row>
    <row r="121" ht="14.2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</row>
    <row r="122" ht="14.2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</row>
    <row r="123" ht="14.2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</row>
    <row r="124" ht="14.2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</row>
    <row r="125" ht="14.2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</row>
    <row r="126" ht="14.2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</row>
    <row r="127" ht="14.2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</row>
    <row r="128" ht="14.2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</row>
    <row r="129" ht="14.2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</row>
    <row r="130" ht="14.2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</row>
    <row r="131" ht="14.2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</row>
    <row r="132" ht="14.2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</row>
    <row r="133" ht="14.2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</row>
    <row r="134" ht="14.2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</row>
    <row r="135" ht="14.2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</row>
    <row r="136" ht="14.2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</row>
    <row r="137" ht="14.2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</row>
    <row r="138" ht="14.2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</row>
    <row r="139" ht="14.2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</row>
    <row r="140" ht="14.2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</row>
    <row r="141" ht="14.2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</row>
    <row r="142" ht="14.2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</row>
    <row r="143" ht="14.2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</row>
    <row r="144" ht="14.2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</row>
    <row r="145" ht="14.2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</row>
    <row r="146" ht="14.2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</row>
    <row r="147" ht="14.2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</row>
    <row r="148" ht="14.2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</row>
    <row r="149" ht="14.2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</row>
    <row r="150" ht="14.2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</row>
    <row r="151" ht="14.2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</row>
    <row r="152" ht="14.2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</row>
    <row r="153" ht="14.2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</row>
    <row r="154" ht="14.2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</row>
    <row r="155" ht="14.2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</row>
    <row r="156" ht="14.2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</row>
    <row r="157" ht="14.2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</row>
    <row r="158" ht="14.2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</row>
    <row r="159" ht="14.2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</row>
    <row r="160" ht="14.2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</row>
    <row r="161" ht="14.2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</row>
    <row r="162" ht="14.2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</row>
    <row r="163" ht="14.2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</row>
    <row r="164" ht="14.2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</row>
    <row r="165" ht="14.2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</row>
    <row r="166" ht="14.2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</row>
    <row r="167" ht="14.2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</row>
    <row r="168" ht="14.2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</row>
    <row r="169" ht="14.2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</row>
    <row r="170" ht="14.2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</row>
    <row r="171" ht="14.2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</row>
    <row r="172" ht="14.2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</row>
    <row r="173" ht="14.2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</row>
    <row r="174" ht="14.2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</row>
    <row r="175" ht="14.2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</row>
    <row r="176" ht="14.2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</row>
    <row r="177" ht="14.2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</row>
    <row r="178" ht="14.2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</row>
    <row r="179" ht="14.2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</row>
    <row r="180" ht="14.2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</row>
    <row r="181" ht="14.2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</row>
    <row r="182" ht="14.2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</row>
    <row r="183" ht="14.2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</row>
    <row r="184" ht="14.2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</row>
    <row r="185" ht="14.2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</row>
    <row r="186" ht="14.2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</row>
    <row r="187" ht="14.2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</row>
    <row r="188" ht="14.2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</row>
    <row r="189" ht="14.2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</row>
    <row r="190" ht="14.2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</row>
    <row r="191" ht="14.2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</row>
    <row r="192" ht="14.2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</row>
    <row r="193" ht="14.2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</row>
    <row r="194" ht="14.2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</row>
    <row r="195" ht="14.2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</row>
    <row r="196" ht="14.2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</row>
    <row r="197" ht="14.2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</row>
    <row r="198" ht="14.2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</row>
    <row r="199" ht="14.2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</row>
    <row r="200" ht="14.2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</row>
    <row r="201" ht="14.2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</row>
    <row r="202" ht="14.2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</row>
    <row r="203" ht="14.2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</row>
    <row r="204" ht="14.2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</row>
    <row r="205" ht="14.2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</row>
    <row r="206" ht="14.2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</row>
    <row r="207" ht="14.2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</row>
    <row r="208" ht="14.2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</row>
    <row r="209" ht="14.2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</row>
    <row r="210" ht="14.2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</row>
    <row r="211" ht="14.2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</row>
    <row r="212" ht="14.2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</row>
    <row r="213" ht="14.2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</row>
    <row r="214" ht="14.2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</row>
    <row r="215" ht="14.2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</row>
    <row r="216" ht="14.2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</row>
    <row r="217" ht="14.2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</row>
    <row r="218" ht="14.2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</row>
    <row r="219" ht="14.2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</row>
    <row r="220" ht="14.2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</row>
    <row r="221" ht="14.2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</row>
    <row r="222" ht="14.2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</row>
    <row r="223" ht="14.2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</row>
    <row r="224" ht="14.2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</row>
    <row r="225" ht="14.2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</row>
    <row r="226" ht="14.2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</row>
    <row r="227" ht="14.2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</row>
    <row r="228" ht="14.2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</row>
    <row r="229" ht="14.2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</row>
    <row r="230" ht="14.2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</row>
    <row r="231" ht="14.2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</row>
    <row r="232" ht="14.2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</row>
    <row r="233" ht="14.2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</row>
    <row r="234" ht="14.2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</row>
    <row r="235" ht="14.2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</row>
    <row r="236" ht="14.2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</row>
    <row r="237" ht="14.2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</row>
    <row r="238" ht="14.2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</row>
    <row r="239" ht="14.2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</row>
    <row r="240" ht="14.2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</row>
    <row r="241" ht="14.2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</row>
    <row r="242" ht="14.2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</row>
    <row r="243" ht="14.2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</row>
    <row r="244" ht="14.2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</row>
    <row r="245" ht="14.2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</row>
    <row r="246" ht="14.2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</row>
    <row r="247" ht="14.2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</row>
    <row r="248" ht="14.2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</row>
    <row r="249" ht="14.2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</row>
    <row r="250" ht="14.2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</row>
    <row r="251" ht="14.2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</row>
    <row r="252" ht="14.2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</row>
    <row r="253" ht="14.2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</row>
    <row r="254" ht="14.2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</row>
    <row r="255" ht="14.2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</row>
    <row r="256" ht="14.2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</row>
    <row r="257" ht="14.2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</row>
    <row r="258" ht="14.2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</row>
    <row r="259" ht="14.2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</row>
    <row r="260" ht="14.2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</row>
    <row r="261" ht="14.2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</row>
    <row r="262" ht="14.2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</row>
    <row r="263" ht="14.2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</row>
    <row r="264" ht="14.2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</row>
    <row r="265" ht="14.2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</row>
    <row r="266" ht="14.2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</row>
    <row r="267" ht="14.2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</row>
    <row r="268" ht="14.2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</row>
    <row r="269" ht="14.2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</row>
    <row r="270" ht="14.2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</row>
    <row r="271" ht="14.2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</row>
    <row r="272" ht="14.2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</row>
    <row r="273" ht="14.2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</row>
    <row r="274" ht="14.2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</row>
    <row r="275" ht="14.2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</row>
    <row r="276" ht="14.2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</row>
    <row r="277" ht="14.2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</row>
    <row r="278" ht="14.2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</row>
    <row r="279" ht="14.2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</row>
    <row r="280" ht="14.2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</row>
    <row r="281" ht="14.2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</row>
    <row r="282" ht="14.2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</row>
    <row r="283" ht="14.2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</row>
    <row r="284" ht="14.2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</row>
    <row r="285" ht="14.2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</row>
    <row r="286" ht="14.2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</row>
    <row r="287" ht="14.2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</row>
    <row r="288" ht="14.2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</row>
    <row r="289" ht="14.2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</row>
    <row r="290" ht="14.2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</row>
    <row r="291" ht="14.2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</row>
    <row r="292" ht="14.2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</row>
    <row r="293" ht="14.2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</row>
    <row r="294" ht="14.2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</row>
    <row r="295" ht="14.2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</row>
    <row r="296" ht="14.2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</row>
    <row r="297" ht="14.2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</row>
    <row r="298" ht="14.2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</row>
    <row r="299" ht="14.2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</row>
    <row r="300" ht="14.2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</row>
    <row r="301" ht="14.2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</row>
    <row r="302" ht="14.2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</row>
    <row r="303" ht="14.2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</row>
    <row r="304" ht="14.2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</row>
    <row r="305" ht="14.2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</row>
    <row r="306" ht="14.2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</row>
    <row r="307" ht="14.2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</row>
    <row r="308" ht="14.2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</row>
    <row r="309" ht="14.2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</row>
    <row r="310" ht="14.2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</row>
    <row r="311" ht="14.2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</row>
    <row r="312" ht="14.2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</row>
    <row r="313" ht="14.2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</row>
    <row r="314" ht="14.2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</row>
    <row r="315" ht="14.2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</row>
    <row r="316" ht="14.2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</row>
    <row r="317" ht="14.2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</row>
    <row r="318" ht="14.2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</row>
    <row r="319" ht="14.2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</row>
    <row r="320" ht="14.2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</row>
    <row r="321" ht="14.2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</row>
    <row r="322" ht="14.2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</row>
    <row r="323" ht="14.2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</row>
    <row r="324" ht="14.2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</row>
    <row r="325" ht="14.2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</row>
    <row r="326" ht="14.2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</row>
    <row r="327" ht="14.2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</row>
    <row r="328" ht="14.2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</row>
    <row r="329" ht="14.2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</row>
    <row r="330" ht="14.2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</row>
    <row r="331" ht="14.2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</row>
    <row r="332" ht="14.2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</row>
    <row r="333" ht="14.2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</row>
    <row r="334" ht="14.2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</row>
    <row r="335" ht="14.2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</row>
    <row r="336" ht="14.2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</row>
    <row r="337" ht="14.2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</row>
    <row r="338" ht="14.2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</row>
    <row r="339" ht="14.2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</row>
    <row r="340" ht="14.2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</row>
    <row r="341" ht="14.2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</row>
    <row r="342" ht="14.2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</row>
    <row r="343" ht="14.2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</row>
    <row r="344" ht="14.2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</row>
    <row r="345" ht="14.2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</row>
    <row r="346" ht="14.2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</row>
    <row r="347" ht="14.2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</row>
    <row r="348" ht="14.2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</row>
    <row r="349" ht="14.2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</row>
    <row r="350" ht="14.2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</row>
    <row r="351" ht="14.2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</row>
    <row r="352" ht="14.2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</row>
    <row r="353" ht="14.2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</row>
    <row r="354" ht="14.2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</row>
    <row r="355" ht="14.2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</row>
    <row r="356" ht="14.2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</row>
    <row r="357" ht="14.2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</row>
    <row r="358" ht="14.2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</row>
    <row r="359" ht="14.2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</row>
    <row r="360" ht="14.2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</row>
    <row r="361" ht="14.2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</row>
    <row r="362" ht="14.2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</row>
    <row r="363" ht="14.2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</row>
    <row r="364" ht="14.2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</row>
    <row r="365" ht="14.2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</row>
    <row r="366" ht="14.2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</row>
    <row r="367" ht="14.2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</row>
    <row r="368" ht="14.2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</row>
    <row r="369" ht="14.2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</row>
    <row r="370" ht="14.2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</row>
    <row r="371" ht="14.2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</row>
    <row r="372" ht="14.2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</row>
    <row r="373" ht="14.2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</row>
    <row r="374" ht="14.2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</row>
    <row r="375" ht="14.2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</row>
    <row r="376" ht="14.2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</row>
    <row r="377" ht="14.2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</row>
    <row r="378" ht="14.2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</row>
    <row r="379" ht="14.2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</row>
    <row r="380" ht="14.2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</row>
    <row r="381" ht="14.2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</row>
    <row r="382" ht="14.2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</row>
    <row r="383" ht="14.2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</row>
    <row r="384" ht="14.2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</row>
    <row r="385" ht="14.2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</row>
    <row r="386" ht="14.2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</row>
    <row r="387" ht="14.2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</row>
    <row r="388" ht="14.2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</row>
    <row r="389" ht="14.2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</row>
    <row r="390" ht="14.2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</row>
    <row r="391" ht="14.2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</row>
    <row r="392" ht="14.2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</row>
    <row r="393" ht="14.2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</row>
    <row r="394" ht="14.2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</row>
    <row r="395" ht="14.2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</row>
    <row r="396" ht="14.2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</row>
    <row r="397" ht="14.2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</row>
    <row r="398" ht="14.2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</row>
    <row r="399" ht="14.2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</row>
    <row r="400" ht="14.2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</row>
    <row r="401" ht="14.2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</row>
    <row r="402" ht="14.2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</row>
    <row r="403" ht="14.2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</row>
    <row r="404" ht="14.2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</row>
    <row r="405" ht="14.2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</row>
    <row r="406" ht="14.2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</row>
    <row r="407" ht="14.2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</row>
    <row r="408" ht="14.2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</row>
    <row r="409" ht="14.2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</row>
    <row r="410" ht="14.2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</row>
    <row r="411" ht="14.2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</row>
    <row r="412" ht="14.2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</row>
    <row r="413" ht="14.2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</row>
    <row r="414" ht="14.2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</row>
    <row r="415" ht="14.2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</row>
    <row r="416" ht="14.2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</row>
    <row r="417" ht="14.2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</row>
    <row r="418" ht="14.2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</row>
    <row r="419" ht="14.2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</row>
    <row r="420" ht="14.2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</row>
    <row r="421" ht="14.2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</row>
    <row r="422" ht="14.2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</row>
    <row r="423" ht="14.2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</row>
    <row r="424" ht="14.2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</row>
    <row r="425" ht="14.2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</row>
    <row r="426" ht="14.2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</row>
    <row r="427" ht="14.2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</row>
    <row r="428" ht="14.2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</row>
    <row r="429" ht="14.2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</row>
    <row r="430" ht="14.2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</row>
    <row r="431" ht="14.2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</row>
    <row r="432" ht="14.2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</row>
    <row r="433" ht="14.2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</row>
    <row r="434" ht="14.2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</row>
    <row r="435" ht="14.2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</row>
    <row r="436" ht="14.2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</row>
    <row r="437" ht="14.2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</row>
    <row r="438" ht="14.2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</row>
    <row r="439" ht="14.2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</row>
    <row r="440" ht="14.2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</row>
    <row r="441" ht="14.2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</row>
    <row r="442" ht="14.2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</row>
    <row r="443" ht="14.2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</row>
    <row r="444" ht="14.2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</row>
    <row r="445" ht="14.2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</row>
    <row r="446" ht="14.2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</row>
    <row r="447" ht="14.2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</row>
    <row r="448" ht="14.2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</row>
    <row r="449" ht="14.2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</row>
    <row r="450" ht="14.2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</row>
    <row r="451" ht="14.2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</row>
    <row r="452" ht="14.2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</row>
    <row r="453" ht="14.2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</row>
    <row r="454" ht="14.2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</row>
    <row r="455" ht="14.2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</row>
    <row r="456" ht="14.2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</row>
    <row r="457" ht="14.2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</row>
    <row r="458" ht="14.2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</row>
    <row r="459" ht="14.2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</row>
    <row r="460" ht="14.2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</row>
    <row r="461" ht="14.2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</row>
    <row r="462" ht="14.2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</row>
    <row r="463" ht="14.2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</row>
    <row r="464" ht="14.2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</row>
    <row r="465" ht="14.2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</row>
    <row r="466" ht="14.2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</row>
    <row r="467" ht="14.2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</row>
    <row r="468" ht="14.2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</row>
    <row r="469" ht="14.2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</row>
    <row r="470" ht="14.2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</row>
    <row r="471" ht="14.2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</row>
    <row r="472" ht="14.2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</row>
    <row r="473" ht="14.2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</row>
    <row r="474" ht="14.2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</row>
    <row r="475" ht="14.2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</row>
    <row r="476" ht="14.2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</row>
    <row r="477" ht="14.2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</row>
    <row r="478" ht="14.2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</row>
    <row r="479" ht="14.2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</row>
    <row r="480" ht="14.2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</row>
    <row r="481" ht="14.2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</row>
    <row r="482" ht="14.2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</row>
    <row r="483" ht="14.2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</row>
    <row r="484" ht="14.2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</row>
    <row r="485" ht="14.2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</row>
    <row r="486" ht="14.2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</row>
    <row r="487" ht="14.2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</row>
    <row r="488" ht="14.2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</row>
    <row r="489" ht="14.2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</row>
    <row r="490" ht="14.2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</row>
    <row r="491" ht="14.2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</row>
    <row r="492" ht="14.2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</row>
    <row r="493" ht="14.2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</row>
    <row r="494" ht="14.2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</row>
    <row r="495" ht="14.2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</row>
    <row r="496" ht="14.2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</row>
    <row r="497" ht="14.2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</row>
    <row r="498" ht="14.2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</row>
    <row r="499" ht="14.2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</row>
    <row r="500" ht="14.2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</row>
    <row r="501" ht="14.2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</row>
    <row r="502" ht="14.2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</row>
    <row r="503" ht="14.2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</row>
    <row r="504" ht="14.2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</row>
    <row r="505" ht="14.2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</row>
    <row r="506" ht="14.2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</row>
    <row r="507" ht="14.2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</row>
    <row r="508" ht="14.2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</row>
    <row r="509" ht="14.2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</row>
    <row r="510" ht="14.2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</row>
    <row r="511" ht="14.2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</row>
    <row r="512" ht="14.2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</row>
    <row r="513" ht="14.2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</row>
    <row r="514" ht="14.2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</row>
    <row r="515" ht="14.2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</row>
    <row r="516" ht="14.2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</row>
    <row r="517" ht="14.2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</row>
    <row r="518" ht="14.2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</row>
    <row r="519" ht="14.2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</row>
    <row r="520" ht="14.2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</row>
    <row r="521" ht="14.2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</row>
    <row r="522" ht="14.2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</row>
    <row r="523" ht="14.2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</row>
    <row r="524" ht="14.2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</row>
    <row r="525" ht="14.2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</row>
    <row r="526" ht="14.2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</row>
    <row r="527" ht="14.2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</row>
    <row r="528" ht="14.2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</row>
    <row r="529" ht="14.2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</row>
    <row r="530" ht="14.2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</row>
    <row r="531" ht="14.2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</row>
    <row r="532" ht="14.2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</row>
    <row r="533" ht="14.2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</row>
    <row r="534" ht="14.2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</row>
    <row r="535" ht="14.2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</row>
    <row r="536" ht="14.2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</row>
    <row r="537" ht="14.2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</row>
    <row r="538" ht="14.2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</row>
    <row r="539" ht="14.2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</row>
    <row r="540" ht="14.2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</row>
    <row r="541" ht="14.2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</row>
    <row r="542" ht="14.2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</row>
    <row r="543" ht="14.2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</row>
    <row r="544" ht="14.2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</row>
    <row r="545" ht="14.2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</row>
    <row r="546" ht="14.2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</row>
    <row r="547" ht="14.2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</row>
    <row r="548" ht="14.2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</row>
    <row r="549" ht="14.2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</row>
    <row r="550" ht="14.2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</row>
    <row r="551" ht="14.2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</row>
    <row r="552" ht="14.2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</row>
    <row r="553" ht="14.2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</row>
    <row r="554" ht="14.2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</row>
    <row r="555" ht="14.2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</row>
    <row r="556" ht="14.2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</row>
    <row r="557" ht="14.2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</row>
    <row r="558" ht="14.2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</row>
    <row r="559" ht="14.2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</row>
    <row r="560" ht="14.2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</row>
    <row r="561" ht="14.2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</row>
    <row r="562" ht="14.2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</row>
    <row r="563" ht="14.2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</row>
    <row r="564" ht="14.2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</row>
    <row r="565" ht="14.2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</row>
    <row r="566" ht="14.2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</row>
    <row r="567" ht="14.2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</row>
    <row r="568" ht="14.2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</row>
    <row r="569" ht="14.2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</row>
    <row r="570" ht="14.2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</row>
    <row r="571" ht="14.2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</row>
    <row r="572" ht="14.2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</row>
    <row r="573" ht="14.2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</row>
    <row r="574" ht="14.2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</row>
    <row r="575" ht="14.2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</row>
    <row r="576" ht="14.2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</row>
    <row r="577" ht="14.2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</row>
    <row r="578" ht="14.2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</row>
    <row r="579" ht="14.2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</row>
    <row r="580" ht="14.2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</row>
    <row r="581" ht="14.2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</row>
    <row r="582" ht="14.2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</row>
    <row r="583" ht="14.2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</row>
    <row r="584" ht="14.2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</row>
    <row r="585" ht="14.2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</row>
    <row r="586" ht="14.2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</row>
    <row r="587" ht="14.2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</row>
    <row r="588" ht="14.2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</row>
    <row r="589" ht="14.2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</row>
    <row r="590" ht="14.2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</row>
    <row r="591" ht="14.2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</row>
    <row r="592" ht="14.2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</row>
    <row r="593" ht="14.2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</row>
    <row r="594" ht="14.2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</row>
    <row r="595" ht="14.2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</row>
    <row r="596" ht="14.2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</row>
    <row r="597" ht="14.2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</row>
    <row r="598" ht="14.2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</row>
    <row r="599" ht="14.2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</row>
    <row r="600" ht="14.2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</row>
    <row r="601" ht="14.2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</row>
    <row r="602" ht="14.2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</row>
    <row r="603" ht="14.2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</row>
    <row r="604" ht="14.2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</row>
    <row r="605" ht="14.2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</row>
    <row r="606" ht="14.2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</row>
    <row r="607" ht="14.2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</row>
    <row r="608" ht="14.2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</row>
    <row r="609" ht="14.2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</row>
    <row r="610" ht="14.2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</row>
    <row r="611" ht="14.2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</row>
    <row r="612" ht="14.2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</row>
    <row r="613" ht="14.2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</row>
    <row r="614" ht="14.2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</row>
    <row r="615" ht="14.2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</row>
    <row r="616" ht="14.2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</row>
    <row r="617" ht="14.2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</row>
    <row r="618" ht="14.2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</row>
    <row r="619" ht="14.2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</row>
    <row r="620" ht="14.2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</row>
    <row r="621" ht="14.2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</row>
    <row r="622" ht="14.2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</row>
    <row r="623" ht="14.2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</row>
    <row r="624" ht="14.2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</row>
    <row r="625" ht="14.2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</row>
    <row r="626" ht="14.2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</row>
    <row r="627" ht="14.2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</row>
    <row r="628" ht="14.2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</row>
    <row r="629" ht="14.2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</row>
    <row r="630" ht="14.2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</row>
    <row r="631" ht="14.2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</row>
    <row r="632" ht="14.2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</row>
    <row r="633" ht="14.2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</row>
    <row r="634" ht="14.2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</row>
    <row r="635" ht="14.2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</row>
    <row r="636" ht="14.2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</row>
    <row r="637" ht="14.2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</row>
    <row r="638" ht="14.2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</row>
    <row r="639" ht="14.2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</row>
    <row r="640" ht="14.2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</row>
    <row r="641" ht="14.2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</row>
    <row r="642" ht="14.2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</row>
    <row r="643" ht="14.2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</row>
    <row r="644" ht="14.2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</row>
    <row r="645" ht="14.2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</row>
    <row r="646" ht="14.2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</row>
    <row r="647" ht="14.2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</row>
    <row r="648" ht="14.2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</row>
    <row r="649" ht="14.2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</row>
    <row r="650" ht="14.2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</row>
    <row r="651" ht="14.2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</row>
    <row r="652" ht="14.2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</row>
    <row r="653" ht="14.2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</row>
    <row r="654" ht="14.2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</row>
    <row r="655" ht="14.2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</row>
    <row r="656" ht="14.2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</row>
    <row r="657" ht="14.2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</row>
    <row r="658" ht="14.2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</row>
    <row r="659" ht="14.2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</row>
    <row r="660" ht="14.2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</row>
    <row r="661" ht="14.2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</row>
    <row r="662" ht="14.2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</row>
    <row r="663" ht="14.2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</row>
    <row r="664" ht="14.2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</row>
    <row r="665" ht="14.2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</row>
    <row r="666" ht="14.2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</row>
    <row r="667" ht="14.2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</row>
    <row r="668" ht="14.2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</row>
    <row r="669" ht="14.2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</row>
    <row r="670" ht="14.2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</row>
    <row r="671" ht="14.2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</row>
    <row r="672" ht="14.2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</row>
    <row r="673" ht="14.2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</row>
    <row r="674" ht="14.2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</row>
    <row r="675" ht="14.2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</row>
    <row r="676" ht="14.2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</row>
    <row r="677" ht="14.2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</row>
    <row r="678" ht="14.2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</row>
    <row r="679" ht="14.2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</row>
    <row r="680" ht="14.2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</row>
    <row r="681" ht="14.2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</row>
    <row r="682" ht="14.2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</row>
    <row r="683" ht="14.2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</row>
    <row r="684" ht="14.2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</row>
    <row r="685" ht="14.2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</row>
    <row r="686" ht="14.2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</row>
    <row r="687" ht="14.2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</row>
    <row r="688" ht="14.2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</row>
    <row r="689" ht="14.2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</row>
    <row r="690" ht="14.2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</row>
    <row r="691" ht="14.2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</row>
    <row r="692" ht="14.2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</row>
    <row r="693" ht="14.2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</row>
    <row r="694" ht="14.2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</row>
    <row r="695" ht="14.2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</row>
    <row r="696" ht="14.2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</row>
    <row r="697" ht="14.2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</row>
    <row r="698" ht="14.2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</row>
    <row r="699" ht="14.2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</row>
    <row r="700" ht="14.2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</row>
    <row r="701" ht="14.2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</row>
    <row r="702" ht="14.2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</row>
    <row r="703" ht="14.2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</row>
    <row r="704" ht="14.2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</row>
    <row r="705" ht="14.2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</row>
    <row r="706" ht="14.2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</row>
    <row r="707" ht="14.2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</row>
    <row r="708" ht="14.2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</row>
    <row r="709" ht="14.2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</row>
    <row r="710" ht="14.2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</row>
    <row r="711" ht="14.2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</row>
    <row r="712" ht="14.2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</row>
    <row r="713" ht="14.2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</row>
    <row r="714" ht="14.2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</row>
    <row r="715" ht="14.2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</row>
    <row r="716" ht="14.2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</row>
    <row r="717" ht="14.2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</row>
    <row r="718" ht="14.2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</row>
    <row r="719" ht="14.2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</row>
    <row r="720" ht="14.2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</row>
    <row r="721" ht="14.2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</row>
    <row r="722" ht="14.2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</row>
    <row r="723" ht="14.2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</row>
    <row r="724" ht="14.2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</row>
    <row r="725" ht="14.2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</row>
    <row r="726" ht="14.2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</row>
    <row r="727" ht="14.2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</row>
    <row r="728" ht="14.2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</row>
    <row r="729" ht="14.2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</row>
    <row r="730" ht="14.2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</row>
    <row r="731" ht="14.2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</row>
    <row r="732" ht="14.2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</row>
    <row r="733" ht="14.2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</row>
    <row r="734" ht="14.2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</row>
    <row r="735" ht="14.2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</row>
    <row r="736" ht="14.2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</row>
    <row r="737" ht="14.2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</row>
    <row r="738" ht="14.2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</row>
    <row r="739" ht="14.2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</row>
    <row r="740" ht="14.2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</row>
    <row r="741" ht="14.2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</row>
    <row r="742" ht="14.2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</row>
    <row r="743" ht="14.2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</row>
    <row r="744" ht="14.2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</row>
    <row r="745" ht="14.2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</row>
    <row r="746" ht="14.2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</row>
    <row r="747" ht="14.2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</row>
    <row r="748" ht="14.2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</row>
    <row r="749" ht="14.2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</row>
    <row r="750" ht="14.2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</row>
    <row r="751" ht="14.2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</row>
    <row r="752" ht="14.2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</row>
    <row r="753" ht="14.2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</row>
    <row r="754" ht="14.2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</row>
    <row r="755" ht="14.2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</row>
    <row r="756" ht="14.2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</row>
    <row r="757" ht="14.2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7"/>
    </row>
    <row r="758" ht="14.2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7"/>
    </row>
    <row r="759" ht="14.2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</row>
    <row r="760" ht="14.2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</row>
    <row r="761" ht="14.2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</row>
    <row r="762" ht="14.2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</row>
    <row r="763" ht="14.2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</row>
    <row r="764" ht="14.2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</row>
    <row r="765" ht="14.2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</row>
    <row r="766" ht="14.2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</row>
    <row r="767" ht="14.2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</row>
    <row r="768" ht="14.2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</row>
    <row r="769" ht="14.2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</row>
    <row r="770" ht="14.2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7"/>
    </row>
    <row r="771" ht="14.2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</row>
    <row r="772" ht="14.2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</row>
    <row r="773" ht="14.2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</row>
    <row r="774" ht="14.2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</row>
    <row r="775" ht="14.2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</row>
    <row r="776" ht="14.2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</row>
    <row r="777" ht="14.2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</row>
    <row r="778" ht="14.2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</row>
    <row r="779" ht="14.2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</row>
    <row r="780" ht="14.2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</row>
    <row r="781" ht="14.2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</row>
    <row r="782" ht="14.2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</row>
    <row r="783" ht="14.2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</row>
    <row r="784" ht="14.2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</row>
    <row r="785" ht="14.2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7"/>
    </row>
    <row r="786" ht="14.2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</row>
    <row r="787" ht="14.2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</row>
    <row r="788" ht="14.2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</row>
    <row r="789" ht="14.2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</row>
    <row r="790" ht="14.2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</row>
    <row r="791" ht="14.2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</row>
    <row r="792" ht="14.2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7"/>
    </row>
    <row r="793" ht="14.2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27"/>
    </row>
    <row r="794" ht="14.2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</row>
    <row r="795" ht="14.2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</row>
    <row r="796" ht="14.2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</row>
    <row r="797" ht="14.2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7"/>
    </row>
    <row r="798" ht="14.2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7"/>
    </row>
    <row r="799" ht="14.2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</row>
    <row r="800" ht="14.2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</row>
    <row r="801" ht="14.2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</row>
    <row r="802" ht="14.2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</row>
    <row r="803" ht="14.2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</row>
    <row r="804" ht="14.2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</row>
    <row r="805" ht="14.2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</row>
    <row r="806" ht="14.2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</row>
    <row r="807" ht="14.2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</row>
    <row r="808" ht="14.2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</row>
    <row r="809" ht="14.2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</row>
    <row r="810" ht="14.2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</row>
    <row r="811" ht="14.2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7"/>
    </row>
    <row r="812" ht="14.2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N812" s="27"/>
    </row>
    <row r="813" ht="14.2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27"/>
    </row>
    <row r="814" ht="14.2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</row>
    <row r="815" ht="14.2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</row>
    <row r="816" ht="14.2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7"/>
    </row>
    <row r="817" ht="14.2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7"/>
    </row>
    <row r="818" ht="14.2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7"/>
    </row>
    <row r="819" ht="14.2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</row>
    <row r="820" ht="14.2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</row>
    <row r="821" ht="14.2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</row>
    <row r="822" ht="14.2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</row>
    <row r="823" ht="14.2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</row>
    <row r="824" ht="14.2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</row>
    <row r="825" ht="14.2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</row>
    <row r="826" ht="14.2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</row>
    <row r="827" ht="14.2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</row>
    <row r="828" ht="14.2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7"/>
    </row>
    <row r="829" ht="14.2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</row>
    <row r="830" ht="14.2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7"/>
    </row>
    <row r="831" ht="14.2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</row>
    <row r="832" ht="14.2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7"/>
    </row>
    <row r="833" ht="14.2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7"/>
    </row>
    <row r="834" ht="14.2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</row>
    <row r="835" ht="14.2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</row>
    <row r="836" ht="14.2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7"/>
    </row>
    <row r="837" ht="14.2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7"/>
    </row>
    <row r="838" ht="14.2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</row>
    <row r="839" ht="14.2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</row>
    <row r="840" ht="14.2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</row>
    <row r="841" ht="14.2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7"/>
    </row>
    <row r="842" ht="14.2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7"/>
    </row>
    <row r="843" ht="14.2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</row>
    <row r="844" ht="14.2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</row>
    <row r="845" ht="14.2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27"/>
    </row>
    <row r="846" ht="14.2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27"/>
    </row>
    <row r="847" ht="14.2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</row>
    <row r="848" ht="14.2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7"/>
    </row>
    <row r="849" ht="14.2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</row>
    <row r="850" ht="14.2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</row>
    <row r="851" ht="14.2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</row>
    <row r="852" ht="14.2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N852" s="27"/>
    </row>
    <row r="853" ht="14.2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27"/>
    </row>
    <row r="854" ht="14.2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</row>
    <row r="855" ht="14.2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</row>
    <row r="856" ht="14.2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7"/>
    </row>
    <row r="857" ht="14.2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7"/>
    </row>
    <row r="858" ht="14.2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7"/>
    </row>
    <row r="859" ht="14.2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</row>
    <row r="860" ht="14.2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7"/>
    </row>
    <row r="861" ht="14.2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7"/>
    </row>
    <row r="862" ht="14.2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7"/>
    </row>
    <row r="863" ht="14.2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</row>
    <row r="864" ht="14.2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</row>
    <row r="865" ht="14.2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</row>
    <row r="866" ht="14.2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7"/>
    </row>
    <row r="867" ht="14.2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</row>
    <row r="868" ht="14.2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</row>
    <row r="869" ht="14.2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</row>
    <row r="870" ht="14.2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</row>
    <row r="871" ht="14.2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</row>
    <row r="872" ht="14.2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7"/>
    </row>
    <row r="873" ht="14.2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27"/>
    </row>
    <row r="874" ht="14.2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</row>
    <row r="875" ht="14.2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7"/>
    </row>
    <row r="876" ht="14.2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N876" s="27"/>
    </row>
    <row r="877" ht="14.2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27"/>
    </row>
    <row r="878" ht="14.2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27"/>
    </row>
    <row r="879" ht="14.2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</row>
    <row r="880" ht="14.2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N880" s="27"/>
    </row>
    <row r="881" ht="14.2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</row>
    <row r="882" ht="14.2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</row>
    <row r="883" ht="14.2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7"/>
    </row>
    <row r="884" ht="14.2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</row>
    <row r="885" ht="14.2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7"/>
    </row>
    <row r="886" ht="14.2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7"/>
    </row>
    <row r="887" ht="14.2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</row>
    <row r="888" ht="14.2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</row>
    <row r="889" ht="14.2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</row>
    <row r="890" ht="14.2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7"/>
    </row>
    <row r="891" ht="14.2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</row>
    <row r="892" ht="14.2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</row>
    <row r="893" ht="14.2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</row>
    <row r="894" ht="14.2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</row>
    <row r="895" ht="14.2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</row>
    <row r="896" ht="14.2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7"/>
    </row>
    <row r="897" ht="14.2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7"/>
    </row>
    <row r="898" ht="14.2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</row>
    <row r="899" ht="14.2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</row>
    <row r="900" ht="14.2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7"/>
    </row>
    <row r="901" ht="14.2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27"/>
    </row>
    <row r="902" ht="14.2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27"/>
    </row>
    <row r="903" ht="14.2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7"/>
    </row>
    <row r="904" ht="14.2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</row>
    <row r="905" ht="14.2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7"/>
    </row>
    <row r="906" ht="14.2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7"/>
    </row>
    <row r="907" ht="14.2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</row>
    <row r="908" ht="14.2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7"/>
    </row>
    <row r="909" ht="14.2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</row>
    <row r="910" ht="14.2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</row>
    <row r="911" ht="14.2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</row>
    <row r="912" ht="14.2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7"/>
    </row>
    <row r="913" ht="14.2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7"/>
    </row>
    <row r="914" ht="14.2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</row>
    <row r="915" ht="14.2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</row>
    <row r="916" ht="14.2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</row>
    <row r="917" ht="14.2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</row>
    <row r="918" ht="14.2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</row>
    <row r="919" ht="14.2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</row>
    <row r="920" ht="14.2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</row>
    <row r="921" ht="14.2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</row>
    <row r="922" ht="14.2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</row>
    <row r="923" ht="14.2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</row>
    <row r="924" ht="14.2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</row>
    <row r="925" ht="14.2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</row>
    <row r="926" ht="14.2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</row>
    <row r="927" ht="14.2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</row>
    <row r="928" ht="14.2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</row>
    <row r="929" ht="14.2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</row>
    <row r="930" ht="14.2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</row>
    <row r="931" ht="14.2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</row>
    <row r="932" ht="14.2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</row>
    <row r="933" ht="14.2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</row>
    <row r="934" ht="14.2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</row>
    <row r="935" ht="14.2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</row>
    <row r="936" ht="14.2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</row>
    <row r="937" ht="14.2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27"/>
    </row>
    <row r="938" ht="14.2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27"/>
    </row>
    <row r="939" ht="14.2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</row>
    <row r="940" ht="14.2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7"/>
    </row>
    <row r="941" ht="14.2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27"/>
    </row>
    <row r="942" ht="14.2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27"/>
    </row>
    <row r="943" ht="14.2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7"/>
    </row>
    <row r="944" ht="14.2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</row>
    <row r="945" ht="14.2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7"/>
    </row>
    <row r="946" ht="14.2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</row>
    <row r="947" ht="14.2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</row>
    <row r="948" ht="14.2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</row>
    <row r="949" ht="14.2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</row>
    <row r="950" ht="14.2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</row>
    <row r="951" ht="14.2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</row>
    <row r="952" ht="14.2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7"/>
    </row>
    <row r="953" ht="14.2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</row>
    <row r="954" ht="14.2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</row>
    <row r="955" ht="14.2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</row>
    <row r="956" ht="14.2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7"/>
    </row>
    <row r="957" ht="14.2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7"/>
    </row>
    <row r="958" ht="14.2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7"/>
    </row>
    <row r="959" ht="14.2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</row>
    <row r="960" ht="14.2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7"/>
    </row>
    <row r="961" ht="14.2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27"/>
    </row>
    <row r="962" ht="14.2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27"/>
    </row>
    <row r="963" ht="14.2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27"/>
    </row>
    <row r="964" ht="14.2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27"/>
    </row>
    <row r="965" ht="14.2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N965" s="27"/>
    </row>
    <row r="966" ht="14.2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  <c r="AN966" s="27"/>
    </row>
    <row r="967" ht="14.2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N967" s="27"/>
    </row>
    <row r="968" ht="14.2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  <c r="AN968" s="27"/>
    </row>
    <row r="969" ht="14.2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  <c r="AN969" s="27"/>
    </row>
    <row r="970" ht="14.2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N970" s="27"/>
    </row>
    <row r="971" ht="14.2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N971" s="27"/>
    </row>
    <row r="972" ht="14.2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  <c r="AN972" s="27"/>
    </row>
    <row r="973" ht="14.2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N973" s="27"/>
    </row>
    <row r="974" ht="14.2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7"/>
    </row>
    <row r="975" ht="14.2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27"/>
    </row>
    <row r="976" ht="14.2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7"/>
    </row>
    <row r="977" ht="14.2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27"/>
    </row>
    <row r="978" ht="14.2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27"/>
    </row>
    <row r="979" ht="14.2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7"/>
    </row>
    <row r="980" ht="14.2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27"/>
    </row>
    <row r="981" ht="14.2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27"/>
    </row>
    <row r="982" ht="14.2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27"/>
    </row>
    <row r="983" ht="14.2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</row>
    <row r="984" ht="14.2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</row>
    <row r="985" ht="14.2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27"/>
    </row>
    <row r="986" ht="14.2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27"/>
    </row>
    <row r="987" ht="14.2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</row>
    <row r="988" ht="14.2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7"/>
    </row>
    <row r="989" ht="14.2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27"/>
    </row>
    <row r="990" ht="14.2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27"/>
    </row>
    <row r="991" ht="14.2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</row>
    <row r="992" ht="14.2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</row>
    <row r="993" ht="14.2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  <c r="AL993" s="27"/>
      <c r="AM993" s="27"/>
      <c r="AN993" s="27"/>
    </row>
    <row r="994" ht="14.2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  <c r="AM994" s="27"/>
      <c r="AN994" s="27"/>
    </row>
    <row r="995" ht="14.2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  <c r="AJ995" s="27"/>
      <c r="AK995" s="27"/>
      <c r="AL995" s="27"/>
      <c r="AM995" s="27"/>
      <c r="AN995" s="27"/>
    </row>
    <row r="996" ht="14.2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  <c r="AI996" s="27"/>
      <c r="AJ996" s="27"/>
      <c r="AK996" s="27"/>
      <c r="AL996" s="27"/>
      <c r="AM996" s="27"/>
      <c r="AN996" s="27"/>
    </row>
    <row r="997" ht="14.2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  <c r="AI997" s="27"/>
      <c r="AJ997" s="27"/>
      <c r="AK997" s="27"/>
      <c r="AL997" s="27"/>
      <c r="AM997" s="27"/>
      <c r="AN997" s="27"/>
    </row>
    <row r="998" ht="14.2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  <c r="AI998" s="27"/>
      <c r="AJ998" s="27"/>
      <c r="AK998" s="27"/>
      <c r="AL998" s="27"/>
      <c r="AM998" s="27"/>
      <c r="AN998" s="27"/>
    </row>
    <row r="999" ht="14.2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  <c r="AH999" s="27"/>
      <c r="AI999" s="27"/>
      <c r="AJ999" s="27"/>
      <c r="AK999" s="27"/>
      <c r="AL999" s="27"/>
      <c r="AM999" s="27"/>
      <c r="AN999" s="27"/>
    </row>
    <row r="1000" ht="14.2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  <c r="AG1000" s="27"/>
      <c r="AH1000" s="27"/>
      <c r="AI1000" s="27"/>
      <c r="AJ1000" s="27"/>
      <c r="AK1000" s="27"/>
      <c r="AL1000" s="27"/>
      <c r="AM1000" s="27"/>
      <c r="AN1000" s="27"/>
    </row>
  </sheetData>
  <mergeCells count="25">
    <mergeCell ref="A1:AN2"/>
    <mergeCell ref="A5:AI5"/>
    <mergeCell ref="B7:E7"/>
    <mergeCell ref="H7:K7"/>
    <mergeCell ref="Q7:T7"/>
    <mergeCell ref="W7:Z7"/>
    <mergeCell ref="P10:W10"/>
    <mergeCell ref="AE21:AI21"/>
    <mergeCell ref="AE22:AI22"/>
    <mergeCell ref="AE25:AI25"/>
    <mergeCell ref="AE26:AI26"/>
    <mergeCell ref="A26:H26"/>
    <mergeCell ref="P26:W26"/>
    <mergeCell ref="A30:H30"/>
    <mergeCell ref="P30:W30"/>
    <mergeCell ref="A34:H34"/>
    <mergeCell ref="P34:W34"/>
    <mergeCell ref="A38:H38"/>
    <mergeCell ref="A10:H10"/>
    <mergeCell ref="A14:H14"/>
    <mergeCell ref="P14:W14"/>
    <mergeCell ref="A18:H18"/>
    <mergeCell ref="P18:W18"/>
    <mergeCell ref="A22:H22"/>
    <mergeCell ref="P22:W22"/>
  </mergeCells>
  <printOptions/>
  <pageMargins bottom="1.0" footer="0.0" header="0.0" left="0.75" right="0.75" top="1.0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5.75"/>
    <col customWidth="1" min="2" max="2" width="7.0"/>
    <col customWidth="1" hidden="1" min="3" max="3" width="6.13"/>
    <col customWidth="1" min="4" max="4" width="1.75"/>
    <col customWidth="1" min="5" max="5" width="7.0"/>
    <col customWidth="1" hidden="1" min="6" max="6" width="6.13"/>
    <col customWidth="1" min="7" max="7" width="1.75"/>
    <col customWidth="1" min="8" max="8" width="7.0"/>
    <col customWidth="1" hidden="1" min="9" max="9" width="6.13"/>
    <col customWidth="1" hidden="1" min="10" max="10" width="7.75"/>
    <col customWidth="1" hidden="1" min="11" max="11" width="7.38"/>
    <col customWidth="1" hidden="1" min="12" max="12" width="11.25"/>
    <col customWidth="1" hidden="1" min="13" max="13" width="8.0"/>
    <col customWidth="1" hidden="1" min="14" max="14" width="6.13"/>
    <col customWidth="1" min="15" max="15" width="8.75"/>
    <col customWidth="1" min="16" max="16" width="45.75"/>
    <col customWidth="1" min="17" max="17" width="7.0"/>
    <col customWidth="1" hidden="1" min="18" max="18" width="6.13"/>
    <col customWidth="1" min="19" max="19" width="1.75"/>
    <col customWidth="1" min="20" max="20" width="7.0"/>
    <col customWidth="1" hidden="1" min="21" max="21" width="6.13"/>
    <col customWidth="1" min="22" max="22" width="1.75"/>
    <col customWidth="1" min="23" max="23" width="7.0"/>
    <col customWidth="1" hidden="1" min="24" max="24" width="6.13"/>
    <col customWidth="1" hidden="1" min="25" max="25" width="7.75"/>
    <col customWidth="1" hidden="1" min="26" max="26" width="7.38"/>
    <col customWidth="1" hidden="1" min="27" max="27" width="11.25"/>
    <col customWidth="1" hidden="1" min="28" max="28" width="8.0"/>
    <col customWidth="1" hidden="1" min="29" max="29" width="6.13"/>
    <col customWidth="1" min="30" max="30" width="8.75"/>
    <col customWidth="1" min="31" max="31" width="45.75"/>
    <col customWidth="1" min="32" max="32" width="10.5"/>
    <col customWidth="1" min="33" max="35" width="8.75"/>
    <col customWidth="1" hidden="1" min="36" max="36" width="9.25"/>
    <col customWidth="1" hidden="1" min="37" max="37" width="12.0"/>
    <col customWidth="1" hidden="1" min="38" max="38" width="8.0"/>
    <col customWidth="1" hidden="1" min="39" max="40" width="41.13"/>
  </cols>
  <sheetData>
    <row r="1" ht="21.0" customHeight="1">
      <c r="A1" s="22" t="s">
        <v>0</v>
      </c>
    </row>
    <row r="2" ht="21.0" customHeight="1"/>
    <row r="3" ht="14.2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</row>
    <row r="4" ht="14.2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</row>
    <row r="5">
      <c r="A5" s="163" t="s">
        <v>114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6"/>
      <c r="AJ5" s="27"/>
      <c r="AK5" s="27"/>
      <c r="AL5" s="27"/>
      <c r="AM5" s="27"/>
      <c r="AN5" s="27"/>
    </row>
    <row r="6" ht="14.25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</row>
    <row r="7" ht="30.0" customHeight="1">
      <c r="A7" s="164" t="s">
        <v>58</v>
      </c>
      <c r="B7" s="165" t="s">
        <v>59</v>
      </c>
      <c r="C7" s="30"/>
      <c r="D7" s="30"/>
      <c r="E7" s="31"/>
      <c r="F7" s="166"/>
      <c r="G7" s="64"/>
      <c r="H7" s="164" t="s">
        <v>60</v>
      </c>
      <c r="I7" s="34"/>
      <c r="J7" s="34"/>
      <c r="K7" s="34"/>
      <c r="L7" s="34"/>
      <c r="M7" s="35"/>
      <c r="N7" s="35"/>
      <c r="O7" s="34"/>
      <c r="P7" s="164" t="s">
        <v>58</v>
      </c>
      <c r="Q7" s="165" t="s">
        <v>59</v>
      </c>
      <c r="R7" s="30"/>
      <c r="S7" s="30"/>
      <c r="T7" s="31"/>
      <c r="U7" s="166"/>
      <c r="V7" s="64"/>
      <c r="W7" s="164" t="s">
        <v>60</v>
      </c>
      <c r="X7" s="167"/>
      <c r="Y7" s="167"/>
      <c r="Z7" s="167"/>
      <c r="AA7" s="35"/>
      <c r="AB7" s="35"/>
      <c r="AC7" s="35"/>
      <c r="AD7" s="34"/>
      <c r="AE7" s="164" t="s">
        <v>61</v>
      </c>
      <c r="AF7" s="164" t="s">
        <v>62</v>
      </c>
      <c r="AG7" s="164" t="s">
        <v>63</v>
      </c>
      <c r="AH7" s="164" t="s">
        <v>64</v>
      </c>
      <c r="AI7" s="164" t="s">
        <v>65</v>
      </c>
      <c r="AJ7" s="36"/>
      <c r="AK7" s="36"/>
      <c r="AL7" s="36"/>
      <c r="AM7" s="27"/>
      <c r="AN7" s="27"/>
    </row>
    <row r="8" ht="14.25" hidden="1" customHeight="1">
      <c r="A8" s="27"/>
      <c r="B8" s="37" t="s">
        <v>66</v>
      </c>
      <c r="C8" s="37" t="s">
        <v>67</v>
      </c>
      <c r="D8" s="37"/>
      <c r="E8" s="37" t="s">
        <v>66</v>
      </c>
      <c r="F8" s="37" t="s">
        <v>68</v>
      </c>
      <c r="G8" s="37"/>
      <c r="H8" s="37" t="s">
        <v>66</v>
      </c>
      <c r="I8" s="37" t="s">
        <v>69</v>
      </c>
      <c r="J8" s="37" t="s">
        <v>70</v>
      </c>
      <c r="K8" s="37" t="s">
        <v>71</v>
      </c>
      <c r="L8" s="37" t="s">
        <v>72</v>
      </c>
      <c r="M8" s="37" t="s">
        <v>73</v>
      </c>
      <c r="N8" s="37" t="s">
        <v>74</v>
      </c>
      <c r="O8" s="27"/>
      <c r="P8" s="27"/>
      <c r="Q8" s="37" t="s">
        <v>66</v>
      </c>
      <c r="R8" s="37" t="s">
        <v>67</v>
      </c>
      <c r="S8" s="37"/>
      <c r="T8" s="37" t="s">
        <v>66</v>
      </c>
      <c r="U8" s="37" t="s">
        <v>68</v>
      </c>
      <c r="V8" s="37"/>
      <c r="W8" s="37" t="s">
        <v>66</v>
      </c>
      <c r="X8" s="168" t="s">
        <v>69</v>
      </c>
      <c r="Y8" s="168" t="s">
        <v>70</v>
      </c>
      <c r="Z8" s="168" t="s">
        <v>71</v>
      </c>
      <c r="AA8" s="37" t="s">
        <v>72</v>
      </c>
      <c r="AB8" s="37" t="s">
        <v>73</v>
      </c>
      <c r="AC8" s="37" t="s">
        <v>74</v>
      </c>
      <c r="AD8" s="27"/>
      <c r="AE8" s="36"/>
      <c r="AF8" s="36"/>
      <c r="AG8" s="36"/>
      <c r="AH8" s="36"/>
      <c r="AI8" s="36"/>
      <c r="AJ8" s="37" t="s">
        <v>75</v>
      </c>
      <c r="AK8" s="37" t="s">
        <v>89</v>
      </c>
      <c r="AL8" s="39" t="s">
        <v>76</v>
      </c>
      <c r="AM8" s="40" t="s">
        <v>77</v>
      </c>
      <c r="AN8" s="40" t="s">
        <v>90</v>
      </c>
    </row>
    <row r="9" ht="14.25" customHeight="1">
      <c r="A9" s="41" t="str">
        <f>AE9</f>
        <v>Jodie Stivala</v>
      </c>
      <c r="B9" s="42">
        <v>3.0</v>
      </c>
      <c r="C9" s="43">
        <f>IF(B9&gt;B11,1,0)</f>
        <v>0</v>
      </c>
      <c r="D9" s="44"/>
      <c r="E9" s="42">
        <v>6.0</v>
      </c>
      <c r="F9" s="43">
        <f>IF(E9&gt;E11,1,0)</f>
        <v>1</v>
      </c>
      <c r="G9" s="44"/>
      <c r="H9" s="42">
        <v>2.0</v>
      </c>
      <c r="I9" s="27">
        <f>IF(H9&gt;H11,1,0)</f>
        <v>0</v>
      </c>
      <c r="J9" s="27">
        <f>IF(B9="",0,1)</f>
        <v>1</v>
      </c>
      <c r="K9" s="27">
        <f>IF(C9+F9=2,3,IF(C9+F9=1,1,0))</f>
        <v>1</v>
      </c>
      <c r="L9" s="27">
        <f>IF(K9=3,3,IF(I9+K9=2,2,IF(K9=1,1,0)))</f>
        <v>1</v>
      </c>
      <c r="M9" s="27">
        <f>B9+E9</f>
        <v>9</v>
      </c>
      <c r="N9" s="27">
        <f>C9+F9+I9</f>
        <v>1</v>
      </c>
      <c r="O9" s="27"/>
      <c r="P9" s="41" t="str">
        <f>AE9</f>
        <v>Jodie Stivala</v>
      </c>
      <c r="Q9" s="42">
        <v>1.0</v>
      </c>
      <c r="R9" s="43">
        <f>IF(Q9&gt;Q11,1,0)</f>
        <v>0</v>
      </c>
      <c r="S9" s="44"/>
      <c r="T9" s="42">
        <v>1.0</v>
      </c>
      <c r="U9" s="43">
        <f>IF(T9&gt;T11,1,0)</f>
        <v>0</v>
      </c>
      <c r="V9" s="44"/>
      <c r="W9" s="45"/>
      <c r="X9" s="27">
        <f>IF(W9&gt;W11,1,0)</f>
        <v>0</v>
      </c>
      <c r="Y9" s="27">
        <f>IF(Q9="",0,1)</f>
        <v>1</v>
      </c>
      <c r="Z9" s="27">
        <f>IF(R9+U9=2,3,IF(R9+U9=1,1,0))</f>
        <v>0</v>
      </c>
      <c r="AA9" s="27">
        <f>IF(Z9=3,3,IF(X9+Z9=2,2,IF(Z9=1,1,0)))</f>
        <v>0</v>
      </c>
      <c r="AB9" s="27">
        <f>Q9+T9</f>
        <v>2</v>
      </c>
      <c r="AC9" s="27">
        <f>R9+U9+X9</f>
        <v>0</v>
      </c>
      <c r="AD9" s="27"/>
      <c r="AE9" s="169" t="str">
        <f>'Players - Ladies'!B29</f>
        <v>Jodie Stivala</v>
      </c>
      <c r="AF9" s="47">
        <f>J9+Y9+J13+Y13</f>
        <v>4</v>
      </c>
      <c r="AG9" s="47">
        <f t="shared" ref="AG9:AI9" si="1">L9+AA9+L13+AA13</f>
        <v>1</v>
      </c>
      <c r="AH9" s="47">
        <f t="shared" si="1"/>
        <v>16</v>
      </c>
      <c r="AI9" s="48">
        <f t="shared" si="1"/>
        <v>1</v>
      </c>
      <c r="AJ9" s="27">
        <f>MAX(AG9:AG19)</f>
        <v>12</v>
      </c>
      <c r="AK9" s="27">
        <f>LARGE(AG9:AG19, 2)</f>
        <v>9</v>
      </c>
      <c r="AL9" s="27">
        <f>SUM(AF9:AF19)</f>
        <v>20</v>
      </c>
      <c r="AM9" s="27" t="str">
        <f>IF(AG9=$AJ$9,AE9,IF(AG11=$AJ$9,AE11,IF(AG13=$AJ$9,AE13,IF(AG15=$AJ$9,AE15,IF(AG17=$AJ$9,AE17,"")))))</f>
        <v>Sabrina Xuereb</v>
      </c>
      <c r="AN9" s="27" t="str">
        <f>IF(AG9=$AK$9,AE9,IF(AG11=$AK$9,AE11,IF(AG13=$AK$9,AE13,IF(AG15=$AK$9,AE15,IF(AG17=$AK$9,AE17,"")))))</f>
        <v>Alida Borg</v>
      </c>
    </row>
    <row r="10" ht="14.25" customHeight="1">
      <c r="A10" s="49" t="s">
        <v>78</v>
      </c>
      <c r="H10" s="50"/>
      <c r="I10" s="51"/>
      <c r="J10" s="27"/>
      <c r="K10" s="27"/>
      <c r="L10" s="27"/>
      <c r="M10" s="27"/>
      <c r="N10" s="27"/>
      <c r="O10" s="27"/>
      <c r="P10" s="49" t="s">
        <v>78</v>
      </c>
      <c r="W10" s="50"/>
      <c r="X10" s="51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36"/>
      <c r="AL10" s="36"/>
      <c r="AM10" s="27"/>
      <c r="AN10" s="27"/>
    </row>
    <row r="11" ht="14.25" customHeight="1">
      <c r="A11" s="52" t="str">
        <f>AE11</f>
        <v>Tiziana Spiteri</v>
      </c>
      <c r="B11" s="42">
        <v>6.0</v>
      </c>
      <c r="C11" s="53">
        <f>IF(B11&gt;B9,1,0)</f>
        <v>1</v>
      </c>
      <c r="D11" s="54"/>
      <c r="E11" s="42">
        <v>3.0</v>
      </c>
      <c r="F11" s="53">
        <f>IF(E11&gt;E9,1,0)</f>
        <v>0</v>
      </c>
      <c r="G11" s="54"/>
      <c r="H11" s="42">
        <v>10.0</v>
      </c>
      <c r="I11" s="27">
        <f>IF(H11&gt;H9,1,0)</f>
        <v>1</v>
      </c>
      <c r="J11" s="27">
        <f>IF(B11="",0,1)</f>
        <v>1</v>
      </c>
      <c r="K11" s="27">
        <f>IF(C11+F11=2,3,IF(C11+F11=1,1,0))</f>
        <v>1</v>
      </c>
      <c r="L11" s="27">
        <f>IF(K11=3,3,IF(I11+K11=2,2,IF(K11=1,1,0)))</f>
        <v>2</v>
      </c>
      <c r="M11" s="27">
        <f>B11+E11</f>
        <v>9</v>
      </c>
      <c r="N11" s="27">
        <f>C11+F11+I11</f>
        <v>2</v>
      </c>
      <c r="O11" s="27"/>
      <c r="P11" s="52" t="str">
        <f>AE13</f>
        <v>Alida Borg</v>
      </c>
      <c r="Q11" s="42">
        <v>6.0</v>
      </c>
      <c r="R11" s="53">
        <f>IF(Q11&gt;Q9,1,0)</f>
        <v>1</v>
      </c>
      <c r="S11" s="54"/>
      <c r="T11" s="42">
        <v>6.0</v>
      </c>
      <c r="U11" s="53">
        <f>IF(T11&gt;T9,1,0)</f>
        <v>1</v>
      </c>
      <c r="V11" s="54"/>
      <c r="W11" s="45"/>
      <c r="X11" s="27">
        <f>IF(W11&gt;W9,1,0)</f>
        <v>0</v>
      </c>
      <c r="Y11" s="27">
        <f>IF(Q11="",0,1)</f>
        <v>1</v>
      </c>
      <c r="Z11" s="27">
        <f>IF(R11+U11=2,3,IF(R11+U11=1,1,0))</f>
        <v>3</v>
      </c>
      <c r="AA11" s="27">
        <f>IF(Z11=3,3,IF(X11+Z11=2,2,IF(Z11=1,1,0)))</f>
        <v>3</v>
      </c>
      <c r="AB11" s="27">
        <f>Q11+T11</f>
        <v>12</v>
      </c>
      <c r="AC11" s="27">
        <f>R11+U11+X11</f>
        <v>2</v>
      </c>
      <c r="AD11" s="27"/>
      <c r="AE11" s="169" t="str">
        <f>'Players - Ladies'!B30</f>
        <v>Tiziana Spiteri</v>
      </c>
      <c r="AF11" s="47">
        <f>J11+J21+Y21+Y17</f>
        <v>4</v>
      </c>
      <c r="AG11" s="47">
        <f t="shared" ref="AG11:AI11" si="2">L11+L21+AA21+AA17</f>
        <v>3</v>
      </c>
      <c r="AH11" s="47">
        <f t="shared" si="2"/>
        <v>30</v>
      </c>
      <c r="AI11" s="48">
        <f t="shared" si="2"/>
        <v>3</v>
      </c>
      <c r="AJ11" s="36"/>
      <c r="AK11" s="36"/>
      <c r="AL11" s="36"/>
      <c r="AM11" s="27"/>
      <c r="AN11" s="27"/>
    </row>
    <row r="12" ht="14.25" customHeight="1">
      <c r="A12" s="27"/>
      <c r="B12" s="27"/>
      <c r="C12" s="27"/>
      <c r="D12" s="27"/>
      <c r="E12" s="27"/>
      <c r="F12" s="27"/>
      <c r="G12" s="27"/>
      <c r="H12" s="53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53"/>
      <c r="X12" s="27"/>
      <c r="Y12" s="27"/>
      <c r="Z12" s="27"/>
      <c r="AA12" s="27"/>
      <c r="AB12" s="27"/>
      <c r="AC12" s="27"/>
      <c r="AD12" s="27"/>
      <c r="AE12" s="27"/>
      <c r="AF12" s="36"/>
      <c r="AG12" s="36"/>
      <c r="AH12" s="36"/>
      <c r="AI12" s="36"/>
      <c r="AJ12" s="36"/>
      <c r="AK12" s="36"/>
      <c r="AL12" s="36"/>
      <c r="AM12" s="27"/>
      <c r="AN12" s="27"/>
    </row>
    <row r="13" ht="14.25" customHeight="1">
      <c r="A13" s="41" t="str">
        <f>AE9</f>
        <v>Jodie Stivala</v>
      </c>
      <c r="B13" s="42">
        <v>2.0</v>
      </c>
      <c r="C13" s="43">
        <f>IF(B13&gt;B15,1,0)</f>
        <v>0</v>
      </c>
      <c r="D13" s="44"/>
      <c r="E13" s="42">
        <v>2.0</v>
      </c>
      <c r="F13" s="43">
        <f>IF(E13&gt;E15,1,0)</f>
        <v>0</v>
      </c>
      <c r="G13" s="44"/>
      <c r="H13" s="45"/>
      <c r="I13" s="27">
        <f>IF(H13&gt;H15,1,0)</f>
        <v>0</v>
      </c>
      <c r="J13" s="27">
        <f>IF(B13="",0,1)</f>
        <v>1</v>
      </c>
      <c r="K13" s="27">
        <f>IF(C13+F13=2,3,IF(C13+F13=1,1,0))</f>
        <v>0</v>
      </c>
      <c r="L13" s="27">
        <f>IF(K13=3,3,IF(I13+K13=2,2,IF(K13=1,1,0)))</f>
        <v>0</v>
      </c>
      <c r="M13" s="27">
        <f>B13+E13</f>
        <v>4</v>
      </c>
      <c r="N13" s="27">
        <f>C13+F13+I13</f>
        <v>0</v>
      </c>
      <c r="O13" s="27"/>
      <c r="P13" s="41" t="str">
        <f>AE9</f>
        <v>Jodie Stivala</v>
      </c>
      <c r="Q13" s="42">
        <v>0.0</v>
      </c>
      <c r="R13" s="43">
        <f>IF(Q13&gt;Q15,1,0)</f>
        <v>0</v>
      </c>
      <c r="S13" s="44"/>
      <c r="T13" s="42">
        <v>1.0</v>
      </c>
      <c r="U13" s="43">
        <f>IF(T13&gt;T15,1,0)</f>
        <v>0</v>
      </c>
      <c r="V13" s="44"/>
      <c r="W13" s="45"/>
      <c r="X13" s="27">
        <f>IF(W13&gt;W15,1,0)</f>
        <v>0</v>
      </c>
      <c r="Y13" s="27">
        <f>IF(Q13="",0,1)</f>
        <v>1</v>
      </c>
      <c r="Z13" s="27">
        <f>IF(R13+U13=2,3,IF(R13+U13=1,1,0))</f>
        <v>0</v>
      </c>
      <c r="AA13" s="27">
        <f>IF(Z13=3,3,IF(X13+Z13=2,2,IF(Z13=1,1,0)))</f>
        <v>0</v>
      </c>
      <c r="AB13" s="27">
        <f>Q13+T13</f>
        <v>1</v>
      </c>
      <c r="AC13" s="27">
        <f>R13+U13+X13</f>
        <v>0</v>
      </c>
      <c r="AD13" s="27"/>
      <c r="AE13" s="169" t="str">
        <f>'Players - Ladies'!B31</f>
        <v>Alida Borg</v>
      </c>
      <c r="AF13" s="47">
        <f>J17+Y11+J25+Y19</f>
        <v>4</v>
      </c>
      <c r="AG13" s="47">
        <f>AA11+L17+L25+AA19</f>
        <v>9</v>
      </c>
      <c r="AH13" s="47">
        <f>M17+AB11+M25+AB19</f>
        <v>40</v>
      </c>
      <c r="AI13" s="48">
        <f>AC11+N17+N25+AC19</f>
        <v>6</v>
      </c>
      <c r="AJ13" s="36"/>
      <c r="AK13" s="36"/>
      <c r="AL13" s="36"/>
      <c r="AM13" s="27"/>
      <c r="AN13" s="27"/>
    </row>
    <row r="14" ht="14.25" customHeight="1">
      <c r="A14" s="49" t="s">
        <v>78</v>
      </c>
      <c r="H14" s="50"/>
      <c r="I14" s="51"/>
      <c r="J14" s="27"/>
      <c r="K14" s="27"/>
      <c r="L14" s="27"/>
      <c r="M14" s="27"/>
      <c r="N14" s="27"/>
      <c r="O14" s="27"/>
      <c r="P14" s="49" t="s">
        <v>78</v>
      </c>
      <c r="W14" s="50"/>
      <c r="X14" s="51"/>
      <c r="Y14" s="27"/>
      <c r="Z14" s="27"/>
      <c r="AA14" s="27"/>
      <c r="AB14" s="27"/>
      <c r="AC14" s="27"/>
      <c r="AD14" s="27"/>
      <c r="AE14" s="27"/>
      <c r="AF14" s="36"/>
      <c r="AG14" s="36"/>
      <c r="AH14" s="36"/>
      <c r="AI14" s="36"/>
      <c r="AJ14" s="36"/>
      <c r="AK14" s="36"/>
      <c r="AL14" s="36"/>
      <c r="AM14" s="27"/>
      <c r="AN14" s="27"/>
    </row>
    <row r="15" ht="14.25" customHeight="1">
      <c r="A15" s="52" t="str">
        <f>AE15</f>
        <v>Janice Galea</v>
      </c>
      <c r="B15" s="42">
        <v>6.0</v>
      </c>
      <c r="C15" s="53">
        <f>IF(B15&gt;B13,1,0)</f>
        <v>1</v>
      </c>
      <c r="D15" s="54"/>
      <c r="E15" s="42">
        <v>6.0</v>
      </c>
      <c r="F15" s="53">
        <f>IF(E15&gt;E13,1,0)</f>
        <v>1</v>
      </c>
      <c r="G15" s="54"/>
      <c r="H15" s="45"/>
      <c r="I15" s="27">
        <f>IF(H15&gt;H13,1,0)</f>
        <v>0</v>
      </c>
      <c r="J15" s="27">
        <f>IF(B15="",0,1)</f>
        <v>1</v>
      </c>
      <c r="K15" s="27">
        <f>IF(C15+F15=2,3,IF(C15+F15=1,1,0))</f>
        <v>3</v>
      </c>
      <c r="L15" s="27">
        <f>IF(K15=3,3,IF(I15+K15=2,2,IF(K15=1,1,0)))</f>
        <v>3</v>
      </c>
      <c r="M15" s="27">
        <f>B15+E15</f>
        <v>12</v>
      </c>
      <c r="N15" s="27">
        <f>C15+F15+I15</f>
        <v>2</v>
      </c>
      <c r="O15" s="27"/>
      <c r="P15" s="52" t="str">
        <f>AE17</f>
        <v>Sabrina Xuereb</v>
      </c>
      <c r="Q15" s="42">
        <v>6.0</v>
      </c>
      <c r="R15" s="53">
        <f>IF(Q15&gt;Q13,1,0)</f>
        <v>1</v>
      </c>
      <c r="S15" s="54"/>
      <c r="T15" s="42">
        <v>6.0</v>
      </c>
      <c r="U15" s="53">
        <f>IF(T15&gt;T13,1,0)</f>
        <v>1</v>
      </c>
      <c r="V15" s="54"/>
      <c r="W15" s="45"/>
      <c r="X15" s="27">
        <f>IF(W15&gt;W13,1,0)</f>
        <v>0</v>
      </c>
      <c r="Y15" s="27">
        <f>IF(Q15="",0,1)</f>
        <v>1</v>
      </c>
      <c r="Z15" s="27">
        <f>IF(R15+U15=2,3,IF(R15+U15=1,1,0))</f>
        <v>3</v>
      </c>
      <c r="AA15" s="27">
        <f>IF(Z15=3,3,IF(X15+Z15=2,2,IF(Z15=1,1,0)))</f>
        <v>3</v>
      </c>
      <c r="AB15" s="27">
        <f>Q15+T15</f>
        <v>12</v>
      </c>
      <c r="AC15" s="27">
        <f>R15+U15+X15</f>
        <v>2</v>
      </c>
      <c r="AD15" s="27"/>
      <c r="AE15" s="169" t="str">
        <f>'Players - Ladies'!B32</f>
        <v>Janice Galea</v>
      </c>
      <c r="AF15" s="47">
        <f>Y27+J15+Y23+J27</f>
        <v>4</v>
      </c>
      <c r="AG15" s="47">
        <f t="shared" ref="AG15:AI15" si="3">AA27+L15+AA23+L27</f>
        <v>5</v>
      </c>
      <c r="AH15" s="47">
        <f t="shared" si="3"/>
        <v>41</v>
      </c>
      <c r="AI15" s="48">
        <f t="shared" si="3"/>
        <v>4</v>
      </c>
      <c r="AJ15" s="36"/>
      <c r="AK15" s="36"/>
      <c r="AL15" s="36"/>
      <c r="AM15" s="27"/>
      <c r="AN15" s="27"/>
    </row>
    <row r="16" ht="14.25" customHeight="1">
      <c r="A16" s="27"/>
      <c r="B16" s="36"/>
      <c r="C16" s="27"/>
      <c r="D16" s="27"/>
      <c r="E16" s="27"/>
      <c r="F16" s="27"/>
      <c r="G16" s="27"/>
      <c r="H16" s="53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53"/>
      <c r="X16" s="27"/>
      <c r="Y16" s="27"/>
      <c r="Z16" s="27"/>
      <c r="AA16" s="27"/>
      <c r="AB16" s="27"/>
      <c r="AC16" s="27"/>
      <c r="AD16" s="27"/>
      <c r="AE16" s="27"/>
      <c r="AF16" s="36"/>
      <c r="AG16" s="36"/>
      <c r="AH16" s="36"/>
      <c r="AI16" s="36"/>
      <c r="AJ16" s="36"/>
      <c r="AK16" s="36"/>
      <c r="AL16" s="36"/>
      <c r="AM16" s="27"/>
      <c r="AN16" s="27"/>
    </row>
    <row r="17" ht="14.25" customHeight="1">
      <c r="A17" s="41" t="str">
        <f>AE13</f>
        <v>Alida Borg</v>
      </c>
      <c r="B17" s="42">
        <v>0.0</v>
      </c>
      <c r="C17" s="43">
        <f>IF(B17&gt;B19,1,0)</f>
        <v>0</v>
      </c>
      <c r="D17" s="44"/>
      <c r="E17" s="42">
        <v>3.0</v>
      </c>
      <c r="F17" s="43">
        <f>IF(E17&gt;E19,1,0)</f>
        <v>0</v>
      </c>
      <c r="G17" s="44"/>
      <c r="H17" s="45"/>
      <c r="I17" s="27">
        <f>IF(H17&gt;H19,1,0)</f>
        <v>0</v>
      </c>
      <c r="J17" s="27">
        <f>IF(B17="",0,1)</f>
        <v>1</v>
      </c>
      <c r="K17" s="27">
        <f>IF(C17+F17=2,3,IF(C17+F17=1,1,0))</f>
        <v>0</v>
      </c>
      <c r="L17" s="27">
        <f>IF(K17=3,3,IF(I17+K17=2,2,IF(K17=1,1,0)))</f>
        <v>0</v>
      </c>
      <c r="M17" s="27">
        <f>B17+E17</f>
        <v>3</v>
      </c>
      <c r="N17" s="27">
        <f>C17+F17+I17</f>
        <v>0</v>
      </c>
      <c r="O17" s="27"/>
      <c r="P17" s="41" t="str">
        <f>AE11</f>
        <v>Tiziana Spiteri</v>
      </c>
      <c r="Q17" s="42">
        <v>3.0</v>
      </c>
      <c r="R17" s="43">
        <f>IF(Q17&gt;Q19,1,0)</f>
        <v>0</v>
      </c>
      <c r="S17" s="44"/>
      <c r="T17" s="42">
        <v>3.0</v>
      </c>
      <c r="U17" s="43">
        <f>IF(T17&gt;T19,1,0)</f>
        <v>0</v>
      </c>
      <c r="V17" s="44"/>
      <c r="W17" s="45"/>
      <c r="X17" s="27">
        <f>IF(W17&gt;W19,1,0)</f>
        <v>0</v>
      </c>
      <c r="Y17" s="27">
        <f>IF(Q17="",0,1)</f>
        <v>1</v>
      </c>
      <c r="Z17" s="27">
        <f>IF(R17+U17=2,3,IF(R17+U17=1,1,0))</f>
        <v>0</v>
      </c>
      <c r="AA17" s="27">
        <f>IF(Z17=3,3,IF(X17+Z17=2,2,IF(Z17=1,1,0)))</f>
        <v>0</v>
      </c>
      <c r="AB17" s="27">
        <f>Q17+T17</f>
        <v>6</v>
      </c>
      <c r="AC17" s="27">
        <f>R17+U17+X17</f>
        <v>0</v>
      </c>
      <c r="AD17" s="27"/>
      <c r="AE17" s="169" t="str">
        <f>'Players - Ladies'!B33</f>
        <v>Sabrina Xuereb</v>
      </c>
      <c r="AF17" s="47">
        <f>Y25+J23+Y15+J19</f>
        <v>4</v>
      </c>
      <c r="AG17" s="47">
        <f>AA25+L23+AA15+L19</f>
        <v>12</v>
      </c>
      <c r="AH17" s="47">
        <f>M19+AB15+M23+AB25</f>
        <v>49</v>
      </c>
      <c r="AI17" s="48">
        <f>AC25+N23+AC15+N19</f>
        <v>8</v>
      </c>
      <c r="AJ17" s="36"/>
      <c r="AK17" s="36"/>
      <c r="AL17" s="36"/>
      <c r="AM17" s="27"/>
      <c r="AN17" s="27"/>
    </row>
    <row r="18" ht="14.25" customHeight="1">
      <c r="A18" s="49"/>
      <c r="H18" s="50"/>
      <c r="I18" s="51"/>
      <c r="J18" s="27"/>
      <c r="K18" s="27"/>
      <c r="L18" s="27"/>
      <c r="M18" s="27"/>
      <c r="N18" s="27"/>
      <c r="O18" s="27"/>
      <c r="P18" s="49" t="s">
        <v>78</v>
      </c>
      <c r="W18" s="50"/>
      <c r="X18" s="51"/>
      <c r="Y18" s="27"/>
      <c r="Z18" s="27"/>
      <c r="AA18" s="27"/>
      <c r="AB18" s="27"/>
      <c r="AC18" s="27"/>
      <c r="AD18" s="27"/>
      <c r="AE18" s="27"/>
      <c r="AF18" s="36"/>
      <c r="AG18" s="36"/>
      <c r="AH18" s="36"/>
      <c r="AI18" s="36"/>
      <c r="AJ18" s="36"/>
      <c r="AK18" s="36"/>
      <c r="AL18" s="36"/>
      <c r="AM18" s="27"/>
      <c r="AN18" s="27"/>
    </row>
    <row r="19" ht="14.25" customHeight="1">
      <c r="A19" s="52" t="str">
        <f>AE17</f>
        <v>Sabrina Xuereb</v>
      </c>
      <c r="B19" s="42">
        <v>6.0</v>
      </c>
      <c r="C19" s="53">
        <f>IF(B19&gt;B17,1,0)</f>
        <v>1</v>
      </c>
      <c r="D19" s="54"/>
      <c r="E19" s="42">
        <v>6.0</v>
      </c>
      <c r="F19" s="53">
        <f>IF(E19&gt;E17,1,0)</f>
        <v>1</v>
      </c>
      <c r="G19" s="54"/>
      <c r="H19" s="45"/>
      <c r="I19" s="27">
        <f>IF(H19&gt;H17,1,0)</f>
        <v>0</v>
      </c>
      <c r="J19" s="27">
        <f>IF(B19="",0,1)</f>
        <v>1</v>
      </c>
      <c r="K19" s="27">
        <f>IF(C19+F19=2,3,IF(C19+F19=1,1,0))</f>
        <v>3</v>
      </c>
      <c r="L19" s="27">
        <f>IF(K19=3,3,IF(I19+K19=2,2,IF(K19=1,1,0)))</f>
        <v>3</v>
      </c>
      <c r="M19" s="27">
        <f>B19+E19</f>
        <v>12</v>
      </c>
      <c r="N19" s="27">
        <f>C19+F19+I19</f>
        <v>2</v>
      </c>
      <c r="O19" s="27"/>
      <c r="P19" s="52" t="str">
        <f>AE13</f>
        <v>Alida Borg</v>
      </c>
      <c r="Q19" s="42">
        <v>6.0</v>
      </c>
      <c r="R19" s="53">
        <f>IF(Q19&gt;Q17,1,0)</f>
        <v>1</v>
      </c>
      <c r="S19" s="54"/>
      <c r="T19" s="42">
        <v>6.0</v>
      </c>
      <c r="U19" s="53">
        <f>IF(T19&gt;T17,1,0)</f>
        <v>1</v>
      </c>
      <c r="V19" s="54"/>
      <c r="W19" s="45"/>
      <c r="X19" s="27">
        <f>IF(W19&gt;W17,1,0)</f>
        <v>0</v>
      </c>
      <c r="Y19" s="27">
        <f>IF(Q19="",0,1)</f>
        <v>1</v>
      </c>
      <c r="Z19" s="27">
        <f>IF(R19+U19=2,3,IF(R19+U19=1,1,0))</f>
        <v>3</v>
      </c>
      <c r="AA19" s="27">
        <f>IF(Z19=3,3,IF(X19+Z19=2,2,IF(Z19=1,1,0)))</f>
        <v>3</v>
      </c>
      <c r="AB19" s="27">
        <f>Q19+T19</f>
        <v>12</v>
      </c>
      <c r="AC19" s="27">
        <f>R19+U19+X19</f>
        <v>2</v>
      </c>
      <c r="AD19" s="27"/>
      <c r="AE19" s="59"/>
      <c r="AF19" s="36"/>
      <c r="AG19" s="36"/>
      <c r="AH19" s="36"/>
      <c r="AI19" s="36"/>
      <c r="AJ19" s="27"/>
      <c r="AK19" s="36"/>
      <c r="AL19" s="36"/>
      <c r="AM19" s="27"/>
      <c r="AN19" s="27"/>
    </row>
    <row r="20" ht="14.25" customHeight="1">
      <c r="A20" s="27"/>
      <c r="B20" s="27"/>
      <c r="C20" s="27"/>
      <c r="D20" s="27"/>
      <c r="E20" s="27"/>
      <c r="F20" s="27"/>
      <c r="G20" s="27"/>
      <c r="H20" s="53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53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36"/>
      <c r="AL20" s="27"/>
      <c r="AM20" s="27"/>
      <c r="AN20" s="27"/>
    </row>
    <row r="21" ht="14.25" customHeight="1">
      <c r="A21" s="41" t="str">
        <f>AE11</f>
        <v>Tiziana Spiteri</v>
      </c>
      <c r="B21" s="42">
        <v>0.0</v>
      </c>
      <c r="C21" s="43">
        <f>IF(B21&gt;B23,1,0)</f>
        <v>0</v>
      </c>
      <c r="D21" s="44"/>
      <c r="E21" s="42">
        <v>3.0</v>
      </c>
      <c r="F21" s="43">
        <f>IF(E21&gt;E23,1,0)</f>
        <v>0</v>
      </c>
      <c r="G21" s="44"/>
      <c r="H21" s="45"/>
      <c r="I21" s="27">
        <f>IF(H21&gt;H23,1,0)</f>
        <v>0</v>
      </c>
      <c r="J21" s="27">
        <f>IF(B21="",0,1)</f>
        <v>1</v>
      </c>
      <c r="K21" s="27">
        <f>IF(C21+F21=2,3,IF(C21+F21=1,1,0))</f>
        <v>0</v>
      </c>
      <c r="L21" s="27">
        <f>IF(K21=3,3,IF(I21+K21=2,2,IF(K21=1,1,0)))</f>
        <v>0</v>
      </c>
      <c r="M21" s="27">
        <f>B21+E21</f>
        <v>3</v>
      </c>
      <c r="N21" s="27">
        <f>C21+F21+I21</f>
        <v>0</v>
      </c>
      <c r="O21" s="27"/>
      <c r="P21" s="41" t="str">
        <f>AE11</f>
        <v>Tiziana Spiteri</v>
      </c>
      <c r="Q21" s="42">
        <v>5.0</v>
      </c>
      <c r="R21" s="43">
        <f>IF(Q21&gt;Q23,1,0)</f>
        <v>0</v>
      </c>
      <c r="S21" s="44"/>
      <c r="T21" s="42">
        <v>7.0</v>
      </c>
      <c r="U21" s="43">
        <f>IF(T21&gt;T23,1,0)</f>
        <v>1</v>
      </c>
      <c r="V21" s="44"/>
      <c r="W21" s="42">
        <v>4.0</v>
      </c>
      <c r="X21" s="27">
        <f>IF(W21&gt;W23,1,0)</f>
        <v>0</v>
      </c>
      <c r="Y21" s="27">
        <f>IF(Q21="",0,1)</f>
        <v>1</v>
      </c>
      <c r="Z21" s="27">
        <f>IF(R21+U21=2,3,IF(R21+U21=1,1,0))</f>
        <v>1</v>
      </c>
      <c r="AA21" s="27">
        <f>IF(Z21=3,3,IF(X21+Z21=2,2,IF(Z21=1,1,0)))</f>
        <v>1</v>
      </c>
      <c r="AB21" s="27">
        <f>Q21+T21</f>
        <v>12</v>
      </c>
      <c r="AC21" s="27">
        <f>R21+U21+X21</f>
        <v>1</v>
      </c>
      <c r="AD21" s="27"/>
      <c r="AE21" s="170" t="s">
        <v>91</v>
      </c>
      <c r="AF21" s="30"/>
      <c r="AG21" s="30"/>
      <c r="AH21" s="30"/>
      <c r="AI21" s="31"/>
      <c r="AJ21" s="27"/>
      <c r="AK21" s="27"/>
      <c r="AL21" s="27"/>
      <c r="AM21" s="27"/>
      <c r="AN21" s="27"/>
    </row>
    <row r="22" ht="14.25" customHeight="1">
      <c r="A22" s="49" t="s">
        <v>78</v>
      </c>
      <c r="H22" s="50"/>
      <c r="I22" s="51"/>
      <c r="J22" s="27"/>
      <c r="K22" s="27"/>
      <c r="L22" s="27"/>
      <c r="M22" s="27"/>
      <c r="N22" s="27"/>
      <c r="O22" s="27"/>
      <c r="P22" s="49" t="s">
        <v>78</v>
      </c>
      <c r="W22" s="50"/>
      <c r="X22" s="51"/>
      <c r="Y22" s="27"/>
      <c r="Z22" s="27"/>
      <c r="AA22" s="27"/>
      <c r="AB22" s="27"/>
      <c r="AC22" s="27"/>
      <c r="AD22" s="27"/>
      <c r="AE22" s="57" t="s">
        <v>119</v>
      </c>
      <c r="AF22" s="30"/>
      <c r="AG22" s="30"/>
      <c r="AH22" s="30"/>
      <c r="AI22" s="31"/>
      <c r="AJ22" s="27"/>
      <c r="AK22" s="36"/>
      <c r="AL22" s="27"/>
      <c r="AM22" s="27"/>
      <c r="AN22" s="27"/>
    </row>
    <row r="23" ht="14.25" customHeight="1">
      <c r="A23" s="52" t="str">
        <f>AE17</f>
        <v>Sabrina Xuereb</v>
      </c>
      <c r="B23" s="42">
        <v>6.0</v>
      </c>
      <c r="C23" s="53">
        <f>IF(B23&gt;B21,1,0)</f>
        <v>1</v>
      </c>
      <c r="D23" s="54"/>
      <c r="E23" s="42">
        <v>6.0</v>
      </c>
      <c r="F23" s="53">
        <f>IF(E23&gt;E21,1,0)</f>
        <v>1</v>
      </c>
      <c r="G23" s="54"/>
      <c r="H23" s="45"/>
      <c r="I23" s="27">
        <f>IF(H23&gt;H21,1,0)</f>
        <v>0</v>
      </c>
      <c r="J23" s="27">
        <f>IF(B23="",0,1)</f>
        <v>1</v>
      </c>
      <c r="K23" s="27">
        <f>IF(C23+F23=2,3,IF(C23+F23=1,1,0))</f>
        <v>3</v>
      </c>
      <c r="L23" s="27">
        <f>IF(K23=3,3,IF(I23+K23=2,2,IF(K23=1,1,0)))</f>
        <v>3</v>
      </c>
      <c r="M23" s="27">
        <f>B23+E23</f>
        <v>12</v>
      </c>
      <c r="N23" s="27">
        <f>C23+F23+I23</f>
        <v>2</v>
      </c>
      <c r="O23" s="27"/>
      <c r="P23" s="52" t="str">
        <f>AE15</f>
        <v>Janice Galea</v>
      </c>
      <c r="Q23" s="42">
        <v>7.0</v>
      </c>
      <c r="R23" s="53">
        <f>IF(Q23&gt;Q21,1,0)</f>
        <v>1</v>
      </c>
      <c r="S23" s="54"/>
      <c r="T23" s="42">
        <v>5.0</v>
      </c>
      <c r="U23" s="53">
        <f>IF(T23&gt;T21,1,0)</f>
        <v>0</v>
      </c>
      <c r="V23" s="54"/>
      <c r="W23" s="42">
        <v>10.0</v>
      </c>
      <c r="X23" s="27">
        <f>IF(W23&gt;W21,1,0)</f>
        <v>1</v>
      </c>
      <c r="Y23" s="27">
        <f>IF(Q23="",0,1)</f>
        <v>1</v>
      </c>
      <c r="Z23" s="27">
        <f>IF(R23+U23=2,3,IF(R23+U23=1,1,0))</f>
        <v>1</v>
      </c>
      <c r="AA23" s="27">
        <f>IF(Z23=3,3,IF(X23+Z23=2,2,IF(Z23=1,1,0)))</f>
        <v>2</v>
      </c>
      <c r="AB23" s="27">
        <f>Q23+T23</f>
        <v>12</v>
      </c>
      <c r="AC23" s="27">
        <f>R23+U23+X23</f>
        <v>2</v>
      </c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</row>
    <row r="24" ht="14.25" customHeight="1">
      <c r="A24" s="27"/>
      <c r="B24" s="27"/>
      <c r="C24" s="27"/>
      <c r="D24" s="27"/>
      <c r="E24" s="27"/>
      <c r="F24" s="27"/>
      <c r="G24" s="27"/>
      <c r="H24" s="53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53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</row>
    <row r="25" ht="14.25" customHeight="1">
      <c r="A25" s="41" t="str">
        <f>AE13</f>
        <v>Alida Borg</v>
      </c>
      <c r="B25" s="42">
        <v>6.0</v>
      </c>
      <c r="C25" s="43">
        <f>IF(B25&gt;B27,1,0)</f>
        <v>1</v>
      </c>
      <c r="D25" s="44"/>
      <c r="E25" s="42">
        <v>7.0</v>
      </c>
      <c r="F25" s="43">
        <f>IF(E25&gt;E27,1,0)</f>
        <v>1</v>
      </c>
      <c r="G25" s="44"/>
      <c r="H25" s="45"/>
      <c r="I25" s="27">
        <f>IF(H25&gt;H27,1,0)</f>
        <v>0</v>
      </c>
      <c r="J25" s="27">
        <f>IF(B25="",0,1)</f>
        <v>1</v>
      </c>
      <c r="K25" s="27">
        <f>IF(C25+F25=2,3,IF(C25+F25=1,1,0))</f>
        <v>3</v>
      </c>
      <c r="L25" s="27">
        <f>IF(K25=3,3,IF(I25+K25=2,2,IF(K25=1,1,0)))</f>
        <v>3</v>
      </c>
      <c r="M25" s="27">
        <f>B25+E25</f>
        <v>13</v>
      </c>
      <c r="N25" s="27">
        <f>C25+F25+I25</f>
        <v>2</v>
      </c>
      <c r="O25" s="27"/>
      <c r="P25" s="41" t="str">
        <f>AE17</f>
        <v>Sabrina Xuereb</v>
      </c>
      <c r="Q25" s="42">
        <v>6.0</v>
      </c>
      <c r="R25" s="43">
        <f>IF(Q25&gt;Q27,1,0)</f>
        <v>1</v>
      </c>
      <c r="S25" s="44"/>
      <c r="T25" s="42">
        <v>7.0</v>
      </c>
      <c r="U25" s="43">
        <f>IF(T25&gt;T27,1,0)</f>
        <v>1</v>
      </c>
      <c r="V25" s="44"/>
      <c r="W25" s="45"/>
      <c r="X25" s="27">
        <f>IF(W25&gt;W27,1,0)</f>
        <v>0</v>
      </c>
      <c r="Y25" s="27">
        <f>IF(Q25="",0,1)</f>
        <v>1</v>
      </c>
      <c r="Z25" s="27">
        <f>IF(R25+U25=2,3,IF(R25+U25=1,1,0))</f>
        <v>3</v>
      </c>
      <c r="AA25" s="27">
        <f>IF(Z25=3,3,IF(X25+Z25=2,2,IF(Z25=1,1,0)))</f>
        <v>3</v>
      </c>
      <c r="AB25" s="27">
        <f>Q25+T25</f>
        <v>13</v>
      </c>
      <c r="AC25" s="27">
        <f>R25+U25+X25</f>
        <v>2</v>
      </c>
      <c r="AD25" s="27"/>
      <c r="AE25" s="170" t="s">
        <v>120</v>
      </c>
      <c r="AF25" s="30"/>
      <c r="AG25" s="30"/>
      <c r="AH25" s="30"/>
      <c r="AI25" s="31"/>
      <c r="AJ25" s="27"/>
      <c r="AK25" s="27"/>
      <c r="AL25" s="27"/>
      <c r="AM25" s="27"/>
      <c r="AN25" s="27"/>
    </row>
    <row r="26" ht="14.25" customHeight="1">
      <c r="A26" s="49" t="s">
        <v>78</v>
      </c>
      <c r="H26" s="50"/>
      <c r="I26" s="51"/>
      <c r="J26" s="27"/>
      <c r="K26" s="27"/>
      <c r="L26" s="27"/>
      <c r="M26" s="27"/>
      <c r="N26" s="27"/>
      <c r="O26" s="27"/>
      <c r="P26" s="49" t="s">
        <v>78</v>
      </c>
      <c r="W26" s="50"/>
      <c r="X26" s="51"/>
      <c r="Y26" s="27"/>
      <c r="Z26" s="27"/>
      <c r="AA26" s="27"/>
      <c r="AB26" s="27"/>
      <c r="AC26" s="27"/>
      <c r="AD26" s="27"/>
      <c r="AE26" s="57" t="s">
        <v>117</v>
      </c>
      <c r="AF26" s="30"/>
      <c r="AG26" s="30"/>
      <c r="AH26" s="30"/>
      <c r="AI26" s="31"/>
      <c r="AJ26" s="27"/>
      <c r="AK26" s="27"/>
      <c r="AL26" s="27"/>
      <c r="AM26" s="27"/>
      <c r="AN26" s="27"/>
    </row>
    <row r="27" ht="14.25" customHeight="1">
      <c r="A27" s="52" t="str">
        <f>AE15</f>
        <v>Janice Galea</v>
      </c>
      <c r="B27" s="42">
        <v>3.0</v>
      </c>
      <c r="C27" s="53">
        <f>IF(B27&gt;B25,1,0)</f>
        <v>0</v>
      </c>
      <c r="D27" s="54"/>
      <c r="E27" s="42">
        <v>6.0</v>
      </c>
      <c r="F27" s="53">
        <f>IF(E27&gt;E25,1,0)</f>
        <v>0</v>
      </c>
      <c r="G27" s="54"/>
      <c r="H27" s="45"/>
      <c r="I27" s="27">
        <f>IF(H27&gt;H25,1,0)</f>
        <v>0</v>
      </c>
      <c r="J27" s="27">
        <f>IF(B27="",0,1)</f>
        <v>1</v>
      </c>
      <c r="K27" s="27">
        <f>IF(C27+F27=2,3,IF(C27+F27=1,1,0))</f>
        <v>0</v>
      </c>
      <c r="L27" s="27">
        <f>IF(K27=3,3,IF(I27+K27=2,2,IF(K27=1,1,0)))</f>
        <v>0</v>
      </c>
      <c r="M27" s="27">
        <f>B27+E27</f>
        <v>9</v>
      </c>
      <c r="N27" s="27">
        <f>C27+F27+I27</f>
        <v>0</v>
      </c>
      <c r="O27" s="27"/>
      <c r="P27" s="52" t="str">
        <f>AE15</f>
        <v>Janice Galea</v>
      </c>
      <c r="Q27" s="42">
        <v>3.0</v>
      </c>
      <c r="R27" s="53">
        <f>IF(Q27&gt;Q25,1,0)</f>
        <v>0</v>
      </c>
      <c r="S27" s="54"/>
      <c r="T27" s="42">
        <v>5.0</v>
      </c>
      <c r="U27" s="53">
        <f>IF(T27&gt;T25,1,0)</f>
        <v>0</v>
      </c>
      <c r="V27" s="54"/>
      <c r="W27" s="45"/>
      <c r="X27" s="27">
        <f>IF(W27&gt;W25,1,0)</f>
        <v>0</v>
      </c>
      <c r="Y27" s="27">
        <f>IF(Q27="",0,1)</f>
        <v>1</v>
      </c>
      <c r="Z27" s="27">
        <f>IF(R27+U27=2,3,IF(R27+U27=1,1,0))</f>
        <v>0</v>
      </c>
      <c r="AA27" s="27">
        <f>IF(Z27=3,3,IF(X27+Z27=2,2,IF(Z27=1,1,0)))</f>
        <v>0</v>
      </c>
      <c r="AB27" s="27">
        <f>Q27+T27</f>
        <v>8</v>
      </c>
      <c r="AC27" s="27">
        <f>R27+U27+X27</f>
        <v>0</v>
      </c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</row>
    <row r="28" ht="14.2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36"/>
      <c r="AI28" s="27"/>
      <c r="AJ28" s="27"/>
      <c r="AK28" s="27"/>
      <c r="AL28" s="27"/>
      <c r="AM28" s="27"/>
      <c r="AN28" s="27"/>
    </row>
    <row r="29" ht="14.25" customHeight="1">
      <c r="A29" s="27"/>
      <c r="B29" s="36"/>
      <c r="C29" s="27"/>
      <c r="D29" s="36"/>
      <c r="E29" s="36"/>
      <c r="F29" s="27"/>
      <c r="G29" s="36"/>
      <c r="H29" s="36"/>
      <c r="I29" s="27"/>
      <c r="J29" s="27"/>
      <c r="K29" s="27"/>
      <c r="L29" s="27"/>
      <c r="M29" s="27"/>
      <c r="N29" s="27"/>
      <c r="O29" s="27"/>
      <c r="P29" s="27"/>
      <c r="Q29" s="36"/>
      <c r="R29" s="27"/>
      <c r="S29" s="36"/>
      <c r="T29" s="36"/>
      <c r="U29" s="27"/>
      <c r="V29" s="36"/>
      <c r="W29" s="36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</row>
    <row r="30" ht="14.25" customHeight="1">
      <c r="A30" s="27"/>
      <c r="I30" s="51"/>
      <c r="J30" s="27"/>
      <c r="K30" s="27"/>
      <c r="L30" s="27"/>
      <c r="M30" s="27"/>
      <c r="N30" s="27"/>
      <c r="O30" s="27"/>
      <c r="P30" s="27"/>
      <c r="X30" s="51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58"/>
      <c r="AM30" s="27"/>
      <c r="AN30" s="27"/>
    </row>
    <row r="31" ht="14.25" customHeight="1">
      <c r="A31" s="27"/>
      <c r="B31" s="36"/>
      <c r="C31" s="27"/>
      <c r="D31" s="36"/>
      <c r="E31" s="36"/>
      <c r="F31" s="27"/>
      <c r="G31" s="36"/>
      <c r="H31" s="36"/>
      <c r="I31" s="27"/>
      <c r="J31" s="27"/>
      <c r="K31" s="27"/>
      <c r="L31" s="27"/>
      <c r="M31" s="27"/>
      <c r="N31" s="27"/>
      <c r="O31" s="27"/>
      <c r="P31" s="27"/>
      <c r="Q31" s="36"/>
      <c r="R31" s="27"/>
      <c r="S31" s="36"/>
      <c r="T31" s="36"/>
      <c r="U31" s="27"/>
      <c r="V31" s="36"/>
      <c r="W31" s="36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36"/>
    </row>
    <row r="32" ht="14.2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58"/>
      <c r="AM32" s="27"/>
      <c r="AN32" s="27"/>
    </row>
    <row r="33" ht="14.25" customHeight="1">
      <c r="A33" s="27"/>
      <c r="B33" s="36"/>
      <c r="C33" s="27"/>
      <c r="D33" s="36"/>
      <c r="E33" s="36"/>
      <c r="F33" s="27"/>
      <c r="G33" s="36"/>
      <c r="H33" s="36"/>
      <c r="I33" s="27"/>
      <c r="J33" s="27"/>
      <c r="K33" s="27"/>
      <c r="L33" s="27"/>
      <c r="M33" s="27"/>
      <c r="N33" s="27"/>
      <c r="O33" s="27"/>
      <c r="P33" s="27"/>
      <c r="Q33" s="36"/>
      <c r="R33" s="27"/>
      <c r="S33" s="36"/>
      <c r="T33" s="36"/>
      <c r="U33" s="27"/>
      <c r="V33" s="36"/>
      <c r="W33" s="36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</row>
    <row r="34" ht="14.25" customHeight="1">
      <c r="A34" s="27"/>
      <c r="I34" s="51"/>
      <c r="J34" s="27"/>
      <c r="K34" s="27"/>
      <c r="L34" s="27"/>
      <c r="M34" s="27"/>
      <c r="N34" s="27"/>
      <c r="O34" s="27"/>
      <c r="P34" s="27"/>
      <c r="X34" s="51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</row>
    <row r="35" ht="14.25" customHeight="1">
      <c r="A35" s="27"/>
      <c r="B35" s="36"/>
      <c r="C35" s="27"/>
      <c r="D35" s="36"/>
      <c r="E35" s="36"/>
      <c r="F35" s="27"/>
      <c r="G35" s="36"/>
      <c r="H35" s="36"/>
      <c r="I35" s="27"/>
      <c r="J35" s="27"/>
      <c r="K35" s="27"/>
      <c r="L35" s="27"/>
      <c r="M35" s="27"/>
      <c r="N35" s="27"/>
      <c r="O35" s="27"/>
      <c r="P35" s="27"/>
      <c r="Q35" s="36"/>
      <c r="R35" s="27"/>
      <c r="S35" s="36"/>
      <c r="T35" s="36"/>
      <c r="U35" s="27"/>
      <c r="V35" s="36"/>
      <c r="W35" s="36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</row>
    <row r="36" ht="14.2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36"/>
      <c r="AI36" s="27"/>
      <c r="AJ36" s="27"/>
      <c r="AK36" s="36"/>
      <c r="AL36" s="27"/>
      <c r="AM36" s="27"/>
      <c r="AN36" s="27"/>
    </row>
    <row r="37" ht="14.25" customHeight="1">
      <c r="A37" s="27"/>
      <c r="B37" s="36"/>
      <c r="C37" s="27"/>
      <c r="D37" s="36"/>
      <c r="E37" s="36"/>
      <c r="F37" s="27"/>
      <c r="G37" s="36"/>
      <c r="H37" s="36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36"/>
      <c r="AL37" s="27"/>
      <c r="AM37" s="27"/>
      <c r="AN37" s="27"/>
    </row>
    <row r="38" ht="14.25" customHeight="1">
      <c r="A38" s="27"/>
      <c r="I38" s="51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59"/>
      <c r="AK38" s="27"/>
      <c r="AL38" s="27"/>
      <c r="AM38" s="27"/>
      <c r="AN38" s="27"/>
    </row>
    <row r="39" ht="14.25" customHeight="1">
      <c r="A39" s="27"/>
      <c r="B39" s="36"/>
      <c r="C39" s="27"/>
      <c r="D39" s="36"/>
      <c r="E39" s="36"/>
      <c r="F39" s="27"/>
      <c r="G39" s="36"/>
      <c r="H39" s="36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</row>
    <row r="40" ht="14.2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</row>
    <row r="41" ht="14.2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59"/>
      <c r="AK41" s="27"/>
      <c r="AL41" s="27"/>
      <c r="AM41" s="27"/>
      <c r="AN41" s="27"/>
    </row>
    <row r="42" ht="14.2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</row>
    <row r="43" ht="14.2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</row>
    <row r="44" ht="14.2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</row>
    <row r="45" ht="14.2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</row>
    <row r="46" ht="14.2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59"/>
      <c r="AK46" s="27"/>
      <c r="AL46" s="36"/>
      <c r="AM46" s="27"/>
      <c r="AN46" s="27"/>
    </row>
    <row r="47" ht="14.2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</row>
    <row r="48" ht="14.2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</row>
    <row r="49" ht="14.2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</row>
    <row r="50" ht="14.2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</row>
    <row r="51" ht="14.2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59"/>
      <c r="AK51" s="27"/>
      <c r="AL51" s="27"/>
      <c r="AM51" s="27"/>
      <c r="AN51" s="36"/>
    </row>
    <row r="52" ht="14.2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</row>
    <row r="53" ht="14.2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</row>
    <row r="54" ht="14.2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55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</row>
    <row r="55" ht="14.2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36"/>
      <c r="AI55" s="27"/>
      <c r="AJ55" s="27"/>
      <c r="AK55" s="36"/>
      <c r="AL55" s="27"/>
      <c r="AM55" s="27"/>
      <c r="AN55" s="27"/>
    </row>
    <row r="56" ht="14.2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</row>
    <row r="57" ht="14.2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</row>
    <row r="58" ht="14.2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</row>
    <row r="59" ht="14.2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</row>
    <row r="60" ht="14.2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</row>
    <row r="61" ht="14.2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</row>
    <row r="62" ht="14.2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</row>
    <row r="63" ht="14.2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</row>
    <row r="64" ht="14.2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</row>
    <row r="65" ht="14.2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</row>
    <row r="66" ht="14.2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</row>
    <row r="67" ht="14.2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</row>
    <row r="68" ht="14.2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</row>
    <row r="69" ht="14.2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</row>
    <row r="70" ht="14.2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</row>
    <row r="71" ht="14.2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</row>
    <row r="72" ht="14.2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</row>
    <row r="73" ht="14.2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</row>
    <row r="74" ht="14.2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</row>
    <row r="75" ht="14.2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</row>
    <row r="76" ht="14.2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</row>
    <row r="77" ht="14.2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</row>
    <row r="78" ht="14.2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</row>
    <row r="79" ht="14.2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</row>
    <row r="80" ht="14.2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</row>
    <row r="81" ht="14.2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</row>
    <row r="82" ht="14.2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</row>
    <row r="83" ht="14.2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</row>
    <row r="84" ht="14.2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</row>
    <row r="85" ht="14.2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</row>
    <row r="86" ht="14.2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</row>
    <row r="87" ht="14.2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</row>
    <row r="88" ht="14.2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</row>
    <row r="89" ht="14.2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</row>
    <row r="90" ht="14.2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</row>
    <row r="91" ht="14.2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</row>
    <row r="92" ht="14.2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</row>
    <row r="93" ht="14.2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</row>
    <row r="94" ht="14.2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</row>
    <row r="95" ht="14.2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</row>
    <row r="96" ht="14.2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</row>
    <row r="97" ht="14.2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</row>
    <row r="98" ht="14.2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</row>
    <row r="99" ht="14.2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</row>
    <row r="100" ht="14.2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</row>
    <row r="101" ht="14.2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</row>
    <row r="102" ht="14.2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</row>
    <row r="103" ht="14.2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</row>
    <row r="104" ht="14.2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</row>
    <row r="105" ht="14.2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36"/>
      <c r="R105" s="36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</row>
    <row r="106" ht="14.2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</row>
    <row r="107" ht="14.2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</row>
    <row r="108" ht="14.2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</row>
    <row r="109" ht="14.2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</row>
    <row r="110" ht="14.2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</row>
    <row r="111" ht="14.2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</row>
    <row r="112" ht="14.2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</row>
    <row r="113" ht="14.2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</row>
    <row r="114" ht="14.2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</row>
    <row r="115" ht="14.2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</row>
    <row r="116" ht="14.2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</row>
    <row r="117" ht="14.2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</row>
    <row r="118" ht="14.2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</row>
    <row r="119" ht="14.2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</row>
    <row r="120" ht="14.2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</row>
    <row r="121" ht="14.2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</row>
    <row r="122" ht="14.2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</row>
    <row r="123" ht="14.2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</row>
    <row r="124" ht="14.2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</row>
    <row r="125" ht="14.2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</row>
    <row r="126" ht="14.2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</row>
    <row r="127" ht="14.2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</row>
    <row r="128" ht="14.2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</row>
    <row r="129" ht="14.2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</row>
    <row r="130" ht="14.2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</row>
    <row r="131" ht="14.2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</row>
    <row r="132" ht="14.2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</row>
    <row r="133" ht="14.2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</row>
    <row r="134" ht="14.2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</row>
    <row r="135" ht="14.2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</row>
    <row r="136" ht="14.2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</row>
    <row r="137" ht="14.2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</row>
    <row r="138" ht="14.2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</row>
    <row r="139" ht="14.2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</row>
    <row r="140" ht="14.2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</row>
    <row r="141" ht="14.2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</row>
    <row r="142" ht="14.2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</row>
    <row r="143" ht="14.2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</row>
    <row r="144" ht="14.2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</row>
    <row r="145" ht="14.2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</row>
    <row r="146" ht="14.2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</row>
    <row r="147" ht="14.2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</row>
    <row r="148" ht="14.2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</row>
    <row r="149" ht="14.2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</row>
    <row r="150" ht="14.2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</row>
    <row r="151" ht="14.2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</row>
    <row r="152" ht="14.2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</row>
    <row r="153" ht="14.2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</row>
    <row r="154" ht="14.2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</row>
    <row r="155" ht="14.2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</row>
    <row r="156" ht="14.2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</row>
    <row r="157" ht="14.2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</row>
    <row r="158" ht="14.2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</row>
    <row r="159" ht="14.2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</row>
    <row r="160" ht="14.2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</row>
    <row r="161" ht="14.2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</row>
    <row r="162" ht="14.2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</row>
    <row r="163" ht="14.2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</row>
    <row r="164" ht="14.2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</row>
    <row r="165" ht="14.2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</row>
    <row r="166" ht="14.2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</row>
    <row r="167" ht="14.2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</row>
    <row r="168" ht="14.2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</row>
    <row r="169" ht="14.2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</row>
    <row r="170" ht="14.2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</row>
    <row r="171" ht="14.2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</row>
    <row r="172" ht="14.2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</row>
    <row r="173" ht="14.2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</row>
    <row r="174" ht="14.2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</row>
    <row r="175" ht="14.2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</row>
    <row r="176" ht="14.2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</row>
    <row r="177" ht="14.2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</row>
    <row r="178" ht="14.2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</row>
    <row r="179" ht="14.2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</row>
    <row r="180" ht="14.2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</row>
    <row r="181" ht="14.2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</row>
    <row r="182" ht="14.2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</row>
    <row r="183" ht="14.2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</row>
    <row r="184" ht="14.2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</row>
    <row r="185" ht="14.2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</row>
    <row r="186" ht="14.2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</row>
    <row r="187" ht="14.2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</row>
    <row r="188" ht="14.2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</row>
    <row r="189" ht="14.2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</row>
    <row r="190" ht="14.2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</row>
    <row r="191" ht="14.2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</row>
    <row r="192" ht="14.2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</row>
    <row r="193" ht="14.2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</row>
    <row r="194" ht="14.2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</row>
    <row r="195" ht="14.2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</row>
    <row r="196" ht="14.2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</row>
    <row r="197" ht="14.2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</row>
    <row r="198" ht="14.2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</row>
    <row r="199" ht="14.2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</row>
    <row r="200" ht="14.2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</row>
    <row r="201" ht="14.2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</row>
    <row r="202" ht="14.2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</row>
    <row r="203" ht="14.2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</row>
    <row r="204" ht="14.2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</row>
    <row r="205" ht="14.2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</row>
    <row r="206" ht="14.2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</row>
    <row r="207" ht="14.2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</row>
    <row r="208" ht="14.2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</row>
    <row r="209" ht="14.2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</row>
    <row r="210" ht="14.2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</row>
    <row r="211" ht="14.2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</row>
    <row r="212" ht="14.2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</row>
    <row r="213" ht="14.2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</row>
    <row r="214" ht="14.2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</row>
    <row r="215" ht="14.2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</row>
    <row r="216" ht="14.2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</row>
    <row r="217" ht="14.2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</row>
    <row r="218" ht="14.2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</row>
    <row r="219" ht="14.2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</row>
    <row r="220" ht="14.2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</row>
    <row r="221" ht="14.2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</row>
    <row r="222" ht="14.2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</row>
    <row r="223" ht="14.2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</row>
    <row r="224" ht="14.2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</row>
    <row r="225" ht="14.2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</row>
    <row r="226" ht="14.2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</row>
    <row r="227" ht="14.2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</row>
    <row r="228" ht="14.2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</row>
    <row r="229" ht="14.2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</row>
    <row r="230" ht="14.2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</row>
    <row r="231" ht="14.2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</row>
    <row r="232" ht="14.2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</row>
    <row r="233" ht="14.2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</row>
    <row r="234" ht="14.2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</row>
    <row r="235" ht="14.2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</row>
    <row r="236" ht="14.2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</row>
    <row r="237" ht="14.2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</row>
    <row r="238" ht="14.2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</row>
    <row r="239" ht="14.2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</row>
    <row r="240" ht="14.2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</row>
    <row r="241" ht="14.2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</row>
    <row r="242" ht="14.2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</row>
    <row r="243" ht="14.2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</row>
    <row r="244" ht="14.2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</row>
    <row r="245" ht="14.2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</row>
    <row r="246" ht="14.2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</row>
    <row r="247" ht="14.2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</row>
    <row r="248" ht="14.2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</row>
    <row r="249" ht="14.2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</row>
    <row r="250" ht="14.2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</row>
    <row r="251" ht="14.2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</row>
    <row r="252" ht="14.2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</row>
    <row r="253" ht="14.2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</row>
    <row r="254" ht="14.2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</row>
    <row r="255" ht="14.2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</row>
    <row r="256" ht="14.2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</row>
    <row r="257" ht="14.2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</row>
    <row r="258" ht="14.2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</row>
    <row r="259" ht="14.2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</row>
    <row r="260" ht="14.2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</row>
    <row r="261" ht="14.2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</row>
    <row r="262" ht="14.2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</row>
    <row r="263" ht="14.2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</row>
    <row r="264" ht="14.2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</row>
    <row r="265" ht="14.2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</row>
    <row r="266" ht="14.2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</row>
    <row r="267" ht="14.2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</row>
    <row r="268" ht="14.2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</row>
    <row r="269" ht="14.2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</row>
    <row r="270" ht="14.2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</row>
    <row r="271" ht="14.2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</row>
    <row r="272" ht="14.2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</row>
    <row r="273" ht="14.2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</row>
    <row r="274" ht="14.2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</row>
    <row r="275" ht="14.2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</row>
    <row r="276" ht="14.2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</row>
    <row r="277" ht="14.2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</row>
    <row r="278" ht="14.2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</row>
    <row r="279" ht="14.2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</row>
    <row r="280" ht="14.2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</row>
    <row r="281" ht="14.2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</row>
    <row r="282" ht="14.2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</row>
    <row r="283" ht="14.2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</row>
    <row r="284" ht="14.2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</row>
    <row r="285" ht="14.2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</row>
    <row r="286" ht="14.2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</row>
    <row r="287" ht="14.2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</row>
    <row r="288" ht="14.2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</row>
    <row r="289" ht="14.2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</row>
    <row r="290" ht="14.2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</row>
    <row r="291" ht="14.2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</row>
    <row r="292" ht="14.2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</row>
    <row r="293" ht="14.2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</row>
    <row r="294" ht="14.2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</row>
    <row r="295" ht="14.2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</row>
    <row r="296" ht="14.2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</row>
    <row r="297" ht="14.2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</row>
    <row r="298" ht="14.2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</row>
    <row r="299" ht="14.2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</row>
    <row r="300" ht="14.2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</row>
    <row r="301" ht="14.2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</row>
    <row r="302" ht="14.2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</row>
    <row r="303" ht="14.2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</row>
    <row r="304" ht="14.2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</row>
    <row r="305" ht="14.2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</row>
    <row r="306" ht="14.2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</row>
    <row r="307" ht="14.2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</row>
    <row r="308" ht="14.2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</row>
    <row r="309" ht="14.2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</row>
    <row r="310" ht="14.2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</row>
    <row r="311" ht="14.2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</row>
    <row r="312" ht="14.2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</row>
    <row r="313" ht="14.2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</row>
    <row r="314" ht="14.2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</row>
    <row r="315" ht="14.2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</row>
    <row r="316" ht="14.2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</row>
    <row r="317" ht="14.2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</row>
    <row r="318" ht="14.2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</row>
    <row r="319" ht="14.2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</row>
    <row r="320" ht="14.2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</row>
    <row r="321" ht="14.2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</row>
    <row r="322" ht="14.2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</row>
    <row r="323" ht="14.2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</row>
    <row r="324" ht="14.2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</row>
    <row r="325" ht="14.2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</row>
    <row r="326" ht="14.2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</row>
    <row r="327" ht="14.2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</row>
    <row r="328" ht="14.2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</row>
    <row r="329" ht="14.2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</row>
    <row r="330" ht="14.2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</row>
    <row r="331" ht="14.2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</row>
    <row r="332" ht="14.2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</row>
    <row r="333" ht="14.2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</row>
    <row r="334" ht="14.2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</row>
    <row r="335" ht="14.2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</row>
    <row r="336" ht="14.2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</row>
    <row r="337" ht="14.2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</row>
    <row r="338" ht="14.2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</row>
    <row r="339" ht="14.2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</row>
    <row r="340" ht="14.2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</row>
    <row r="341" ht="14.2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</row>
    <row r="342" ht="14.2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</row>
    <row r="343" ht="14.2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</row>
    <row r="344" ht="14.2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</row>
    <row r="345" ht="14.2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</row>
    <row r="346" ht="14.2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</row>
    <row r="347" ht="14.2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</row>
    <row r="348" ht="14.2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</row>
    <row r="349" ht="14.2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</row>
    <row r="350" ht="14.2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</row>
    <row r="351" ht="14.2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</row>
    <row r="352" ht="14.2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</row>
    <row r="353" ht="14.2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</row>
    <row r="354" ht="14.2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</row>
    <row r="355" ht="14.2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</row>
    <row r="356" ht="14.2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</row>
    <row r="357" ht="14.2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</row>
    <row r="358" ht="14.2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</row>
    <row r="359" ht="14.2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</row>
    <row r="360" ht="14.2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</row>
    <row r="361" ht="14.2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</row>
    <row r="362" ht="14.2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</row>
    <row r="363" ht="14.2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</row>
    <row r="364" ht="14.2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</row>
    <row r="365" ht="14.2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</row>
    <row r="366" ht="14.2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</row>
    <row r="367" ht="14.2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</row>
    <row r="368" ht="14.2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</row>
    <row r="369" ht="14.2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</row>
    <row r="370" ht="14.2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</row>
    <row r="371" ht="14.2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</row>
    <row r="372" ht="14.2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</row>
    <row r="373" ht="14.2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</row>
    <row r="374" ht="14.2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</row>
    <row r="375" ht="14.2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</row>
    <row r="376" ht="14.2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</row>
    <row r="377" ht="14.2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</row>
    <row r="378" ht="14.2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</row>
    <row r="379" ht="14.2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</row>
    <row r="380" ht="14.2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</row>
    <row r="381" ht="14.2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</row>
    <row r="382" ht="14.2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</row>
    <row r="383" ht="14.2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</row>
    <row r="384" ht="14.2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</row>
    <row r="385" ht="14.2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</row>
    <row r="386" ht="14.2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</row>
    <row r="387" ht="14.2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</row>
    <row r="388" ht="14.2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</row>
    <row r="389" ht="14.2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</row>
    <row r="390" ht="14.2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</row>
    <row r="391" ht="14.2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</row>
    <row r="392" ht="14.2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</row>
    <row r="393" ht="14.2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</row>
    <row r="394" ht="14.2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</row>
    <row r="395" ht="14.2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</row>
    <row r="396" ht="14.2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</row>
    <row r="397" ht="14.2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</row>
    <row r="398" ht="14.2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</row>
    <row r="399" ht="14.2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</row>
    <row r="400" ht="14.2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</row>
    <row r="401" ht="14.2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</row>
    <row r="402" ht="14.2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</row>
    <row r="403" ht="14.2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</row>
    <row r="404" ht="14.2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</row>
    <row r="405" ht="14.2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</row>
    <row r="406" ht="14.2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</row>
    <row r="407" ht="14.2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</row>
    <row r="408" ht="14.2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</row>
    <row r="409" ht="14.2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</row>
    <row r="410" ht="14.2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</row>
    <row r="411" ht="14.2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</row>
    <row r="412" ht="14.2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</row>
    <row r="413" ht="14.2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</row>
    <row r="414" ht="14.2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</row>
    <row r="415" ht="14.2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</row>
    <row r="416" ht="14.2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</row>
    <row r="417" ht="14.2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</row>
    <row r="418" ht="14.2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</row>
    <row r="419" ht="14.2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</row>
    <row r="420" ht="14.2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</row>
    <row r="421" ht="14.2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</row>
    <row r="422" ht="14.2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</row>
    <row r="423" ht="14.2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</row>
    <row r="424" ht="14.2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</row>
    <row r="425" ht="14.2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</row>
    <row r="426" ht="14.2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</row>
    <row r="427" ht="14.2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</row>
    <row r="428" ht="14.2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</row>
    <row r="429" ht="14.2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</row>
    <row r="430" ht="14.2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</row>
    <row r="431" ht="14.2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</row>
    <row r="432" ht="14.2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</row>
    <row r="433" ht="14.2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</row>
    <row r="434" ht="14.2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</row>
    <row r="435" ht="14.2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</row>
    <row r="436" ht="14.2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</row>
    <row r="437" ht="14.2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</row>
    <row r="438" ht="14.2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</row>
    <row r="439" ht="14.2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</row>
    <row r="440" ht="14.2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</row>
    <row r="441" ht="14.2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</row>
    <row r="442" ht="14.2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</row>
    <row r="443" ht="14.2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</row>
    <row r="444" ht="14.2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</row>
    <row r="445" ht="14.2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</row>
    <row r="446" ht="14.2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</row>
    <row r="447" ht="14.2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</row>
    <row r="448" ht="14.2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</row>
    <row r="449" ht="14.2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</row>
    <row r="450" ht="14.2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</row>
    <row r="451" ht="14.2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</row>
    <row r="452" ht="14.2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</row>
    <row r="453" ht="14.2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</row>
    <row r="454" ht="14.2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</row>
    <row r="455" ht="14.2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</row>
    <row r="456" ht="14.2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</row>
    <row r="457" ht="14.2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</row>
    <row r="458" ht="14.2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</row>
    <row r="459" ht="14.2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</row>
    <row r="460" ht="14.2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</row>
    <row r="461" ht="14.2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</row>
    <row r="462" ht="14.2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</row>
    <row r="463" ht="14.2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</row>
    <row r="464" ht="14.2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</row>
    <row r="465" ht="14.2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</row>
    <row r="466" ht="14.2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</row>
    <row r="467" ht="14.2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</row>
    <row r="468" ht="14.2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</row>
    <row r="469" ht="14.2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</row>
    <row r="470" ht="14.2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</row>
    <row r="471" ht="14.2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</row>
    <row r="472" ht="14.2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</row>
    <row r="473" ht="14.2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</row>
    <row r="474" ht="14.2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</row>
    <row r="475" ht="14.2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</row>
    <row r="476" ht="14.2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</row>
    <row r="477" ht="14.2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</row>
    <row r="478" ht="14.2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</row>
    <row r="479" ht="14.2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</row>
    <row r="480" ht="14.2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</row>
    <row r="481" ht="14.2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</row>
    <row r="482" ht="14.2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</row>
    <row r="483" ht="14.2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</row>
    <row r="484" ht="14.2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</row>
    <row r="485" ht="14.2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</row>
    <row r="486" ht="14.2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</row>
    <row r="487" ht="14.2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</row>
    <row r="488" ht="14.2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</row>
    <row r="489" ht="14.2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</row>
    <row r="490" ht="14.2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</row>
    <row r="491" ht="14.2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</row>
    <row r="492" ht="14.2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</row>
    <row r="493" ht="14.2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</row>
    <row r="494" ht="14.2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</row>
    <row r="495" ht="14.2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</row>
    <row r="496" ht="14.2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</row>
    <row r="497" ht="14.2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</row>
    <row r="498" ht="14.2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</row>
    <row r="499" ht="14.2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</row>
    <row r="500" ht="14.2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</row>
    <row r="501" ht="14.2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</row>
    <row r="502" ht="14.2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</row>
    <row r="503" ht="14.2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</row>
    <row r="504" ht="14.2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</row>
    <row r="505" ht="14.2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</row>
    <row r="506" ht="14.2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</row>
    <row r="507" ht="14.2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</row>
    <row r="508" ht="14.2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</row>
    <row r="509" ht="14.2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</row>
    <row r="510" ht="14.2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</row>
    <row r="511" ht="14.2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</row>
    <row r="512" ht="14.2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</row>
    <row r="513" ht="14.2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</row>
    <row r="514" ht="14.2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</row>
    <row r="515" ht="14.2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</row>
    <row r="516" ht="14.2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</row>
    <row r="517" ht="14.2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</row>
    <row r="518" ht="14.2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</row>
    <row r="519" ht="14.2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</row>
    <row r="520" ht="14.2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</row>
    <row r="521" ht="14.2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</row>
    <row r="522" ht="14.2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</row>
    <row r="523" ht="14.2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</row>
    <row r="524" ht="14.2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</row>
    <row r="525" ht="14.2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</row>
    <row r="526" ht="14.2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</row>
    <row r="527" ht="14.2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</row>
    <row r="528" ht="14.2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</row>
    <row r="529" ht="14.2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</row>
    <row r="530" ht="14.2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</row>
    <row r="531" ht="14.2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</row>
    <row r="532" ht="14.2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</row>
    <row r="533" ht="14.2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</row>
    <row r="534" ht="14.2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</row>
    <row r="535" ht="14.2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</row>
    <row r="536" ht="14.2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</row>
    <row r="537" ht="14.2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</row>
    <row r="538" ht="14.2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</row>
    <row r="539" ht="14.2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</row>
    <row r="540" ht="14.2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</row>
    <row r="541" ht="14.2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</row>
    <row r="542" ht="14.2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</row>
    <row r="543" ht="14.2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</row>
    <row r="544" ht="14.2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</row>
    <row r="545" ht="14.2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</row>
    <row r="546" ht="14.2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</row>
    <row r="547" ht="14.2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</row>
    <row r="548" ht="14.2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</row>
    <row r="549" ht="14.2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</row>
    <row r="550" ht="14.2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</row>
    <row r="551" ht="14.2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</row>
    <row r="552" ht="14.2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</row>
    <row r="553" ht="14.2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</row>
    <row r="554" ht="14.2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</row>
    <row r="555" ht="14.2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</row>
    <row r="556" ht="14.2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</row>
    <row r="557" ht="14.2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</row>
    <row r="558" ht="14.2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</row>
    <row r="559" ht="14.2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</row>
    <row r="560" ht="14.2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</row>
    <row r="561" ht="14.2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</row>
    <row r="562" ht="14.2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</row>
    <row r="563" ht="14.2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</row>
    <row r="564" ht="14.2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</row>
    <row r="565" ht="14.2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</row>
    <row r="566" ht="14.2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</row>
    <row r="567" ht="14.2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</row>
    <row r="568" ht="14.2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</row>
    <row r="569" ht="14.2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</row>
    <row r="570" ht="14.2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</row>
    <row r="571" ht="14.2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</row>
    <row r="572" ht="14.2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</row>
    <row r="573" ht="14.2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</row>
    <row r="574" ht="14.2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</row>
    <row r="575" ht="14.2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</row>
    <row r="576" ht="14.2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</row>
    <row r="577" ht="14.2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</row>
    <row r="578" ht="14.2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</row>
    <row r="579" ht="14.2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</row>
    <row r="580" ht="14.2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</row>
    <row r="581" ht="14.2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</row>
    <row r="582" ht="14.2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</row>
    <row r="583" ht="14.2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</row>
    <row r="584" ht="14.2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</row>
    <row r="585" ht="14.2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</row>
    <row r="586" ht="14.2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</row>
    <row r="587" ht="14.2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</row>
    <row r="588" ht="14.2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</row>
    <row r="589" ht="14.2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</row>
    <row r="590" ht="14.2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</row>
    <row r="591" ht="14.2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</row>
    <row r="592" ht="14.2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</row>
    <row r="593" ht="14.2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</row>
    <row r="594" ht="14.2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</row>
    <row r="595" ht="14.2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</row>
    <row r="596" ht="14.2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</row>
    <row r="597" ht="14.2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</row>
    <row r="598" ht="14.2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</row>
    <row r="599" ht="14.2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</row>
    <row r="600" ht="14.2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</row>
    <row r="601" ht="14.2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</row>
    <row r="602" ht="14.2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</row>
    <row r="603" ht="14.2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</row>
    <row r="604" ht="14.2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</row>
    <row r="605" ht="14.2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</row>
    <row r="606" ht="14.2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</row>
    <row r="607" ht="14.2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</row>
    <row r="608" ht="14.2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</row>
    <row r="609" ht="14.2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</row>
    <row r="610" ht="14.2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</row>
    <row r="611" ht="14.2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</row>
    <row r="612" ht="14.2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</row>
    <row r="613" ht="14.2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</row>
    <row r="614" ht="14.2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</row>
    <row r="615" ht="14.2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</row>
    <row r="616" ht="14.2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</row>
    <row r="617" ht="14.2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</row>
    <row r="618" ht="14.2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</row>
    <row r="619" ht="14.2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</row>
    <row r="620" ht="14.2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</row>
    <row r="621" ht="14.2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</row>
    <row r="622" ht="14.2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</row>
    <row r="623" ht="14.2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</row>
    <row r="624" ht="14.2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</row>
    <row r="625" ht="14.2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</row>
    <row r="626" ht="14.2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</row>
    <row r="627" ht="14.2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</row>
    <row r="628" ht="14.2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</row>
    <row r="629" ht="14.2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</row>
    <row r="630" ht="14.2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</row>
    <row r="631" ht="14.2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</row>
    <row r="632" ht="14.2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</row>
    <row r="633" ht="14.2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</row>
    <row r="634" ht="14.2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</row>
    <row r="635" ht="14.2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</row>
    <row r="636" ht="14.2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</row>
    <row r="637" ht="14.2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</row>
    <row r="638" ht="14.2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</row>
    <row r="639" ht="14.2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</row>
    <row r="640" ht="14.2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</row>
    <row r="641" ht="14.2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</row>
    <row r="642" ht="14.2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</row>
    <row r="643" ht="14.2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</row>
    <row r="644" ht="14.2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</row>
    <row r="645" ht="14.2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</row>
    <row r="646" ht="14.2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</row>
    <row r="647" ht="14.2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</row>
    <row r="648" ht="14.2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</row>
    <row r="649" ht="14.2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</row>
    <row r="650" ht="14.2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</row>
    <row r="651" ht="14.2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</row>
    <row r="652" ht="14.2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</row>
    <row r="653" ht="14.2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</row>
    <row r="654" ht="14.2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</row>
    <row r="655" ht="14.2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</row>
    <row r="656" ht="14.2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</row>
    <row r="657" ht="14.2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</row>
    <row r="658" ht="14.2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</row>
    <row r="659" ht="14.2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</row>
    <row r="660" ht="14.2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</row>
    <row r="661" ht="14.2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</row>
    <row r="662" ht="14.2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</row>
    <row r="663" ht="14.2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</row>
    <row r="664" ht="14.2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</row>
    <row r="665" ht="14.2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</row>
    <row r="666" ht="14.2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</row>
    <row r="667" ht="14.2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</row>
    <row r="668" ht="14.2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</row>
    <row r="669" ht="14.2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</row>
    <row r="670" ht="14.2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</row>
    <row r="671" ht="14.2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</row>
    <row r="672" ht="14.2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</row>
    <row r="673" ht="14.2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</row>
    <row r="674" ht="14.2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</row>
    <row r="675" ht="14.2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</row>
    <row r="676" ht="14.2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</row>
    <row r="677" ht="14.2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</row>
    <row r="678" ht="14.2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</row>
    <row r="679" ht="14.2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</row>
    <row r="680" ht="14.2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</row>
    <row r="681" ht="14.2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</row>
    <row r="682" ht="14.2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</row>
    <row r="683" ht="14.2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</row>
    <row r="684" ht="14.2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</row>
    <row r="685" ht="14.2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</row>
    <row r="686" ht="14.2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</row>
    <row r="687" ht="14.2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</row>
    <row r="688" ht="14.2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</row>
    <row r="689" ht="14.2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</row>
    <row r="690" ht="14.2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</row>
    <row r="691" ht="14.2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</row>
    <row r="692" ht="14.2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</row>
    <row r="693" ht="14.2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</row>
    <row r="694" ht="14.2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</row>
    <row r="695" ht="14.2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</row>
    <row r="696" ht="14.2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</row>
    <row r="697" ht="14.2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</row>
    <row r="698" ht="14.2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</row>
    <row r="699" ht="14.2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</row>
    <row r="700" ht="14.2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</row>
    <row r="701" ht="14.2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</row>
    <row r="702" ht="14.2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</row>
    <row r="703" ht="14.2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</row>
    <row r="704" ht="14.2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</row>
    <row r="705" ht="14.2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</row>
    <row r="706" ht="14.2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</row>
    <row r="707" ht="14.2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</row>
    <row r="708" ht="14.2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</row>
    <row r="709" ht="14.2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</row>
    <row r="710" ht="14.2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</row>
    <row r="711" ht="14.2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</row>
    <row r="712" ht="14.2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</row>
    <row r="713" ht="14.2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</row>
    <row r="714" ht="14.2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</row>
    <row r="715" ht="14.2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</row>
    <row r="716" ht="14.2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</row>
    <row r="717" ht="14.2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</row>
    <row r="718" ht="14.2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</row>
    <row r="719" ht="14.2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</row>
    <row r="720" ht="14.2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</row>
    <row r="721" ht="14.2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</row>
    <row r="722" ht="14.2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</row>
    <row r="723" ht="14.2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</row>
    <row r="724" ht="14.2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</row>
    <row r="725" ht="14.2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</row>
    <row r="726" ht="14.2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</row>
    <row r="727" ht="14.2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</row>
    <row r="728" ht="14.2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</row>
    <row r="729" ht="14.2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</row>
    <row r="730" ht="14.2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</row>
    <row r="731" ht="14.2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</row>
    <row r="732" ht="14.2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</row>
    <row r="733" ht="14.2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</row>
    <row r="734" ht="14.2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</row>
    <row r="735" ht="14.2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</row>
    <row r="736" ht="14.2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</row>
    <row r="737" ht="14.2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</row>
    <row r="738" ht="14.2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</row>
    <row r="739" ht="14.2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</row>
    <row r="740" ht="14.2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</row>
    <row r="741" ht="14.2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</row>
    <row r="742" ht="14.2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</row>
    <row r="743" ht="14.2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</row>
    <row r="744" ht="14.2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</row>
    <row r="745" ht="14.2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</row>
    <row r="746" ht="14.2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</row>
    <row r="747" ht="14.2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</row>
    <row r="748" ht="14.2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</row>
    <row r="749" ht="14.2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</row>
    <row r="750" ht="14.2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</row>
    <row r="751" ht="14.2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</row>
    <row r="752" ht="14.2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</row>
    <row r="753" ht="14.2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</row>
    <row r="754" ht="14.2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</row>
    <row r="755" ht="14.2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</row>
    <row r="756" ht="14.2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</row>
    <row r="757" ht="14.2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7"/>
    </row>
    <row r="758" ht="14.2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7"/>
    </row>
    <row r="759" ht="14.2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</row>
    <row r="760" ht="14.2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</row>
    <row r="761" ht="14.2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</row>
    <row r="762" ht="14.2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</row>
    <row r="763" ht="14.2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</row>
    <row r="764" ht="14.2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</row>
    <row r="765" ht="14.2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</row>
    <row r="766" ht="14.2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</row>
    <row r="767" ht="14.2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</row>
    <row r="768" ht="14.2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</row>
    <row r="769" ht="14.2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</row>
    <row r="770" ht="14.2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7"/>
    </row>
    <row r="771" ht="14.2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</row>
    <row r="772" ht="14.2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</row>
    <row r="773" ht="14.2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</row>
    <row r="774" ht="14.2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</row>
    <row r="775" ht="14.2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</row>
    <row r="776" ht="14.2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</row>
    <row r="777" ht="14.2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</row>
    <row r="778" ht="14.2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</row>
    <row r="779" ht="14.2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</row>
    <row r="780" ht="14.2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</row>
    <row r="781" ht="14.2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</row>
    <row r="782" ht="14.2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</row>
    <row r="783" ht="14.2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</row>
    <row r="784" ht="14.2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</row>
    <row r="785" ht="14.2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7"/>
    </row>
    <row r="786" ht="14.2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</row>
    <row r="787" ht="14.2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</row>
    <row r="788" ht="14.2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</row>
    <row r="789" ht="14.2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</row>
    <row r="790" ht="14.2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</row>
    <row r="791" ht="14.2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</row>
    <row r="792" ht="14.2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7"/>
    </row>
    <row r="793" ht="14.2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27"/>
    </row>
    <row r="794" ht="14.2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</row>
    <row r="795" ht="14.2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</row>
    <row r="796" ht="14.2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</row>
    <row r="797" ht="14.2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7"/>
    </row>
    <row r="798" ht="14.2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7"/>
    </row>
    <row r="799" ht="14.2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</row>
    <row r="800" ht="14.2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</row>
    <row r="801" ht="14.2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</row>
    <row r="802" ht="14.2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</row>
    <row r="803" ht="14.2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</row>
    <row r="804" ht="14.2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</row>
    <row r="805" ht="14.2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</row>
    <row r="806" ht="14.2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</row>
    <row r="807" ht="14.2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</row>
    <row r="808" ht="14.2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</row>
    <row r="809" ht="14.2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</row>
    <row r="810" ht="14.2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</row>
    <row r="811" ht="14.2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7"/>
    </row>
    <row r="812" ht="14.2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N812" s="27"/>
    </row>
    <row r="813" ht="14.2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27"/>
    </row>
    <row r="814" ht="14.2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</row>
    <row r="815" ht="14.2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</row>
    <row r="816" ht="14.2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7"/>
    </row>
    <row r="817" ht="14.2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7"/>
    </row>
    <row r="818" ht="14.2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7"/>
    </row>
    <row r="819" ht="14.2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</row>
    <row r="820" ht="14.2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</row>
    <row r="821" ht="14.2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</row>
    <row r="822" ht="14.2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</row>
    <row r="823" ht="14.2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</row>
    <row r="824" ht="14.2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</row>
    <row r="825" ht="14.2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</row>
    <row r="826" ht="14.2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</row>
    <row r="827" ht="14.2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</row>
    <row r="828" ht="14.2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7"/>
    </row>
    <row r="829" ht="14.2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</row>
    <row r="830" ht="14.2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7"/>
    </row>
    <row r="831" ht="14.2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</row>
    <row r="832" ht="14.2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7"/>
    </row>
    <row r="833" ht="14.2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7"/>
    </row>
    <row r="834" ht="14.2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</row>
    <row r="835" ht="14.2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</row>
    <row r="836" ht="14.2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7"/>
    </row>
    <row r="837" ht="14.2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7"/>
    </row>
    <row r="838" ht="14.2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</row>
    <row r="839" ht="14.2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</row>
    <row r="840" ht="14.2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</row>
    <row r="841" ht="14.2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7"/>
    </row>
    <row r="842" ht="14.2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7"/>
    </row>
    <row r="843" ht="14.2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</row>
    <row r="844" ht="14.2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</row>
    <row r="845" ht="14.2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27"/>
    </row>
    <row r="846" ht="14.2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27"/>
    </row>
    <row r="847" ht="14.2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</row>
    <row r="848" ht="14.2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7"/>
    </row>
    <row r="849" ht="14.2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</row>
    <row r="850" ht="14.2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</row>
    <row r="851" ht="14.2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</row>
    <row r="852" ht="14.2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N852" s="27"/>
    </row>
    <row r="853" ht="14.2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27"/>
    </row>
    <row r="854" ht="14.2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</row>
    <row r="855" ht="14.2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</row>
    <row r="856" ht="14.2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7"/>
    </row>
    <row r="857" ht="14.2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7"/>
    </row>
    <row r="858" ht="14.2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7"/>
    </row>
    <row r="859" ht="14.2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</row>
    <row r="860" ht="14.2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7"/>
    </row>
    <row r="861" ht="14.2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7"/>
    </row>
    <row r="862" ht="14.2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7"/>
    </row>
    <row r="863" ht="14.2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</row>
    <row r="864" ht="14.2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</row>
    <row r="865" ht="14.2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</row>
    <row r="866" ht="14.2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7"/>
    </row>
    <row r="867" ht="14.2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</row>
    <row r="868" ht="14.2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</row>
    <row r="869" ht="14.2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</row>
    <row r="870" ht="14.2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</row>
    <row r="871" ht="14.2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</row>
    <row r="872" ht="14.2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7"/>
    </row>
    <row r="873" ht="14.2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27"/>
    </row>
    <row r="874" ht="14.2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</row>
    <row r="875" ht="14.2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7"/>
    </row>
    <row r="876" ht="14.2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N876" s="27"/>
    </row>
    <row r="877" ht="14.2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27"/>
    </row>
    <row r="878" ht="14.2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27"/>
    </row>
    <row r="879" ht="14.2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</row>
    <row r="880" ht="14.2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N880" s="27"/>
    </row>
    <row r="881" ht="14.2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</row>
    <row r="882" ht="14.2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</row>
    <row r="883" ht="14.2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7"/>
    </row>
    <row r="884" ht="14.2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</row>
    <row r="885" ht="14.2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7"/>
    </row>
    <row r="886" ht="14.2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7"/>
    </row>
    <row r="887" ht="14.2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</row>
    <row r="888" ht="14.2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</row>
    <row r="889" ht="14.2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</row>
    <row r="890" ht="14.2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7"/>
    </row>
    <row r="891" ht="14.2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</row>
    <row r="892" ht="14.2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</row>
    <row r="893" ht="14.2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</row>
    <row r="894" ht="14.2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</row>
    <row r="895" ht="14.2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</row>
    <row r="896" ht="14.2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7"/>
    </row>
    <row r="897" ht="14.2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7"/>
    </row>
    <row r="898" ht="14.2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</row>
    <row r="899" ht="14.2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</row>
    <row r="900" ht="14.2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7"/>
    </row>
    <row r="901" ht="14.2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27"/>
    </row>
    <row r="902" ht="14.2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27"/>
    </row>
    <row r="903" ht="14.2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7"/>
    </row>
    <row r="904" ht="14.2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</row>
    <row r="905" ht="14.2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7"/>
    </row>
    <row r="906" ht="14.2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7"/>
    </row>
    <row r="907" ht="14.2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</row>
    <row r="908" ht="14.2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7"/>
    </row>
    <row r="909" ht="14.2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</row>
    <row r="910" ht="14.2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</row>
    <row r="911" ht="14.2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</row>
    <row r="912" ht="14.2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7"/>
    </row>
    <row r="913" ht="14.2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7"/>
    </row>
    <row r="914" ht="14.2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</row>
    <row r="915" ht="14.2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</row>
    <row r="916" ht="14.2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</row>
    <row r="917" ht="14.2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</row>
    <row r="918" ht="14.2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</row>
    <row r="919" ht="14.2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</row>
    <row r="920" ht="14.2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</row>
    <row r="921" ht="14.2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</row>
    <row r="922" ht="14.2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</row>
    <row r="923" ht="14.2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</row>
    <row r="924" ht="14.2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</row>
    <row r="925" ht="14.2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</row>
    <row r="926" ht="14.2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</row>
    <row r="927" ht="14.2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</row>
    <row r="928" ht="14.2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</row>
    <row r="929" ht="14.2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</row>
    <row r="930" ht="14.2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</row>
    <row r="931" ht="14.2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</row>
    <row r="932" ht="14.2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</row>
    <row r="933" ht="14.2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</row>
    <row r="934" ht="14.2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</row>
    <row r="935" ht="14.2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</row>
    <row r="936" ht="14.2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</row>
    <row r="937" ht="14.2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27"/>
    </row>
    <row r="938" ht="14.2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27"/>
    </row>
    <row r="939" ht="14.2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</row>
    <row r="940" ht="14.2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7"/>
    </row>
    <row r="941" ht="14.2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27"/>
    </row>
    <row r="942" ht="14.2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27"/>
    </row>
    <row r="943" ht="14.2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7"/>
    </row>
    <row r="944" ht="14.2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</row>
    <row r="945" ht="14.2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7"/>
    </row>
    <row r="946" ht="14.2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</row>
    <row r="947" ht="14.2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</row>
    <row r="948" ht="14.2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</row>
    <row r="949" ht="14.2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</row>
    <row r="950" ht="14.2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</row>
    <row r="951" ht="14.2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</row>
    <row r="952" ht="14.2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7"/>
    </row>
    <row r="953" ht="14.2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</row>
    <row r="954" ht="14.2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</row>
    <row r="955" ht="14.2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</row>
    <row r="956" ht="14.2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7"/>
    </row>
    <row r="957" ht="14.2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7"/>
    </row>
    <row r="958" ht="14.2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7"/>
    </row>
    <row r="959" ht="14.2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</row>
    <row r="960" ht="14.2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7"/>
    </row>
    <row r="961" ht="14.2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27"/>
    </row>
    <row r="962" ht="14.2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27"/>
    </row>
    <row r="963" ht="14.2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27"/>
    </row>
    <row r="964" ht="14.2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27"/>
    </row>
    <row r="965" ht="14.2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N965" s="27"/>
    </row>
    <row r="966" ht="14.2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  <c r="AN966" s="27"/>
    </row>
    <row r="967" ht="14.2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N967" s="27"/>
    </row>
    <row r="968" ht="14.2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  <c r="AN968" s="27"/>
    </row>
    <row r="969" ht="14.2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  <c r="AN969" s="27"/>
    </row>
    <row r="970" ht="14.2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N970" s="27"/>
    </row>
    <row r="971" ht="14.2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N971" s="27"/>
    </row>
    <row r="972" ht="14.2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  <c r="AN972" s="27"/>
    </row>
    <row r="973" ht="14.2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N973" s="27"/>
    </row>
    <row r="974" ht="14.2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7"/>
    </row>
    <row r="975" ht="14.2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27"/>
    </row>
    <row r="976" ht="14.2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7"/>
    </row>
    <row r="977" ht="14.2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27"/>
    </row>
    <row r="978" ht="14.2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27"/>
    </row>
    <row r="979" ht="14.2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7"/>
    </row>
    <row r="980" ht="14.2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27"/>
    </row>
    <row r="981" ht="14.2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27"/>
    </row>
    <row r="982" ht="14.2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27"/>
    </row>
    <row r="983" ht="14.2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</row>
    <row r="984" ht="14.2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</row>
    <row r="985" ht="14.2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27"/>
    </row>
    <row r="986" ht="14.2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27"/>
    </row>
    <row r="987" ht="14.2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</row>
    <row r="988" ht="14.2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7"/>
    </row>
    <row r="989" ht="14.2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27"/>
    </row>
    <row r="990" ht="14.2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27"/>
    </row>
    <row r="991" ht="14.2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</row>
    <row r="992" ht="14.2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</row>
    <row r="993" ht="14.2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  <c r="AL993" s="27"/>
      <c r="AM993" s="27"/>
      <c r="AN993" s="27"/>
    </row>
    <row r="994" ht="14.2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  <c r="AM994" s="27"/>
      <c r="AN994" s="27"/>
    </row>
    <row r="995" ht="14.2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  <c r="AJ995" s="27"/>
      <c r="AK995" s="27"/>
      <c r="AL995" s="27"/>
      <c r="AM995" s="27"/>
      <c r="AN995" s="27"/>
    </row>
    <row r="996" ht="14.2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  <c r="AI996" s="27"/>
      <c r="AJ996" s="27"/>
      <c r="AK996" s="27"/>
      <c r="AL996" s="27"/>
      <c r="AM996" s="27"/>
      <c r="AN996" s="27"/>
    </row>
    <row r="997" ht="14.2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  <c r="AI997" s="27"/>
      <c r="AJ997" s="27"/>
      <c r="AK997" s="27"/>
      <c r="AL997" s="27"/>
      <c r="AM997" s="27"/>
      <c r="AN997" s="27"/>
    </row>
    <row r="998" ht="14.2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  <c r="AI998" s="27"/>
      <c r="AJ998" s="27"/>
      <c r="AK998" s="27"/>
      <c r="AL998" s="27"/>
      <c r="AM998" s="27"/>
      <c r="AN998" s="27"/>
    </row>
    <row r="999" ht="14.2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  <c r="AH999" s="27"/>
      <c r="AI999" s="27"/>
      <c r="AJ999" s="27"/>
      <c r="AK999" s="27"/>
      <c r="AL999" s="27"/>
      <c r="AM999" s="27"/>
      <c r="AN999" s="27"/>
    </row>
    <row r="1000" ht="14.2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  <c r="AG1000" s="27"/>
      <c r="AH1000" s="27"/>
      <c r="AI1000" s="27"/>
      <c r="AJ1000" s="27"/>
      <c r="AK1000" s="27"/>
      <c r="AL1000" s="27"/>
      <c r="AM1000" s="27"/>
      <c r="AN1000" s="27"/>
    </row>
  </sheetData>
  <mergeCells count="23">
    <mergeCell ref="A1:AN2"/>
    <mergeCell ref="A5:AI5"/>
    <mergeCell ref="B7:E7"/>
    <mergeCell ref="Q7:T7"/>
    <mergeCell ref="A10:H10"/>
    <mergeCell ref="P10:W10"/>
    <mergeCell ref="P14:W14"/>
    <mergeCell ref="A22:H22"/>
    <mergeCell ref="A26:H26"/>
    <mergeCell ref="A30:H30"/>
    <mergeCell ref="A34:H34"/>
    <mergeCell ref="A38:H38"/>
    <mergeCell ref="AE25:AI25"/>
    <mergeCell ref="AE26:AI26"/>
    <mergeCell ref="P30:W30"/>
    <mergeCell ref="P34:W34"/>
    <mergeCell ref="A14:H14"/>
    <mergeCell ref="A18:H18"/>
    <mergeCell ref="P18:W18"/>
    <mergeCell ref="AE21:AI21"/>
    <mergeCell ref="P22:W22"/>
    <mergeCell ref="AE22:AI22"/>
    <mergeCell ref="P26:W26"/>
  </mergeCells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2023-04-13T12:41:28Z</dcterms:created>
  <dc:creator>Microsoft</dc:creator>
</cp:coreProperties>
</file>