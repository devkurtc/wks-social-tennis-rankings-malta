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4"/>
    <sheet state="visible" name="Division 1" sheetId="2" r:id="rId5"/>
    <sheet state="visible" name="Division 2" sheetId="3" r:id="rId6"/>
    <sheet state="visible" name="Division 3" sheetId="4" r:id="rId7"/>
    <sheet state="visible" name="Division 4" sheetId="5" r:id="rId8"/>
    <sheet state="visible" name="Division 5" sheetId="6" r:id="rId9"/>
    <sheet state="visible" name="Division 6" sheetId="7" r:id="rId10"/>
    <sheet state="visible" name="Division 7" sheetId="8" r:id="rId11"/>
  </sheets>
  <definedNames/>
  <calcPr/>
  <extLst>
    <ext uri="GoogleSheetsCustomDataVersion2">
      <go:sheetsCustomData xmlns:go="http://customooxmlschemas.google.com/" r:id="rId12" roundtripDataChecksum="AZepAZEmFxDM1ZAH5F7JO0GNoZpTxZlCmzIAXqbT+lI="/>
    </ext>
  </extLst>
</workbook>
</file>

<file path=xl/sharedStrings.xml><?xml version="1.0" encoding="utf-8"?>
<sst xmlns="http://schemas.openxmlformats.org/spreadsheetml/2006/main" count="592" uniqueCount="148">
  <si>
    <t>ESS Mixed Doubles 2025</t>
  </si>
  <si>
    <t>Division 1</t>
  </si>
  <si>
    <t>Matthew Mifsud</t>
  </si>
  <si>
    <t>Lara Pule'</t>
  </si>
  <si>
    <t>Matthew Borg</t>
  </si>
  <si>
    <t>Ann Marie Mangion</t>
  </si>
  <si>
    <t>Duncan D'alessandro</t>
  </si>
  <si>
    <t>Renette Magro</t>
  </si>
  <si>
    <t>Melchior Farrugia</t>
  </si>
  <si>
    <t>Julie Spiteri</t>
  </si>
  <si>
    <t>Kurt Carabott</t>
  </si>
  <si>
    <t>Pierina Holmin</t>
  </si>
  <si>
    <t>Jean Attard</t>
  </si>
  <si>
    <t>Yanika Pace</t>
  </si>
  <si>
    <t>Division 2</t>
  </si>
  <si>
    <t>Harvey Wadge</t>
  </si>
  <si>
    <t>Giada Sciberras</t>
  </si>
  <si>
    <t>Kristen Cachia</t>
  </si>
  <si>
    <t>Francesca Sciortino</t>
  </si>
  <si>
    <t>Keith Micallef</t>
  </si>
  <si>
    <t>Mirka Micallef</t>
  </si>
  <si>
    <t>Jonathan Martinelli</t>
  </si>
  <si>
    <t>Christina Bonett</t>
  </si>
  <si>
    <t>Stefan Holmin</t>
  </si>
  <si>
    <t>Alison Muscat</t>
  </si>
  <si>
    <t>Ivan Cassar</t>
  </si>
  <si>
    <t>Dawn Azzopardi</t>
  </si>
  <si>
    <t>Division 3</t>
  </si>
  <si>
    <t>Ivan Farrugia</t>
  </si>
  <si>
    <t>Stephanie Farrugia</t>
  </si>
  <si>
    <t>Willem Steenkamer</t>
  </si>
  <si>
    <t>Mariska Steenkamer</t>
  </si>
  <si>
    <t>Cyril Lastimosa</t>
  </si>
  <si>
    <t>Jin Attard</t>
  </si>
  <si>
    <t>Javier Viloria</t>
  </si>
  <si>
    <t>Andrea Magaldi</t>
  </si>
  <si>
    <t>Trevor Rutter</t>
  </si>
  <si>
    <t>Karolina Papiernak</t>
  </si>
  <si>
    <t>Jesmond Pule'</t>
  </si>
  <si>
    <t>Angele Pule'</t>
  </si>
  <si>
    <t>Division 4</t>
  </si>
  <si>
    <t>Luke Genuis</t>
  </si>
  <si>
    <t>Dorianne Buhagiar</t>
  </si>
  <si>
    <t>George Grech</t>
  </si>
  <si>
    <t>Jade Sammut</t>
  </si>
  <si>
    <t>Daniel Farrugia</t>
  </si>
  <si>
    <t>Diane Farrugia</t>
  </si>
  <si>
    <t>Luigi Porto</t>
  </si>
  <si>
    <t>Vanessa Farrugia</t>
  </si>
  <si>
    <t>James Farrugia</t>
  </si>
  <si>
    <t>Nancy Wong</t>
  </si>
  <si>
    <t>Simone Re</t>
  </si>
  <si>
    <t>Ann Marie Attard</t>
  </si>
  <si>
    <t xml:space="preserve">Division 5 </t>
  </si>
  <si>
    <t>Dylan Birmingham</t>
  </si>
  <si>
    <t>Sarah Axiaq</t>
  </si>
  <si>
    <t>JP Sciberras</t>
  </si>
  <si>
    <t>Brenda Baldacchino</t>
  </si>
  <si>
    <t xml:space="preserve">Juan Sammut </t>
  </si>
  <si>
    <t>Maria Angela Gambin</t>
  </si>
  <si>
    <t>Robert Attard</t>
  </si>
  <si>
    <t>Silvana Portelli</t>
  </si>
  <si>
    <t xml:space="preserve">Kenneth Farrugia </t>
  </si>
  <si>
    <t>Rowena Caruana</t>
  </si>
  <si>
    <t>Dorian Demanuele</t>
  </si>
  <si>
    <t>Maria Ellul</t>
  </si>
  <si>
    <t>Division 6 - Group A</t>
  </si>
  <si>
    <t>Division 6 - Group B</t>
  </si>
  <si>
    <t>Dayle Scicluna</t>
  </si>
  <si>
    <t>Alida Borg</t>
  </si>
  <si>
    <t>Cory Greenland</t>
  </si>
  <si>
    <t>Sabrina Xuereb</t>
  </si>
  <si>
    <t>Dunstan Vella</t>
  </si>
  <si>
    <t>Tiziana Spiteri</t>
  </si>
  <si>
    <t>Steve Gambin</t>
  </si>
  <si>
    <t>Suzanne Gambin</t>
  </si>
  <si>
    <t>Isaac Baldacchino</t>
  </si>
  <si>
    <t>Janice Galea</t>
  </si>
  <si>
    <t>Justin Scicluna</t>
  </si>
  <si>
    <t>Leanne Sammut</t>
  </si>
  <si>
    <t>Isaac Joseph Zammit</t>
  </si>
  <si>
    <t>Monique Attard</t>
  </si>
  <si>
    <t>Redent Scicluna</t>
  </si>
  <si>
    <t>Ceridwen Scerri</t>
  </si>
  <si>
    <t>Daniele Privitera</t>
  </si>
  <si>
    <t>Anabel Borg</t>
  </si>
  <si>
    <t>David Camilleri</t>
  </si>
  <si>
    <t>Daphne Vella</t>
  </si>
  <si>
    <t>Division 7</t>
  </si>
  <si>
    <t>Michael Bugeja</t>
  </si>
  <si>
    <t>Francesca Mamo</t>
  </si>
  <si>
    <t xml:space="preserve">Kevin Sciberras </t>
  </si>
  <si>
    <t>Sharleen Sciberras</t>
  </si>
  <si>
    <t>Clayton Saliba Hersey</t>
  </si>
  <si>
    <t>Frances Saliba Hersey</t>
  </si>
  <si>
    <t>Liam Vella</t>
  </si>
  <si>
    <t>Martina Murdocco</t>
  </si>
  <si>
    <t>Jurgen Farrugia</t>
  </si>
  <si>
    <t>Abigail Farrugia</t>
  </si>
  <si>
    <t>Gabriel Gauci</t>
  </si>
  <si>
    <t>Tiffany Fenech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</si>
  <si>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</si>
  <si>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</si>
  <si>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</si>
  <si>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</si>
  <si>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</si>
  <si>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</si>
  <si>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</si>
  <si>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</si>
  <si>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</si>
  <si>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</si>
  <si>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</si>
  <si>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</si>
  <si>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</si>
  <si>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</si>
  <si>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</si>
  <si>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</si>
  <si>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</si>
  <si>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</si>
  <si>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Runner Up Working</t>
  </si>
  <si>
    <t>Total Games Work</t>
  </si>
  <si>
    <t>Winner</t>
  </si>
  <si>
    <t>Runner Up</t>
  </si>
  <si>
    <t>vs.</t>
  </si>
  <si>
    <t>RET</t>
  </si>
  <si>
    <t>Divison Winner</t>
  </si>
  <si>
    <t>Duncan D'alessadro/Renette Magro</t>
  </si>
  <si>
    <t>Divison Runner Up</t>
  </si>
  <si>
    <t>Matthew Mifsud/Lara Pule'</t>
  </si>
  <si>
    <t>Harvey Wadge/Giada Sciberras</t>
  </si>
  <si>
    <t>Jonathan Martinelli/Christina Bonett</t>
  </si>
  <si>
    <t xml:space="preserve">Trevor Rutter/Karolina Papiernak </t>
  </si>
  <si>
    <t>Cyril Lastimosa/Jin Attard</t>
  </si>
  <si>
    <t>James Farrugia/Nancy Wong</t>
  </si>
  <si>
    <t>Luke Genuis/Dorianne Buhagiar</t>
  </si>
  <si>
    <t>Division 5</t>
  </si>
  <si>
    <t>Juan Sammut/Maria Angela Gambin</t>
  </si>
  <si>
    <t>Kenneth Farrugia/Rowena Caruana</t>
  </si>
  <si>
    <t>Group A Winner</t>
  </si>
  <si>
    <t>Daye Scicluna/Alida Borg</t>
  </si>
  <si>
    <t>Group B Winner</t>
  </si>
  <si>
    <t>Cory Greenland/Sabrina Xuereb</t>
  </si>
  <si>
    <t>Final</t>
  </si>
  <si>
    <t>W/O</t>
  </si>
  <si>
    <t>Gabriel Gauci/Tiffany Fenech</t>
  </si>
  <si>
    <t>Liam Vella/Martina Murdocco</t>
  </si>
  <si>
    <t>w/o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</si>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</sst>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4">
    <font>
      <sz val="10.0"/>
      <color rgb="FF000000"/>
      <name val="Arial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0.0"/>
      <color theme="1"/>
      <name val="Arial"/>
    </font>
    <font>
      <sz val="16.0"/>
      <color theme="1"/>
      <name val="Arial"/>
    </font>
    <font>
      <b/>
      <u/>
      <sz val="16.0"/>
      <color theme="1"/>
      <name val="Arial"/>
    </font>
    <font/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080809"/>
      <name val="Calibri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6.0"/>
      <color theme="1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0"/>
      <name val="Arial"/>
    </font>
    <font>
      <b/>
      <u/>
      <sz val="11.0"/>
      <color theme="0"/>
      <name val="Arial"/>
    </font>
    <font>
      <b/>
      <u/>
      <sz val="11.0"/>
      <color theme="0"/>
      <name val="Arial"/>
    </font>
    <font>
      <sz val="11.0"/>
      <color theme="0"/>
      <name val="Arial"/>
    </font>
    <font>
      <b/>
      <u/>
      <sz val="11.0"/>
      <color theme="0"/>
      <name val="Arial"/>
    </font>
    <font>
      <b/>
      <u/>
      <sz val="11.0"/>
      <color theme="0"/>
      <name val="Arial"/>
    </font>
    <font>
      <b/>
      <u/>
      <sz val="11.0"/>
      <color theme="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9966"/>
        <bgColor rgb="FFFF9966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A8D08D"/>
        <bgColor rgb="FFA8D08D"/>
      </patternFill>
    </fill>
    <fill>
      <patternFill patternType="solid">
        <fgColor rgb="FFFB33C2"/>
        <bgColor rgb="FFFB33C2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</fills>
  <borders count="24">
    <border/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  <xf borderId="5" fillId="3" fontId="7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4" numFmtId="0" xfId="0" applyAlignment="1" applyBorder="1" applyFont="1">
      <alignment horizontal="center" vertical="center"/>
    </xf>
    <xf borderId="7" fillId="4" fontId="8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shrinkToFit="0" wrapText="1"/>
    </xf>
    <xf borderId="7" fillId="5" fontId="9" numFmtId="0" xfId="0" applyAlignment="1" applyBorder="1" applyFill="1" applyFont="1">
      <alignment horizontal="center" vertical="center"/>
    </xf>
    <xf borderId="7" fillId="6" fontId="10" numFmtId="0" xfId="0" applyAlignment="1" applyBorder="1" applyFill="1" applyFont="1">
      <alignment horizontal="center" vertical="center"/>
    </xf>
    <xf borderId="7" fillId="7" fontId="11" numFmtId="0" xfId="0" applyAlignment="1" applyBorder="1" applyFill="1" applyFont="1">
      <alignment horizontal="center" vertical="center"/>
    </xf>
    <xf borderId="7" fillId="8" fontId="12" numFmtId="0" xfId="0" applyAlignment="1" applyBorder="1" applyFill="1" applyFont="1">
      <alignment horizontal="center" vertical="center"/>
    </xf>
    <xf borderId="7" fillId="9" fontId="1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8" fillId="10" fontId="14" numFmtId="0" xfId="0" applyAlignment="1" applyBorder="1" applyFill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0" fillId="0" fontId="15" numFmtId="0" xfId="0" applyAlignment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7" fillId="10" fontId="17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10" fontId="15" numFmtId="0" xfId="0" applyAlignment="1" applyBorder="1" applyFont="1">
      <alignment horizontal="center" shrinkToFit="0" vertical="center" wrapText="1"/>
    </xf>
    <xf borderId="13" fillId="11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12" fontId="20" numFmtId="0" xfId="0" applyAlignment="1" applyBorder="1" applyFill="1" applyFont="1">
      <alignment horizontal="center" shrinkToFit="0" vertical="center" wrapText="1"/>
    </xf>
    <xf borderId="14" fillId="13" fontId="21" numFmtId="0" xfId="0" applyAlignment="1" applyBorder="1" applyFill="1" applyFont="1">
      <alignment horizontal="center" shrinkToFit="0" vertical="center" wrapText="1"/>
    </xf>
    <xf borderId="15" fillId="13" fontId="22" numFmtId="0" xfId="0" applyAlignment="1" applyBorder="1" applyFont="1">
      <alignment horizontal="center" shrinkToFit="0" vertical="center" wrapText="1"/>
    </xf>
    <xf borderId="4" fillId="13" fontId="23" numFmtId="0" xfId="0" applyAlignment="1" applyBorder="1" applyFont="1">
      <alignment horizontal="center" shrinkToFit="0" vertical="center" wrapText="1"/>
    </xf>
    <xf borderId="16" fillId="14" fontId="15" numFmtId="0" xfId="0" applyAlignment="1" applyBorder="1" applyFill="1" applyFont="1">
      <alignment horizontal="center" shrinkToFit="0" vertical="center" wrapText="1"/>
    </xf>
    <xf borderId="4" fillId="14" fontId="19" numFmtId="0" xfId="0" applyAlignment="1" applyBorder="1" applyFont="1">
      <alignment horizontal="center" shrinkToFit="0" vertical="center" wrapText="1"/>
    </xf>
    <xf borderId="17" fillId="14" fontId="15" numFmtId="0" xfId="0" applyAlignment="1" applyBorder="1" applyFont="1">
      <alignment horizontal="center" shrinkToFit="0" vertical="center" wrapText="1"/>
    </xf>
    <xf borderId="17" fillId="14" fontId="19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7" fillId="0" fontId="19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8" fillId="10" fontId="24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19" fillId="14" fontId="1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0" fillId="0" fontId="15" numFmtId="0" xfId="0" applyAlignment="1" applyFont="1">
      <alignment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20" fillId="14" fontId="15" numFmtId="0" xfId="0" applyAlignment="1" applyBorder="1" applyFont="1">
      <alignment horizontal="center" shrinkToFit="0" vertical="center" wrapText="1"/>
    </xf>
    <xf borderId="21" fillId="14" fontId="15" numFmtId="0" xfId="0" applyAlignment="1" applyBorder="1" applyFont="1">
      <alignment horizontal="center" shrinkToFit="0" vertical="center" wrapText="1"/>
    </xf>
    <xf borderId="21" fillId="14" fontId="19" numFmtId="0" xfId="0" applyAlignment="1" applyBorder="1" applyFont="1">
      <alignment horizontal="center"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18" fillId="14" fontId="25" numFmtId="0" xfId="0" applyAlignment="1" applyBorder="1" applyFont="1">
      <alignment horizontal="center" shrinkToFit="0" vertical="center" wrapText="1"/>
    </xf>
    <xf borderId="11" fillId="14" fontId="19" numFmtId="0" xfId="0" applyAlignment="1" applyBorder="1" applyFont="1">
      <alignment horizontal="center" shrinkToFit="0" vertical="center" wrapText="1"/>
    </xf>
    <xf borderId="3" fillId="14" fontId="19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/>
    </xf>
    <xf borderId="7" fillId="0" fontId="27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18" fillId="11" fontId="15" numFmtId="0" xfId="0" applyAlignment="1" applyBorder="1" applyFont="1">
      <alignment horizontal="center" shrinkToFit="0" vertical="center" wrapText="1"/>
    </xf>
    <xf borderId="18" fillId="14" fontId="15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readingOrder="0" vertical="center"/>
    </xf>
    <xf borderId="8" fillId="15" fontId="31" numFmtId="0" xfId="0" applyAlignment="1" applyBorder="1" applyFill="1" applyFont="1">
      <alignment horizontal="center" shrinkToFit="0" vertical="center" wrapText="1"/>
    </xf>
    <xf borderId="4" fillId="15" fontId="32" numFmtId="0" xfId="0" applyAlignment="1" applyBorder="1" applyFont="1">
      <alignment horizontal="center" shrinkToFit="0" vertical="center" wrapText="1"/>
    </xf>
    <xf borderId="7" fillId="15" fontId="33" numFmtId="0" xfId="0" applyAlignment="1" applyBorder="1" applyFont="1">
      <alignment horizontal="center" shrinkToFit="0" vertical="center" wrapText="1"/>
    </xf>
    <xf borderId="12" fillId="15" fontId="15" numFmtId="0" xfId="0" applyAlignment="1" applyBorder="1" applyFont="1">
      <alignment horizontal="center" shrinkToFit="0" vertical="center" wrapText="1"/>
    </xf>
    <xf borderId="18" fillId="15" fontId="34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/>
    </xf>
    <xf borderId="8" fillId="4" fontId="36" numFmtId="0" xfId="0" applyAlignment="1" applyBorder="1" applyFont="1">
      <alignment horizontal="center" shrinkToFit="0" vertical="center" wrapText="1"/>
    </xf>
    <xf borderId="4" fillId="4" fontId="37" numFmtId="0" xfId="0" applyAlignment="1" applyBorder="1" applyFont="1">
      <alignment horizontal="center" shrinkToFit="0" vertical="center" wrapText="1"/>
    </xf>
    <xf borderId="7" fillId="4" fontId="38" numFmtId="0" xfId="0" applyAlignment="1" applyBorder="1" applyFont="1">
      <alignment horizontal="center" shrinkToFit="0" vertical="center" wrapText="1"/>
    </xf>
    <xf borderId="12" fillId="4" fontId="15" numFmtId="0" xfId="0" applyAlignment="1" applyBorder="1" applyFont="1">
      <alignment horizontal="center" shrinkToFit="0" vertical="center" wrapText="1"/>
    </xf>
    <xf borderId="18" fillId="4" fontId="39" numFmtId="0" xfId="0" applyAlignment="1" applyBorder="1" applyFont="1">
      <alignment horizontal="center" shrinkToFit="0" vertical="center" wrapText="1"/>
    </xf>
    <xf borderId="0" fillId="0" fontId="35" numFmtId="0" xfId="0" applyFont="1"/>
    <xf borderId="8" fillId="5" fontId="40" numFmtId="0" xfId="0" applyAlignment="1" applyBorder="1" applyFont="1">
      <alignment horizontal="center" shrinkToFit="0" vertical="center" wrapText="1"/>
    </xf>
    <xf borderId="4" fillId="5" fontId="41" numFmtId="0" xfId="0" applyAlignment="1" applyBorder="1" applyFont="1">
      <alignment horizontal="center" shrinkToFit="0" vertical="center" wrapText="1"/>
    </xf>
    <xf borderId="7" fillId="5" fontId="42" numFmtId="0" xfId="0" applyAlignment="1" applyBorder="1" applyFont="1">
      <alignment horizontal="center" shrinkToFit="0" vertical="center" wrapText="1"/>
    </xf>
    <xf borderId="12" fillId="5" fontId="43" numFmtId="0" xfId="0" applyAlignment="1" applyBorder="1" applyFont="1">
      <alignment horizontal="center" shrinkToFit="0" vertical="center" wrapText="1"/>
    </xf>
    <xf borderId="13" fillId="11" fontId="44" numFmtId="0" xfId="0" applyAlignment="1" applyBorder="1" applyFont="1">
      <alignment horizontal="center" shrinkToFit="0" vertical="center" wrapText="1"/>
    </xf>
    <xf borderId="4" fillId="5" fontId="45" numFmtId="0" xfId="0" applyAlignment="1" applyBorder="1" applyFont="1">
      <alignment horizontal="center" shrinkToFit="0" wrapText="1"/>
    </xf>
    <xf borderId="18" fillId="5" fontId="46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bottom" wrapText="0"/>
    </xf>
    <xf borderId="8" fillId="6" fontId="47" numFmtId="0" xfId="0" applyAlignment="1" applyBorder="1" applyFont="1">
      <alignment horizontal="center" shrinkToFit="0" vertical="center" wrapText="1"/>
    </xf>
    <xf borderId="4" fillId="6" fontId="48" numFmtId="0" xfId="0" applyAlignment="1" applyBorder="1" applyFont="1">
      <alignment horizontal="center" shrinkToFit="0" vertical="center" wrapText="1"/>
    </xf>
    <xf borderId="7" fillId="6" fontId="49" numFmtId="0" xfId="0" applyAlignment="1" applyBorder="1" applyFont="1">
      <alignment horizontal="center" shrinkToFit="0" vertical="center" wrapText="1"/>
    </xf>
    <xf borderId="12" fillId="6" fontId="15" numFmtId="0" xfId="0" applyAlignment="1" applyBorder="1" applyFont="1">
      <alignment horizontal="center" shrinkToFit="0" vertical="center" wrapText="1"/>
    </xf>
    <xf borderId="13" fillId="6" fontId="50" numFmtId="0" xfId="0" applyAlignment="1" applyBorder="1" applyFont="1">
      <alignment horizontal="center" shrinkToFit="0" vertical="center" wrapText="1"/>
    </xf>
    <xf borderId="18" fillId="6" fontId="51" numFmtId="0" xfId="0" applyAlignment="1" applyBorder="1" applyFont="1">
      <alignment horizontal="center" shrinkToFit="0" vertical="center" wrapText="1"/>
    </xf>
    <xf borderId="8" fillId="7" fontId="52" numFmtId="0" xfId="0" applyAlignment="1" applyBorder="1" applyFont="1">
      <alignment horizontal="center" shrinkToFit="0" vertical="center" wrapText="1"/>
    </xf>
    <xf borderId="4" fillId="7" fontId="53" numFmtId="0" xfId="0" applyAlignment="1" applyBorder="1" applyFont="1">
      <alignment horizontal="center" shrinkToFit="0" vertical="center" wrapText="1"/>
    </xf>
    <xf borderId="7" fillId="7" fontId="54" numFmtId="0" xfId="0" applyAlignment="1" applyBorder="1" applyFont="1">
      <alignment horizontal="center" shrinkToFit="0" vertical="center" wrapText="1"/>
    </xf>
    <xf borderId="12" fillId="7" fontId="15" numFmtId="0" xfId="0" applyAlignment="1" applyBorder="1" applyFont="1">
      <alignment horizontal="center" shrinkToFit="0" vertical="center" wrapText="1"/>
    </xf>
    <xf borderId="13" fillId="7" fontId="55" numFmtId="0" xfId="0" applyAlignment="1" applyBorder="1" applyFont="1">
      <alignment horizontal="center" shrinkToFit="0" vertical="center" wrapText="1"/>
    </xf>
    <xf borderId="18" fillId="7" fontId="56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bottom" wrapText="0"/>
    </xf>
    <xf borderId="7" fillId="16" fontId="57" numFmtId="0" xfId="0" applyAlignment="1" applyBorder="1" applyFill="1" applyFont="1">
      <alignment horizontal="center" shrinkToFit="0" vertical="center" wrapText="1"/>
    </xf>
    <xf borderId="22" fillId="0" fontId="6" numFmtId="0" xfId="0" applyBorder="1" applyFont="1"/>
    <xf borderId="4" fillId="16" fontId="58" numFmtId="0" xfId="0" applyAlignment="1" applyBorder="1" applyFont="1">
      <alignment horizontal="center" shrinkToFit="0" vertical="center" wrapText="1"/>
    </xf>
    <xf borderId="12" fillId="11" fontId="15" numFmtId="0" xfId="0" applyAlignment="1" applyBorder="1" applyFont="1">
      <alignment horizontal="center" shrinkToFit="0" vertical="center" wrapText="1"/>
    </xf>
    <xf borderId="20" fillId="0" fontId="59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23" fillId="0" fontId="6" numFmtId="0" xfId="0" applyBorder="1" applyFont="1"/>
    <xf borderId="8" fillId="9" fontId="60" numFmtId="0" xfId="0" applyAlignment="1" applyBorder="1" applyFont="1">
      <alignment horizontal="center" readingOrder="0" shrinkToFit="0" vertical="center" wrapText="1"/>
    </xf>
    <xf borderId="4" fillId="9" fontId="61" numFmtId="0" xfId="0" applyAlignment="1" applyBorder="1" applyFont="1">
      <alignment horizontal="center" shrinkToFit="0" vertical="center" wrapText="1"/>
    </xf>
    <xf borderId="7" fillId="9" fontId="62" numFmtId="0" xfId="0" applyAlignment="1" applyBorder="1" applyFont="1">
      <alignment horizontal="center" shrinkToFit="0" vertical="center" wrapText="1"/>
    </xf>
    <xf borderId="12" fillId="8" fontId="15" numFmtId="0" xfId="0" applyAlignment="1" applyBorder="1" applyFont="1">
      <alignment horizontal="center" shrinkToFit="0" vertical="center" wrapText="1"/>
    </xf>
    <xf borderId="18" fillId="9" fontId="6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57150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323850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323850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333375</xdr:colOff>
      <xdr:row>0</xdr:row>
      <xdr:rowOff>0</xdr:rowOff>
    </xdr:from>
    <xdr:ext cx="9810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323850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638175" cy="70485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0</xdr:row>
      <xdr:rowOff>0</xdr:rowOff>
    </xdr:from>
    <xdr:ext cx="904875" cy="771525"/>
    <xdr:pic>
      <xdr:nvPicPr>
        <xdr:cNvPr descr="No photo description available.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4.63"/>
    <col customWidth="1" min="4" max="4" width="9.13"/>
    <col customWidth="1" min="5" max="5" width="8.0"/>
    <col customWidth="1" min="6" max="7" width="44.63"/>
    <col customWidth="1" min="8" max="26" width="9.13"/>
  </cols>
  <sheetData>
    <row r="1" ht="21.0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1.0" customHeight="1"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2.75" customHeigh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1.0" customHeight="1">
      <c r="A5" s="6"/>
      <c r="B5" s="7" t="s">
        <v>1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1.0" customHeight="1">
      <c r="A6" s="6">
        <v>1.0</v>
      </c>
      <c r="B6" s="9" t="s">
        <v>2</v>
      </c>
      <c r="C6" s="9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1.0" customHeight="1">
      <c r="A7" s="10">
        <v>2.0</v>
      </c>
      <c r="B7" s="9" t="s">
        <v>4</v>
      </c>
      <c r="C7" s="9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1.0" customHeight="1">
      <c r="A8" s="10">
        <v>3.0</v>
      </c>
      <c r="B8" s="9" t="s">
        <v>6</v>
      </c>
      <c r="C8" s="9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1.0" customHeight="1">
      <c r="A9" s="10">
        <v>4.0</v>
      </c>
      <c r="B9" s="9" t="s">
        <v>8</v>
      </c>
      <c r="C9" s="9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1.0" customHeight="1">
      <c r="A10" s="10">
        <v>5.0</v>
      </c>
      <c r="B10" s="11" t="s">
        <v>10</v>
      </c>
      <c r="C10" s="9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0">
        <v>6.0</v>
      </c>
      <c r="B11" s="9" t="s">
        <v>12</v>
      </c>
      <c r="C11" s="11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2"/>
      <c r="B12" s="12"/>
      <c r="C12" s="1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2"/>
      <c r="B13" s="13" t="s">
        <v>14</v>
      </c>
      <c r="C13" s="1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0">
        <v>1.0</v>
      </c>
      <c r="B14" s="9" t="s">
        <v>15</v>
      </c>
      <c r="C14" s="9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0">
        <v>2.0</v>
      </c>
      <c r="B15" s="9" t="s">
        <v>17</v>
      </c>
      <c r="C15" s="9" t="s">
        <v>18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0">
        <v>3.0</v>
      </c>
      <c r="B16" s="9" t="s">
        <v>19</v>
      </c>
      <c r="C16" s="9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0">
        <v>4.0</v>
      </c>
      <c r="B17" s="9" t="s">
        <v>21</v>
      </c>
      <c r="C17" s="9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0">
        <v>5.0</v>
      </c>
      <c r="B18" s="9" t="s">
        <v>23</v>
      </c>
      <c r="C18" s="9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5">
        <v>6.0</v>
      </c>
      <c r="B19" s="9" t="s">
        <v>25</v>
      </c>
      <c r="C19" s="9" t="s">
        <v>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2"/>
      <c r="B20" s="12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2"/>
      <c r="B21" s="16" t="s">
        <v>27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0">
        <v>1.0</v>
      </c>
      <c r="B22" s="9" t="s">
        <v>28</v>
      </c>
      <c r="C22" s="9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0">
        <v>2.0</v>
      </c>
      <c r="B23" s="17" t="s">
        <v>30</v>
      </c>
      <c r="C23" s="17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0">
        <v>3.0</v>
      </c>
      <c r="B24" s="9" t="s">
        <v>32</v>
      </c>
      <c r="C24" s="9" t="s">
        <v>33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0">
        <v>4.0</v>
      </c>
      <c r="B25" s="9" t="s">
        <v>34</v>
      </c>
      <c r="C25" s="9" t="s">
        <v>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0">
        <v>5.0</v>
      </c>
      <c r="B26" s="17" t="s">
        <v>36</v>
      </c>
      <c r="C26" s="9" t="s">
        <v>37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0">
        <v>6.0</v>
      </c>
      <c r="B27" s="9" t="s">
        <v>38</v>
      </c>
      <c r="C27" s="9" t="s">
        <v>39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2"/>
      <c r="B28" s="12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2"/>
      <c r="B29" s="18" t="s">
        <v>40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0">
        <v>1.0</v>
      </c>
      <c r="B30" s="9" t="s">
        <v>41</v>
      </c>
      <c r="C30" s="9" t="s">
        <v>42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0">
        <v>2.0</v>
      </c>
      <c r="B31" s="9" t="s">
        <v>43</v>
      </c>
      <c r="C31" s="9" t="s">
        <v>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0">
        <v>3.0</v>
      </c>
      <c r="B32" s="9" t="s">
        <v>45</v>
      </c>
      <c r="C32" s="9" t="s">
        <v>46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0">
        <v>4.0</v>
      </c>
      <c r="B33" s="9" t="s">
        <v>47</v>
      </c>
      <c r="C33" s="9" t="s">
        <v>48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0">
        <v>5.0</v>
      </c>
      <c r="B34" s="9" t="s">
        <v>49</v>
      </c>
      <c r="C34" s="9" t="s">
        <v>50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0">
        <v>6.0</v>
      </c>
      <c r="B35" s="9" t="s">
        <v>51</v>
      </c>
      <c r="C35" s="9" t="s">
        <v>52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2"/>
      <c r="B36" s="12"/>
      <c r="C36" s="1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/>
      <c r="B37" s="19" t="s">
        <v>53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0">
        <v>1.0</v>
      </c>
      <c r="B38" s="9" t="s">
        <v>54</v>
      </c>
      <c r="C38" s="9" t="s">
        <v>55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0">
        <v>2.0</v>
      </c>
      <c r="B39" s="9" t="s">
        <v>56</v>
      </c>
      <c r="C39" s="9" t="s">
        <v>57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0">
        <v>3.0</v>
      </c>
      <c r="B40" s="9" t="s">
        <v>58</v>
      </c>
      <c r="C40" s="9" t="s">
        <v>59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0">
        <v>4.0</v>
      </c>
      <c r="B41" s="9" t="s">
        <v>60</v>
      </c>
      <c r="C41" s="9" t="s">
        <v>61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0">
        <v>5.0</v>
      </c>
      <c r="B42" s="9" t="s">
        <v>62</v>
      </c>
      <c r="C42" s="9" t="s">
        <v>63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0">
        <v>6.0</v>
      </c>
      <c r="B43" s="9" t="s">
        <v>64</v>
      </c>
      <c r="C43" s="9" t="s">
        <v>65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2"/>
      <c r="B44" s="12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2"/>
      <c r="B45" s="20" t="s">
        <v>66</v>
      </c>
      <c r="C45" s="8"/>
      <c r="D45" s="4"/>
      <c r="E45" s="12"/>
      <c r="F45" s="21" t="s">
        <v>67</v>
      </c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0">
        <v>1.0</v>
      </c>
      <c r="B46" s="9" t="s">
        <v>68</v>
      </c>
      <c r="C46" s="9" t="s">
        <v>69</v>
      </c>
      <c r="D46" s="4"/>
      <c r="E46" s="10">
        <v>1.0</v>
      </c>
      <c r="F46" s="9" t="s">
        <v>70</v>
      </c>
      <c r="G46" s="9" t="s">
        <v>71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0">
        <v>2.0</v>
      </c>
      <c r="B47" s="9" t="s">
        <v>72</v>
      </c>
      <c r="C47" s="11" t="s">
        <v>73</v>
      </c>
      <c r="D47" s="4"/>
      <c r="E47" s="10">
        <v>2.0</v>
      </c>
      <c r="F47" s="9" t="s">
        <v>74</v>
      </c>
      <c r="G47" s="9" t="s">
        <v>75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0">
        <v>3.0</v>
      </c>
      <c r="B48" s="9" t="s">
        <v>76</v>
      </c>
      <c r="C48" s="9" t="s">
        <v>77</v>
      </c>
      <c r="D48" s="4"/>
      <c r="E48" s="10">
        <v>3.0</v>
      </c>
      <c r="F48" s="9" t="s">
        <v>78</v>
      </c>
      <c r="G48" s="9" t="s">
        <v>79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0">
        <v>4.0</v>
      </c>
      <c r="B49" s="9" t="s">
        <v>80</v>
      </c>
      <c r="C49" s="9" t="s">
        <v>81</v>
      </c>
      <c r="D49" s="4"/>
      <c r="E49" s="10">
        <v>4.0</v>
      </c>
      <c r="F49" s="9" t="s">
        <v>82</v>
      </c>
      <c r="G49" s="9" t="s">
        <v>83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0">
        <v>5.0</v>
      </c>
      <c r="B50" s="9" t="s">
        <v>84</v>
      </c>
      <c r="C50" s="9" t="s">
        <v>85</v>
      </c>
      <c r="D50" s="4"/>
      <c r="E50" s="10">
        <v>5.0</v>
      </c>
      <c r="F50" s="9" t="s">
        <v>86</v>
      </c>
      <c r="G50" s="9" t="s">
        <v>87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2"/>
      <c r="B51" s="12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2"/>
      <c r="B52" s="22" t="s">
        <v>88</v>
      </c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0">
        <v>1.0</v>
      </c>
      <c r="B53" s="9" t="s">
        <v>89</v>
      </c>
      <c r="C53" s="9" t="s">
        <v>90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0">
        <v>2.0</v>
      </c>
      <c r="B54" s="9" t="s">
        <v>91</v>
      </c>
      <c r="C54" s="9" t="s">
        <v>92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0">
        <v>3.0</v>
      </c>
      <c r="B55" s="9" t="s">
        <v>93</v>
      </c>
      <c r="C55" s="9" t="s">
        <v>94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0">
        <v>4.0</v>
      </c>
      <c r="B56" s="9" t="s">
        <v>95</v>
      </c>
      <c r="C56" s="9" t="s">
        <v>96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0">
        <v>5.0</v>
      </c>
      <c r="B57" s="9" t="s">
        <v>97</v>
      </c>
      <c r="C57" s="9" t="s">
        <v>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0">
        <v>6.0</v>
      </c>
      <c r="B58" s="9" t="s">
        <v>99</v>
      </c>
      <c r="C58" s="9" t="s">
        <v>100</v>
      </c>
      <c r="D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9">
    <mergeCell ref="B45:C45"/>
    <mergeCell ref="B52:C52"/>
    <mergeCell ref="A1:C2"/>
    <mergeCell ref="B5:C5"/>
    <mergeCell ref="B13:C13"/>
    <mergeCell ref="B21:C21"/>
    <mergeCell ref="B29:C29"/>
    <mergeCell ref="B37:C37"/>
    <mergeCell ref="F45:G45"/>
  </mergeCells>
  <printOptions/>
  <pageMargins bottom="0.75" footer="0.0" header="0.0" left="0.25" right="0.25" top="0.75"/>
  <pageSetup paperSize="9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1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0"/>
    <col customWidth="1" min="16" max="16" width="44.5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6.13"/>
    <col customWidth="1" min="31" max="31" width="44.5"/>
    <col customWidth="1" min="32" max="32" width="10.0"/>
    <col customWidth="1" min="33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24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>
      <c r="A7" s="28" t="s">
        <v>101</v>
      </c>
      <c r="B7" s="29" t="s">
        <v>102</v>
      </c>
      <c r="C7" s="30"/>
      <c r="D7" s="30"/>
      <c r="E7" s="8"/>
      <c r="F7" s="31"/>
      <c r="G7" s="32"/>
      <c r="H7" s="28" t="s">
        <v>103</v>
      </c>
      <c r="I7" s="27"/>
      <c r="J7" s="27"/>
      <c r="K7" s="27"/>
      <c r="L7" s="27"/>
      <c r="M7" s="33"/>
      <c r="N7" s="33"/>
      <c r="O7" s="33"/>
      <c r="P7" s="28" t="s">
        <v>101</v>
      </c>
      <c r="Q7" s="29" t="s">
        <v>102</v>
      </c>
      <c r="R7" s="30"/>
      <c r="S7" s="30"/>
      <c r="T7" s="8"/>
      <c r="U7" s="31"/>
      <c r="V7" s="32"/>
      <c r="W7" s="28" t="s">
        <v>103</v>
      </c>
      <c r="X7" s="27"/>
      <c r="Y7" s="33"/>
      <c r="Z7" s="33"/>
      <c r="AA7" s="33"/>
      <c r="AB7" s="33"/>
      <c r="AC7" s="33"/>
      <c r="AD7" s="33"/>
      <c r="AE7" s="28" t="s">
        <v>104</v>
      </c>
      <c r="AF7" s="34" t="s">
        <v>105</v>
      </c>
      <c r="AG7" s="34" t="s">
        <v>106</v>
      </c>
      <c r="AH7" s="34" t="s">
        <v>107</v>
      </c>
      <c r="AI7" s="34" t="s">
        <v>108</v>
      </c>
      <c r="AJ7" s="33"/>
      <c r="AK7" s="33"/>
      <c r="AL7" s="33"/>
      <c r="AM7" s="27"/>
      <c r="AN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5" t="s">
        <v>119</v>
      </c>
      <c r="AL8" s="36" t="s">
        <v>120</v>
      </c>
      <c r="AM8" s="37" t="s">
        <v>121</v>
      </c>
      <c r="AN8" s="37" t="s">
        <v>122</v>
      </c>
    </row>
    <row r="9" ht="13.5" customHeight="1">
      <c r="A9" s="38" t="str">
        <f>AE9</f>
        <v>Matthew Mifsud / Lara Pule'</v>
      </c>
      <c r="B9" s="39"/>
      <c r="C9" s="40">
        <f>IF(B9&gt;B11,1,0)</f>
        <v>0</v>
      </c>
      <c r="D9" s="41"/>
      <c r="E9" s="39"/>
      <c r="F9" s="40">
        <f>IF(E9&gt;E11,1,0)</f>
        <v>0</v>
      </c>
      <c r="G9" s="41"/>
      <c r="H9" s="39"/>
      <c r="I9" s="27">
        <f>IF(H9&gt;H11,1,0)</f>
        <v>0</v>
      </c>
      <c r="J9" s="27">
        <f>IF(B9="",0,1)</f>
        <v>0</v>
      </c>
      <c r="K9" s="27">
        <f>IF(C9+F9=2,3,IF(C9+F9=1,1,0))</f>
        <v>0</v>
      </c>
      <c r="L9" s="27">
        <f>IF(K9=3,3,IF(I9+K9=2,2,IF(K9=1,1,0)))</f>
        <v>0</v>
      </c>
      <c r="M9" s="27">
        <f>B9+E9</f>
        <v>0</v>
      </c>
      <c r="N9" s="27">
        <f>C9+F9+I9</f>
        <v>0</v>
      </c>
      <c r="O9" s="27"/>
      <c r="P9" s="42" t="str">
        <f>AE9</f>
        <v>Matthew Mifsud / Lara Pule'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47" t="str">
        <f>Players!B6&amp; " / " &amp;Players!C6</f>
        <v>Matthew Mifsud / Lara Pule'</v>
      </c>
      <c r="AF9" s="48">
        <f>J9+Y9+J13+J17+J29</f>
        <v>4</v>
      </c>
      <c r="AG9" s="48">
        <f t="shared" ref="AG9:AI9" si="1">L17+AA9+L13+L9+L29</f>
        <v>9</v>
      </c>
      <c r="AH9" s="48">
        <f t="shared" si="1"/>
        <v>41</v>
      </c>
      <c r="AI9" s="49">
        <f t="shared" si="1"/>
        <v>6</v>
      </c>
      <c r="AJ9" s="27"/>
      <c r="AK9" s="27"/>
      <c r="AL9" s="27"/>
      <c r="AM9" s="27"/>
      <c r="AN9" s="27"/>
    </row>
    <row r="10" ht="13.5" customHeight="1">
      <c r="A10" s="50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33"/>
      <c r="AG10" s="33"/>
      <c r="AH10" s="33"/>
      <c r="AI10" s="33"/>
      <c r="AJ10" s="27"/>
      <c r="AK10" s="33"/>
      <c r="AL10" s="33"/>
      <c r="AM10" s="27"/>
      <c r="AN10" s="27"/>
    </row>
    <row r="11" ht="13.5" customHeight="1">
      <c r="A11" s="54" t="str">
        <f>AE11</f>
        <v>Matthew Borg / Ann Marie Mangion</v>
      </c>
      <c r="B11" s="39"/>
      <c r="C11" s="55">
        <f>IF(B11&gt;B9,1,0)</f>
        <v>0</v>
      </c>
      <c r="D11" s="56"/>
      <c r="E11" s="39"/>
      <c r="F11" s="55">
        <f>IF(E11&gt;E9,1,0)</f>
        <v>0</v>
      </c>
      <c r="G11" s="56"/>
      <c r="H11" s="39"/>
      <c r="I11" s="27">
        <f>IF(H11&gt;H9,1,0)</f>
        <v>0</v>
      </c>
      <c r="J11" s="27">
        <f>IF(B11="",0,1)</f>
        <v>0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0</v>
      </c>
      <c r="N11" s="27">
        <f>C11+F11+I11</f>
        <v>0</v>
      </c>
      <c r="O11" s="27"/>
      <c r="P11" s="57" t="str">
        <f>AE15</f>
        <v>Melchior Farrugia / Julie Spiteri</v>
      </c>
      <c r="Q11" s="43">
        <v>3.0</v>
      </c>
      <c r="R11" s="58">
        <f>IF(Q11&gt;Q9,1,0)</f>
        <v>0</v>
      </c>
      <c r="S11" s="59"/>
      <c r="T11" s="43">
        <v>2.0</v>
      </c>
      <c r="U11" s="58">
        <f>IF(T11&gt;T9,1,0)</f>
        <v>0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5</v>
      </c>
      <c r="AC11" s="27">
        <f>R11+U11+X11</f>
        <v>0</v>
      </c>
      <c r="AD11" s="27"/>
      <c r="AE11" s="60" t="str">
        <f>Players!B7&amp; " / " &amp;Players!C7</f>
        <v>Matthew Borg / Ann Marie Mangion</v>
      </c>
      <c r="AF11" s="61">
        <f>Y21+Y25+Y13+J11+Y29</f>
        <v>0</v>
      </c>
      <c r="AG11" s="61">
        <f t="shared" ref="AG11:AI11" si="2">AA21+AA25+AA13+L11+AA29</f>
        <v>0</v>
      </c>
      <c r="AH11" s="61">
        <f t="shared" si="2"/>
        <v>0</v>
      </c>
      <c r="AI11" s="62">
        <f t="shared" si="2"/>
        <v>0</v>
      </c>
      <c r="AJ11" s="33"/>
      <c r="AK11" s="33"/>
      <c r="AL11" s="33"/>
      <c r="AM11" s="27"/>
      <c r="AN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3.5" customHeight="1">
      <c r="A13" s="42" t="str">
        <f>AE9</f>
        <v>Matthew Mifsud / Lara Pule'</v>
      </c>
      <c r="B13" s="43">
        <v>5.0</v>
      </c>
      <c r="C13" s="44">
        <f>IF(B13&gt;B15,1,0)</f>
        <v>0</v>
      </c>
      <c r="D13" s="45"/>
      <c r="E13" s="43">
        <v>0.0</v>
      </c>
      <c r="F13" s="44">
        <f>IF(E13&gt;E15,1,0)</f>
        <v>0</v>
      </c>
      <c r="G13" s="45"/>
      <c r="H13" s="46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5</v>
      </c>
      <c r="N13" s="27">
        <f>C13+F13+I13</f>
        <v>0</v>
      </c>
      <c r="O13" s="27"/>
      <c r="P13" s="38" t="str">
        <f>AE11</f>
        <v>Matthew Borg / Ann Marie Mangion</v>
      </c>
      <c r="Q13" s="39"/>
      <c r="R13" s="40">
        <f>IF(Q13&gt;Q15,1,0)</f>
        <v>0</v>
      </c>
      <c r="S13" s="41"/>
      <c r="T13" s="39"/>
      <c r="U13" s="40">
        <f>IF(T13&gt;T15,1,0)</f>
        <v>0</v>
      </c>
      <c r="V13" s="41"/>
      <c r="W13" s="39"/>
      <c r="X13" s="27">
        <f>IF(W13&gt;W15,1,0)</f>
        <v>0</v>
      </c>
      <c r="Y13" s="27">
        <f>IF(Q13="",0,1)</f>
        <v>0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0</v>
      </c>
      <c r="AC13" s="27">
        <f>R13+U13+X13</f>
        <v>0</v>
      </c>
      <c r="AD13" s="27"/>
      <c r="AE13" s="47" t="str">
        <f>Players!B8&amp; " / " &amp;Players!C8</f>
        <v>Duncan D'alessandro / Renette Magro</v>
      </c>
      <c r="AF13" s="48">
        <f>Y23+Y17+J15+J21+J33</f>
        <v>3</v>
      </c>
      <c r="AG13" s="48">
        <f t="shared" ref="AG13:AI13" si="3">AA23+AA17+L15+L21+L33</f>
        <v>9</v>
      </c>
      <c r="AH13" s="48">
        <f t="shared" si="3"/>
        <v>37</v>
      </c>
      <c r="AI13" s="49">
        <f t="shared" si="3"/>
        <v>6</v>
      </c>
      <c r="AJ13" s="33"/>
      <c r="AK13" s="33"/>
      <c r="AL13" s="33"/>
      <c r="AM13" s="27"/>
      <c r="AN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0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3.5" customHeight="1">
      <c r="A15" s="57" t="str">
        <f>AE13</f>
        <v>Duncan D'alessandro / Renette Magro</v>
      </c>
      <c r="B15" s="43">
        <v>7.0</v>
      </c>
      <c r="C15" s="58">
        <f>IF(B15&gt;B13,1,0)</f>
        <v>1</v>
      </c>
      <c r="D15" s="59"/>
      <c r="E15" s="43">
        <v>6.0</v>
      </c>
      <c r="F15" s="58">
        <f>IF(E15&gt;E13,1,0)</f>
        <v>1</v>
      </c>
      <c r="G15" s="59"/>
      <c r="H15" s="46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13</v>
      </c>
      <c r="N15" s="27">
        <f>C15+F15+I15</f>
        <v>2</v>
      </c>
      <c r="O15" s="27"/>
      <c r="P15" s="54" t="str">
        <f>AE15</f>
        <v>Melchior Farrugia / Julie Spiteri</v>
      </c>
      <c r="Q15" s="39"/>
      <c r="R15" s="55">
        <f>IF(Q15&gt;Q13,1,0)</f>
        <v>0</v>
      </c>
      <c r="S15" s="56"/>
      <c r="T15" s="39"/>
      <c r="U15" s="55">
        <f>IF(T15&gt;T13,1,0)</f>
        <v>0</v>
      </c>
      <c r="V15" s="56"/>
      <c r="W15" s="39"/>
      <c r="X15" s="27">
        <f>IF(W15&gt;W13,1,0)</f>
        <v>0</v>
      </c>
      <c r="Y15" s="27">
        <f>IF(Q15="",0,1)</f>
        <v>0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0</v>
      </c>
      <c r="AC15" s="27">
        <f>R15+U15+X15</f>
        <v>0</v>
      </c>
      <c r="AD15" s="27"/>
      <c r="AE15" s="47" t="str">
        <f>Players!B9&amp; " / " &amp;Players!C9</f>
        <v>Melchior Farrugia / Julie Spiteri</v>
      </c>
      <c r="AF15" s="48">
        <f>J25+Y19+Y11+Y15+Y33</f>
        <v>4</v>
      </c>
      <c r="AG15" s="48">
        <f t="shared" ref="AG15:AI15" si="4">L25+AA19+AA11+AA15+AA33</f>
        <v>4</v>
      </c>
      <c r="AH15" s="48">
        <f t="shared" si="4"/>
        <v>25</v>
      </c>
      <c r="AI15" s="49">
        <f t="shared" si="4"/>
        <v>4</v>
      </c>
      <c r="AJ15" s="33"/>
      <c r="AK15" s="33"/>
      <c r="AL15" s="33"/>
      <c r="AM15" s="27"/>
      <c r="AN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33"/>
      <c r="AM16" s="27"/>
      <c r="AN16" s="27"/>
    </row>
    <row r="17" ht="13.5" customHeight="1">
      <c r="A17" s="42" t="str">
        <f>AE9</f>
        <v>Matthew Mifsud / Lara Pule'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2" t="str">
        <f>AE13</f>
        <v>Duncan D'alessandro / Renette Magro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47" t="str">
        <f>Players!B10&amp; " / " &amp;Players!C10</f>
        <v>Kurt Carabott / Pierina Holmin</v>
      </c>
      <c r="AF17" s="48">
        <f>J23+J27+Y27+J19+J37</f>
        <v>4</v>
      </c>
      <c r="AG17" s="48">
        <f t="shared" ref="AG17:AI17" si="5">L27+L19+AA27+L23+L37</f>
        <v>3</v>
      </c>
      <c r="AH17" s="48">
        <f t="shared" si="5"/>
        <v>25</v>
      </c>
      <c r="AI17" s="49">
        <f t="shared" si="5"/>
        <v>3</v>
      </c>
      <c r="AJ17" s="33"/>
      <c r="AK17" s="33"/>
      <c r="AL17" s="33"/>
      <c r="AM17" s="27"/>
      <c r="AN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J18" s="33"/>
      <c r="AK18" s="33"/>
      <c r="AL18" s="33"/>
      <c r="AM18" s="27"/>
      <c r="AN18" s="27"/>
    </row>
    <row r="19" ht="13.5" customHeight="1">
      <c r="A19" s="57" t="str">
        <f>AE17</f>
        <v>Kurt Carabott / Pierina Holmin</v>
      </c>
      <c r="B19" s="43">
        <v>2.0</v>
      </c>
      <c r="C19" s="58">
        <f>IF(B19&gt;B17,1,0)</f>
        <v>0</v>
      </c>
      <c r="D19" s="59"/>
      <c r="E19" s="43">
        <v>3.0</v>
      </c>
      <c r="F19" s="58">
        <f>IF(E19&gt;E17,1,0)</f>
        <v>0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5</v>
      </c>
      <c r="N19" s="27">
        <f>C19+F19+I19</f>
        <v>0</v>
      </c>
      <c r="O19" s="27"/>
      <c r="P19" s="57" t="str">
        <f>AE15</f>
        <v>Melchior Farrugia / Julie Spiteri</v>
      </c>
      <c r="Q19" s="43">
        <v>3.0</v>
      </c>
      <c r="R19" s="58">
        <f>IF(Q19&gt;Q17,1,0)</f>
        <v>0</v>
      </c>
      <c r="S19" s="59"/>
      <c r="T19" s="43">
        <v>0.0</v>
      </c>
      <c r="U19" s="58">
        <f>IF(T19&gt;T17,1,0)</f>
        <v>0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3</v>
      </c>
      <c r="AC19" s="27">
        <f>R19+U19+X19</f>
        <v>0</v>
      </c>
      <c r="AD19" s="63" t="s">
        <v>124</v>
      </c>
      <c r="AE19" s="47" t="str">
        <f>Players!B11&amp; " / " &amp;Players!C11</f>
        <v>Jean Attard / Yanika Pace</v>
      </c>
      <c r="AF19" s="48">
        <f>J31+J35+J39+Y31+Y35</f>
        <v>3</v>
      </c>
      <c r="AG19" s="48">
        <f t="shared" ref="AG19:AI19" si="6">L31+L35+L39+AA31+AA35</f>
        <v>2</v>
      </c>
      <c r="AH19" s="48">
        <f t="shared" si="6"/>
        <v>25</v>
      </c>
      <c r="AI19" s="49">
        <f t="shared" si="6"/>
        <v>2</v>
      </c>
      <c r="AJ19" s="27"/>
      <c r="AK19" s="33"/>
      <c r="AL19" s="33"/>
      <c r="AM19" s="27"/>
      <c r="AN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3"/>
      <c r="AL20" s="27"/>
      <c r="AM20" s="27"/>
      <c r="AN20" s="27"/>
    </row>
    <row r="21" ht="13.5" customHeight="1">
      <c r="A21" s="42" t="str">
        <f>AE13</f>
        <v>Duncan D'alessandro / Renette Magro</v>
      </c>
      <c r="B21" s="43">
        <v>6.0</v>
      </c>
      <c r="C21" s="44">
        <f>IF(B21&gt;B23,1,0)</f>
        <v>1</v>
      </c>
      <c r="D21" s="45"/>
      <c r="E21" s="43">
        <v>6.0</v>
      </c>
      <c r="F21" s="44">
        <f>IF(E21&gt;E23,1,0)</f>
        <v>1</v>
      </c>
      <c r="G21" s="45"/>
      <c r="H21" s="46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64"/>
      <c r="P21" s="38" t="str">
        <f>AE11</f>
        <v>Matthew Borg / Ann Marie Mangion</v>
      </c>
      <c r="Q21" s="39"/>
      <c r="R21" s="40">
        <f>IF(Q21&gt;Q23,1,0)</f>
        <v>0</v>
      </c>
      <c r="S21" s="41"/>
      <c r="T21" s="39"/>
      <c r="U21" s="40">
        <f>IF(T21&gt;T23,1,0)</f>
        <v>0</v>
      </c>
      <c r="V21" s="41"/>
      <c r="W21" s="39"/>
      <c r="X21" s="27">
        <f>IF(W21&gt;W23,1,0)</f>
        <v>0</v>
      </c>
      <c r="Y21" s="27">
        <f>IF(Q21="",0,1)</f>
        <v>0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0</v>
      </c>
      <c r="AC21" s="27">
        <f>R21+U21+X21</f>
        <v>0</v>
      </c>
      <c r="AD21" s="27"/>
      <c r="AE21" s="29" t="s">
        <v>125</v>
      </c>
      <c r="AF21" s="30"/>
      <c r="AG21" s="30"/>
      <c r="AH21" s="30"/>
      <c r="AI21" s="8"/>
      <c r="AJ21" s="27"/>
      <c r="AK21" s="27"/>
      <c r="AL21" s="27"/>
      <c r="AM21" s="27"/>
      <c r="AN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0" t="s">
        <v>123</v>
      </c>
      <c r="W22" s="51"/>
      <c r="X22" s="52"/>
      <c r="Y22" s="27"/>
      <c r="Z22" s="27"/>
      <c r="AA22" s="27"/>
      <c r="AB22" s="27"/>
      <c r="AC22" s="27"/>
      <c r="AD22" s="27"/>
      <c r="AE22" s="65" t="s">
        <v>126</v>
      </c>
      <c r="AF22" s="30"/>
      <c r="AG22" s="30"/>
      <c r="AH22" s="30"/>
      <c r="AI22" s="8"/>
      <c r="AJ22" s="27"/>
      <c r="AK22" s="33"/>
      <c r="AL22" s="27"/>
      <c r="AM22" s="27"/>
      <c r="AN22" s="27"/>
    </row>
    <row r="23" ht="13.5" customHeight="1">
      <c r="A23" s="57" t="str">
        <f>AE17</f>
        <v>Kurt Carabott / Pierina Holmin</v>
      </c>
      <c r="B23" s="43">
        <v>1.0</v>
      </c>
      <c r="C23" s="58">
        <f>IF(B23&gt;B21,1,0)</f>
        <v>0</v>
      </c>
      <c r="D23" s="59"/>
      <c r="E23" s="43">
        <v>1.0</v>
      </c>
      <c r="F23" s="58">
        <f>IF(E23&gt;E21,1,0)</f>
        <v>0</v>
      </c>
      <c r="G23" s="59"/>
      <c r="H23" s="46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2</v>
      </c>
      <c r="N23" s="27">
        <f>C23+F23+I23</f>
        <v>0</v>
      </c>
      <c r="O23" s="27"/>
      <c r="P23" s="54" t="str">
        <f>AE13</f>
        <v>Duncan D'alessandro / Renette Magro</v>
      </c>
      <c r="Q23" s="39"/>
      <c r="R23" s="55">
        <f>IF(Q23&gt;Q21,1,0)</f>
        <v>0</v>
      </c>
      <c r="S23" s="56"/>
      <c r="T23" s="39"/>
      <c r="U23" s="55">
        <f>IF(T23&gt;T21,1,0)</f>
        <v>0</v>
      </c>
      <c r="V23" s="56"/>
      <c r="W23" s="39"/>
      <c r="X23" s="27">
        <f>IF(W23&gt;W21,1,0)</f>
        <v>0</v>
      </c>
      <c r="Y23" s="27">
        <f>IF(Q23="",0,1)</f>
        <v>0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0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3.5" customHeight="1">
      <c r="A25" s="42" t="str">
        <f>AE15</f>
        <v>Melchior Farrugia / Julie Spiteri</v>
      </c>
      <c r="B25" s="43">
        <v>6.0</v>
      </c>
      <c r="C25" s="44">
        <f>IF(B25&gt;B27,1,0)</f>
        <v>1</v>
      </c>
      <c r="D25" s="45"/>
      <c r="E25" s="43">
        <v>2.0</v>
      </c>
      <c r="F25" s="44">
        <f>IF(E25&gt;E27,1,0)</f>
        <v>0</v>
      </c>
      <c r="G25" s="45"/>
      <c r="H25" s="43">
        <v>10.0</v>
      </c>
      <c r="I25" s="27">
        <f>IF(H25&gt;H27,1,0)</f>
        <v>1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2</v>
      </c>
      <c r="M25" s="27">
        <f>B25+E25</f>
        <v>8</v>
      </c>
      <c r="N25" s="27">
        <f>C25+F25+I25</f>
        <v>2</v>
      </c>
      <c r="O25" s="27"/>
      <c r="P25" s="38" t="str">
        <f>AE11</f>
        <v>Matthew Borg / Ann Marie Mangion</v>
      </c>
      <c r="Q25" s="39"/>
      <c r="R25" s="40">
        <f>IF(Q25&gt;Q27,1,0)</f>
        <v>0</v>
      </c>
      <c r="S25" s="41"/>
      <c r="T25" s="39"/>
      <c r="U25" s="40">
        <f>IF(T25&gt;T27,1,0)</f>
        <v>0</v>
      </c>
      <c r="V25" s="41"/>
      <c r="W25" s="39"/>
      <c r="X25" s="27">
        <f>IF(W25&gt;W27,1,0)</f>
        <v>0</v>
      </c>
      <c r="Y25" s="27">
        <f>IF(Q25="",0,1)</f>
        <v>0</v>
      </c>
      <c r="Z25" s="27">
        <f>IF(R25+U25=2,3,IF(R25+U25=1,1,0))</f>
        <v>0</v>
      </c>
      <c r="AA25" s="27">
        <f>IF(Z25=3,3,IF(X25+Z25=2,2,IF(Z25=1,1,0)))</f>
        <v>0</v>
      </c>
      <c r="AB25" s="27">
        <f>Q25+T25</f>
        <v>0</v>
      </c>
      <c r="AC25" s="27">
        <f>R25+U25+X25</f>
        <v>0</v>
      </c>
      <c r="AD25" s="27"/>
      <c r="AE25" s="29" t="s">
        <v>127</v>
      </c>
      <c r="AF25" s="30"/>
      <c r="AG25" s="30"/>
      <c r="AH25" s="30"/>
      <c r="AI25" s="8"/>
      <c r="AJ25" s="27"/>
      <c r="AK25" s="27"/>
      <c r="AL25" s="27"/>
      <c r="AM25" s="27"/>
      <c r="AN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0" t="s">
        <v>123</v>
      </c>
      <c r="W26" s="51"/>
      <c r="X26" s="52"/>
      <c r="Y26" s="27"/>
      <c r="Z26" s="27"/>
      <c r="AA26" s="27"/>
      <c r="AB26" s="27"/>
      <c r="AC26" s="27"/>
      <c r="AD26" s="27"/>
      <c r="AE26" s="65" t="s">
        <v>128</v>
      </c>
      <c r="AF26" s="30"/>
      <c r="AG26" s="30"/>
      <c r="AH26" s="30"/>
      <c r="AI26" s="8"/>
      <c r="AJ26" s="27"/>
      <c r="AK26" s="27"/>
      <c r="AL26" s="27"/>
      <c r="AM26" s="27"/>
      <c r="AN26" s="27"/>
    </row>
    <row r="27" ht="13.5" customHeight="1">
      <c r="A27" s="57" t="str">
        <f>AE17</f>
        <v>Kurt Carabott / Pierina Holmin</v>
      </c>
      <c r="B27" s="43">
        <v>4.0</v>
      </c>
      <c r="C27" s="58">
        <f>IF(B27&gt;B25,1,0)</f>
        <v>0</v>
      </c>
      <c r="D27" s="59"/>
      <c r="E27" s="43">
        <v>6.0</v>
      </c>
      <c r="F27" s="58">
        <f>IF(E27&gt;E25,1,0)</f>
        <v>1</v>
      </c>
      <c r="G27" s="59"/>
      <c r="H27" s="43">
        <v>8.0</v>
      </c>
      <c r="I27" s="27">
        <f>IF(H27&gt;H25,1,0)</f>
        <v>0</v>
      </c>
      <c r="J27" s="27">
        <f>IF(B27="",0,1)</f>
        <v>1</v>
      </c>
      <c r="K27" s="27">
        <f>IF(C27+F27=2,3,IF(C27+F27=1,1,0))</f>
        <v>1</v>
      </c>
      <c r="L27" s="27">
        <f>IF(K27=3,3,IF(I27+K27=2,2,IF(K27=1,1,0)))</f>
        <v>1</v>
      </c>
      <c r="M27" s="27">
        <f>B27+E27</f>
        <v>10</v>
      </c>
      <c r="N27" s="27">
        <f>C27+F27+I27</f>
        <v>1</v>
      </c>
      <c r="O27" s="27"/>
      <c r="P27" s="54" t="str">
        <f>AE17</f>
        <v>Kurt Carabott / Pierina Holmin</v>
      </c>
      <c r="Q27" s="39"/>
      <c r="R27" s="55">
        <f>IF(Q27&gt;Q25,1,0)</f>
        <v>0</v>
      </c>
      <c r="S27" s="56"/>
      <c r="T27" s="39"/>
      <c r="U27" s="55">
        <f>IF(T27&gt;T25,1,0)</f>
        <v>0</v>
      </c>
      <c r="V27" s="56"/>
      <c r="W27" s="39"/>
      <c r="X27" s="27">
        <f>IF(W27&gt;W25,1,0)</f>
        <v>0</v>
      </c>
      <c r="Y27" s="27">
        <f>IF(Q27="",0,1)</f>
        <v>0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0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  <c r="AM28" s="27"/>
      <c r="AN28" s="27"/>
    </row>
    <row r="29" ht="13.5" customHeight="1">
      <c r="A29" s="42" t="str">
        <f>AE9</f>
        <v>Matthew Mifsud / Lara Pule'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12</v>
      </c>
      <c r="N29" s="27">
        <f>C29+F29+I29</f>
        <v>2</v>
      </c>
      <c r="O29" s="27"/>
      <c r="P29" s="38" t="str">
        <f>AE11</f>
        <v>Matthew Borg / Ann Marie Mangion</v>
      </c>
      <c r="Q29" s="39"/>
      <c r="R29" s="40">
        <f>IF(Q29&gt;Q31,1,0)</f>
        <v>0</v>
      </c>
      <c r="S29" s="41"/>
      <c r="T29" s="39"/>
      <c r="U29" s="40">
        <f>IF(T29&gt;T31,1,0)</f>
        <v>0</v>
      </c>
      <c r="V29" s="41"/>
      <c r="W29" s="39"/>
      <c r="X29" s="27">
        <f>IF(W29&gt;W31,1,0)</f>
        <v>0</v>
      </c>
      <c r="Y29" s="27">
        <f>IF(Q29="",0,1)</f>
        <v>0</v>
      </c>
      <c r="Z29" s="27">
        <f>IF(R29+U29=2,3,IF(R29+U29=1,1,0))</f>
        <v>0</v>
      </c>
      <c r="AA29" s="27">
        <f>IF(Z29=3,3,IF(X29+Z29=2,2,IF(Z29=1,1,0)))</f>
        <v>0</v>
      </c>
      <c r="AB29" s="27">
        <f>Q29+T29</f>
        <v>0</v>
      </c>
      <c r="AC29" s="27">
        <f>R29+U29+X29</f>
        <v>0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27"/>
      <c r="P30" s="50" t="s">
        <v>123</v>
      </c>
      <c r="W30" s="51"/>
      <c r="X30" s="52"/>
      <c r="Y30" s="27"/>
      <c r="Z30" s="27"/>
      <c r="AA30" s="27"/>
      <c r="AB30" s="27"/>
      <c r="AC30" s="27"/>
      <c r="AD30" s="27"/>
      <c r="AJ30" s="27"/>
      <c r="AK30" s="27"/>
      <c r="AL30" s="66"/>
      <c r="AM30" s="27"/>
      <c r="AN30" s="27"/>
    </row>
    <row r="31" ht="13.5" customHeight="1">
      <c r="A31" s="67" t="str">
        <f>AE19</f>
        <v>Jean Attard / Yanika Pace</v>
      </c>
      <c r="B31" s="43">
        <v>3.0</v>
      </c>
      <c r="C31" s="58">
        <f>IF(B31&gt;B29,1,0)</f>
        <v>0</v>
      </c>
      <c r="D31" s="59"/>
      <c r="E31" s="43">
        <v>3.0</v>
      </c>
      <c r="F31" s="58">
        <f>IF(E31&gt;E29,1,0)</f>
        <v>0</v>
      </c>
      <c r="G31" s="59"/>
      <c r="H31" s="46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6</v>
      </c>
      <c r="N31" s="27">
        <f>C31+F31+I31</f>
        <v>0</v>
      </c>
      <c r="O31" s="27"/>
      <c r="P31" s="68" t="str">
        <f>AE19</f>
        <v>Jean Attard / Yanika Pace</v>
      </c>
      <c r="Q31" s="39"/>
      <c r="R31" s="55">
        <f>IF(Q31&gt;Q29,1,0)</f>
        <v>0</v>
      </c>
      <c r="S31" s="56"/>
      <c r="T31" s="39"/>
      <c r="U31" s="55">
        <f>IF(T31&gt;T29,1,0)</f>
        <v>0</v>
      </c>
      <c r="V31" s="56"/>
      <c r="W31" s="39"/>
      <c r="X31" s="27">
        <f>IF(W31&gt;W29,1,0)</f>
        <v>0</v>
      </c>
      <c r="Y31" s="27">
        <f>IF(Q31="",0,1)</f>
        <v>0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0</v>
      </c>
      <c r="AC31" s="27">
        <f>R31+U31+X31</f>
        <v>0</v>
      </c>
      <c r="AD31" s="27"/>
      <c r="AJ31" s="27"/>
      <c r="AK31" s="27"/>
      <c r="AL31" s="27"/>
      <c r="AM31" s="27"/>
      <c r="AN31" s="33"/>
    </row>
    <row r="32" ht="13.5" customHeight="1">
      <c r="I32" s="27"/>
      <c r="J32" s="27"/>
      <c r="K32" s="27"/>
      <c r="L32" s="27"/>
      <c r="M32" s="27"/>
      <c r="N32" s="27"/>
      <c r="X32" s="27"/>
      <c r="Y32" s="27"/>
      <c r="Z32" s="27"/>
      <c r="AA32" s="27"/>
      <c r="AB32" s="27"/>
      <c r="AC32" s="27"/>
      <c r="AD32" s="27"/>
      <c r="AJ32" s="27"/>
      <c r="AK32" s="27"/>
      <c r="AL32" s="66"/>
      <c r="AM32" s="27"/>
      <c r="AN32" s="27"/>
    </row>
    <row r="33" ht="13.5" customHeight="1">
      <c r="A33" s="42" t="str">
        <f>AE13</f>
        <v>Duncan D'alessandro / Renette Magro</v>
      </c>
      <c r="B33" s="46"/>
      <c r="C33" s="44">
        <f>IF(B33&gt;B35,1,0)</f>
        <v>0</v>
      </c>
      <c r="D33" s="45"/>
      <c r="E33" s="46"/>
      <c r="F33" s="44">
        <f>IF(E33&gt;E35,1,0)</f>
        <v>0</v>
      </c>
      <c r="G33" s="45"/>
      <c r="H33" s="46"/>
      <c r="I33" s="27">
        <f>IF(H33&gt;H35,1,0)</f>
        <v>0</v>
      </c>
      <c r="J33" s="27">
        <f>IF(B33="",0,1)</f>
        <v>0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0</v>
      </c>
      <c r="N33" s="27">
        <f>C33+F33+I33</f>
        <v>0</v>
      </c>
      <c r="O33" s="69"/>
      <c r="P33" s="42" t="str">
        <f>AE15</f>
        <v>Melchior Farrugia / Julie Spiteri</v>
      </c>
      <c r="Q33" s="43">
        <v>6.0</v>
      </c>
      <c r="R33" s="44">
        <f>IF(Q33&gt;Q35,1,0)</f>
        <v>1</v>
      </c>
      <c r="S33" s="45"/>
      <c r="T33" s="43">
        <v>3.0</v>
      </c>
      <c r="U33" s="44">
        <f>IF(T33&gt;T35,1,0)</f>
        <v>0</v>
      </c>
      <c r="V33" s="45"/>
      <c r="W33" s="43">
        <v>10.0</v>
      </c>
      <c r="X33" s="27">
        <f>IF(W33&gt;W35,1,0)</f>
        <v>1</v>
      </c>
      <c r="Y33" s="27">
        <f>IF(Q33="",0,1)</f>
        <v>1</v>
      </c>
      <c r="Z33" s="27">
        <f>IF(R33+U33=2,3,IF(R33+U33=1,1,0))</f>
        <v>1</v>
      </c>
      <c r="AA33" s="27">
        <f>IF(Z33=3,3,IF(X33+Z33=2,2,IF(Z33=1,1,0)))</f>
        <v>2</v>
      </c>
      <c r="AB33" s="27">
        <f>Q33+T33</f>
        <v>9</v>
      </c>
      <c r="AC33" s="27">
        <f>R33+U33+X33</f>
        <v>2</v>
      </c>
      <c r="AD33" s="27"/>
      <c r="AJ33" s="27"/>
      <c r="AK33" s="27"/>
      <c r="AL33" s="27"/>
      <c r="AM33" s="27"/>
      <c r="AN33" s="27"/>
    </row>
    <row r="34" ht="13.5" customHeight="1">
      <c r="A34" s="53" t="s">
        <v>123</v>
      </c>
      <c r="H34" s="51"/>
      <c r="I34" s="52"/>
      <c r="J34" s="27"/>
      <c r="K34" s="27"/>
      <c r="L34" s="27"/>
      <c r="M34" s="27"/>
      <c r="N34" s="27"/>
      <c r="P34" s="53" t="s">
        <v>123</v>
      </c>
      <c r="W34" s="51"/>
      <c r="X34" s="52"/>
      <c r="Y34" s="27"/>
      <c r="Z34" s="27"/>
      <c r="AA34" s="27"/>
      <c r="AB34" s="27"/>
      <c r="AC34" s="27"/>
      <c r="AD34" s="27"/>
      <c r="AJ34" s="27"/>
      <c r="AK34" s="27"/>
      <c r="AL34" s="27"/>
      <c r="AM34" s="27"/>
      <c r="AN34" s="27"/>
    </row>
    <row r="35" ht="13.5" customHeight="1">
      <c r="A35" s="67" t="str">
        <f>AE19</f>
        <v>Jean Attard / Yanika Pace</v>
      </c>
      <c r="B35" s="46"/>
      <c r="C35" s="58">
        <f>IF(B35&gt;B33,1,0)</f>
        <v>0</v>
      </c>
      <c r="D35" s="59"/>
      <c r="E35" s="46"/>
      <c r="F35" s="58">
        <f>IF(E35&gt;E33,1,0)</f>
        <v>0</v>
      </c>
      <c r="G35" s="59"/>
      <c r="H35" s="46"/>
      <c r="I35" s="27">
        <f>IF(H35&gt;H33,1,0)</f>
        <v>0</v>
      </c>
      <c r="J35" s="27">
        <f>IF(B35="",0,1)</f>
        <v>0</v>
      </c>
      <c r="K35" s="27">
        <f>IF(C35+F35=2,3,IF(C35+F35=1,1,0))</f>
        <v>0</v>
      </c>
      <c r="L35" s="27">
        <f>IF(K35=3,3,IF(I35+K35=2,2,IF(K35=1,1,0)))</f>
        <v>0</v>
      </c>
      <c r="M35" s="27">
        <f>B35+E35</f>
        <v>0</v>
      </c>
      <c r="N35" s="27">
        <f>C35+F35+I35</f>
        <v>0</v>
      </c>
      <c r="P35" s="67" t="str">
        <f>AE19</f>
        <v>Jean Attard / Yanika Pace</v>
      </c>
      <c r="Q35" s="43">
        <v>4.0</v>
      </c>
      <c r="R35" s="58">
        <f>IF(Q35&gt;Q33,1,0)</f>
        <v>0</v>
      </c>
      <c r="S35" s="59"/>
      <c r="T35" s="43">
        <v>6.0</v>
      </c>
      <c r="U35" s="58">
        <f>IF(T35&gt;T33,1,0)</f>
        <v>1</v>
      </c>
      <c r="V35" s="59"/>
      <c r="W35" s="43">
        <v>8.0</v>
      </c>
      <c r="X35" s="27">
        <f>IF(W35&gt;W33,1,0)</f>
        <v>0</v>
      </c>
      <c r="Y35" s="27">
        <f>IF(Q35="",0,1)</f>
        <v>1</v>
      </c>
      <c r="Z35" s="27">
        <f>IF(R35+U35=2,3,IF(R35+U35=1,1,0))</f>
        <v>1</v>
      </c>
      <c r="AA35" s="27">
        <f>IF(Z35=3,3,IF(X35+Z35=2,2,IF(Z35=1,1,0)))</f>
        <v>1</v>
      </c>
      <c r="AB35" s="27">
        <f>Q35+T35</f>
        <v>10</v>
      </c>
      <c r="AC35" s="27">
        <f>R35+U35+X35</f>
        <v>1</v>
      </c>
      <c r="AD35" s="27"/>
      <c r="AJ35" s="27"/>
      <c r="AK35" s="27"/>
      <c r="AL35" s="27"/>
      <c r="AM35" s="27"/>
      <c r="AN35" s="27"/>
    </row>
    <row r="36" ht="13.5" customHeight="1">
      <c r="I36" s="27"/>
      <c r="J36" s="27"/>
      <c r="K36" s="27"/>
      <c r="L36" s="27"/>
      <c r="M36" s="27"/>
      <c r="N36" s="27"/>
      <c r="AD36" s="27"/>
      <c r="AJ36" s="27"/>
      <c r="AK36" s="33"/>
      <c r="AL36" s="27"/>
      <c r="AM36" s="27"/>
      <c r="AN36" s="27"/>
    </row>
    <row r="37" ht="13.5" customHeight="1">
      <c r="A37" s="42" t="str">
        <f>AE17</f>
        <v>Kurt Carabott / Pierina Holmin</v>
      </c>
      <c r="B37" s="43">
        <v>6.0</v>
      </c>
      <c r="C37" s="44">
        <f>IF(B37&gt;B39,1,0)</f>
        <v>1</v>
      </c>
      <c r="D37" s="45"/>
      <c r="E37" s="43">
        <v>2.0</v>
      </c>
      <c r="F37" s="44">
        <f>IF(E37&gt;E39,1,0)</f>
        <v>0</v>
      </c>
      <c r="G37" s="45"/>
      <c r="H37" s="43">
        <v>10.0</v>
      </c>
      <c r="I37" s="27">
        <f>IF(H37&gt;H39,1,0)</f>
        <v>1</v>
      </c>
      <c r="J37" s="27">
        <f>IF(B37="",0,1)</f>
        <v>1</v>
      </c>
      <c r="K37" s="27">
        <f>IF(C37+F37=2,3,IF(C37+F37=1,1,0))</f>
        <v>1</v>
      </c>
      <c r="L37" s="27">
        <f>IF(K37=3,3,IF(I37+K37=2,2,IF(K37=1,1,0)))</f>
        <v>2</v>
      </c>
      <c r="M37" s="27">
        <f>B37+E37</f>
        <v>8</v>
      </c>
      <c r="N37" s="27">
        <f>C37+F37+I37</f>
        <v>2</v>
      </c>
      <c r="AD37" s="27"/>
      <c r="AJ37" s="27"/>
      <c r="AK37" s="33"/>
      <c r="AL37" s="27"/>
      <c r="AM37" s="27"/>
      <c r="AN37" s="27"/>
    </row>
    <row r="38" ht="13.5" customHeight="1">
      <c r="A38" s="53" t="s">
        <v>123</v>
      </c>
      <c r="H38" s="51"/>
      <c r="I38" s="52"/>
      <c r="J38" s="27"/>
      <c r="K38" s="27"/>
      <c r="L38" s="27"/>
      <c r="M38" s="27"/>
      <c r="N38" s="27"/>
      <c r="AD38" s="27"/>
      <c r="AJ38" s="70"/>
      <c r="AK38" s="27"/>
      <c r="AL38" s="27"/>
      <c r="AM38" s="27"/>
      <c r="AN38" s="27"/>
    </row>
    <row r="39" ht="13.5" customHeight="1">
      <c r="A39" s="67" t="str">
        <f>AE19</f>
        <v>Jean Attard / Yanika Pace</v>
      </c>
      <c r="B39" s="43">
        <v>3.0</v>
      </c>
      <c r="C39" s="58">
        <f>IF(B39&gt;B37,1,0)</f>
        <v>0</v>
      </c>
      <c r="D39" s="59"/>
      <c r="E39" s="43">
        <v>6.0</v>
      </c>
      <c r="F39" s="58">
        <f>IF(E39&gt;E37,1,0)</f>
        <v>1</v>
      </c>
      <c r="G39" s="59"/>
      <c r="H39" s="43">
        <v>4.0</v>
      </c>
      <c r="I39" s="27">
        <f>IF(H39&gt;H37,1,0)</f>
        <v>0</v>
      </c>
      <c r="J39" s="27">
        <f>IF(B39="",0,1)</f>
        <v>1</v>
      </c>
      <c r="K39" s="27">
        <f>IF(C39+F39=2,3,IF(C39+F39=1,1,0))</f>
        <v>1</v>
      </c>
      <c r="L39" s="27">
        <f>IF(K39=3,3,IF(I39+K39=2,2,IF(K39=1,1,0)))</f>
        <v>1</v>
      </c>
      <c r="M39" s="27">
        <f>B39+E39</f>
        <v>9</v>
      </c>
      <c r="N39" s="27">
        <f>C39+F39+I39</f>
        <v>1</v>
      </c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70"/>
      <c r="AK41" s="27"/>
      <c r="AL41" s="27"/>
      <c r="AM41" s="27"/>
      <c r="AN41" s="27"/>
    </row>
    <row r="42" ht="13.5" customHeight="1"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3.5" customHeight="1"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3.5" customHeight="1"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3.5" customHeight="1"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3.5" customHeight="1">
      <c r="AD46" s="27"/>
      <c r="AE46" s="27"/>
      <c r="AF46" s="27"/>
      <c r="AG46" s="27"/>
      <c r="AH46" s="27"/>
      <c r="AI46" s="27"/>
      <c r="AJ46" s="70"/>
      <c r="AK46" s="27"/>
      <c r="AL46" s="33"/>
      <c r="AM46" s="27"/>
      <c r="AN46" s="27"/>
    </row>
    <row r="47" ht="13.5" customHeight="1"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3.5" customHeight="1"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3.5" customHeight="1"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3.5" customHeight="1"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3.5" customHeight="1">
      <c r="AD51" s="27"/>
      <c r="AE51" s="27"/>
      <c r="AF51" s="27"/>
      <c r="AG51" s="27"/>
      <c r="AH51" s="27"/>
      <c r="AI51" s="27"/>
      <c r="AJ51" s="70"/>
      <c r="AK51" s="27"/>
      <c r="AL51" s="27"/>
      <c r="AM51" s="27"/>
      <c r="AN51" s="33"/>
    </row>
    <row r="52" ht="13.5" customHeight="1"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3"/>
      <c r="AI55" s="27"/>
      <c r="AJ55" s="27"/>
      <c r="AK55" s="33"/>
      <c r="AL55" s="27"/>
      <c r="AM55" s="27"/>
      <c r="AN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3"/>
      <c r="R105" s="33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7.13"/>
    <col customWidth="1" min="16" max="16" width="46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4.88"/>
    <col customWidth="1" min="31" max="31" width="43.38"/>
    <col customWidth="1" min="32" max="32" width="9.5"/>
    <col customWidth="1" min="33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71"/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72" t="s">
        <v>14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>
      <c r="A7" s="73" t="s">
        <v>101</v>
      </c>
      <c r="B7" s="74" t="s">
        <v>102</v>
      </c>
      <c r="C7" s="30"/>
      <c r="D7" s="30"/>
      <c r="E7" s="8"/>
      <c r="F7" s="75"/>
      <c r="G7" s="32"/>
      <c r="H7" s="73" t="s">
        <v>103</v>
      </c>
      <c r="I7" s="27"/>
      <c r="J7" s="27"/>
      <c r="K7" s="27"/>
      <c r="L7" s="27"/>
      <c r="M7" s="33"/>
      <c r="N7" s="33"/>
      <c r="O7" s="33"/>
      <c r="P7" s="73" t="s">
        <v>101</v>
      </c>
      <c r="Q7" s="74" t="s">
        <v>102</v>
      </c>
      <c r="R7" s="30"/>
      <c r="S7" s="30"/>
      <c r="T7" s="8"/>
      <c r="U7" s="75"/>
      <c r="V7" s="32"/>
      <c r="W7" s="73" t="s">
        <v>103</v>
      </c>
      <c r="X7" s="27"/>
      <c r="Y7" s="33"/>
      <c r="Z7" s="33"/>
      <c r="AA7" s="33"/>
      <c r="AB7" s="33"/>
      <c r="AC7" s="33"/>
      <c r="AD7" s="33"/>
      <c r="AE7" s="73" t="s">
        <v>104</v>
      </c>
      <c r="AF7" s="73" t="s">
        <v>105</v>
      </c>
      <c r="AG7" s="73" t="s">
        <v>106</v>
      </c>
      <c r="AH7" s="73" t="s">
        <v>107</v>
      </c>
      <c r="AI7" s="73" t="s">
        <v>108</v>
      </c>
      <c r="AJ7" s="33"/>
      <c r="AK7" s="33"/>
      <c r="AL7" s="33"/>
      <c r="AM7" s="27"/>
      <c r="AN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5" t="s">
        <v>119</v>
      </c>
      <c r="AL8" s="36" t="s">
        <v>120</v>
      </c>
      <c r="AM8" s="37" t="s">
        <v>121</v>
      </c>
      <c r="AN8" s="37" t="s">
        <v>122</v>
      </c>
    </row>
    <row r="9" ht="13.5" customHeight="1">
      <c r="A9" s="42" t="str">
        <f>AE9</f>
        <v>Harvey Wadge / Giada Sciberras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12</v>
      </c>
      <c r="N9" s="27">
        <f>C9+F9+I9</f>
        <v>2</v>
      </c>
      <c r="O9" s="27"/>
      <c r="P9" s="42" t="str">
        <f>AE9</f>
        <v>Harvey Wadge / Giada Sciberras</v>
      </c>
      <c r="Q9" s="43">
        <v>6.0</v>
      </c>
      <c r="R9" s="44">
        <f>IF(Q9&gt;Q11,1,0)</f>
        <v>1</v>
      </c>
      <c r="S9" s="45"/>
      <c r="T9" s="43">
        <v>7.0</v>
      </c>
      <c r="U9" s="44">
        <f>IF(T9&gt;T11,1,0)</f>
        <v>1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13</v>
      </c>
      <c r="AC9" s="27">
        <f>R9+U9+X9</f>
        <v>2</v>
      </c>
      <c r="AD9" s="27"/>
      <c r="AE9" s="76" t="str">
        <f>Players!B14&amp; " / " &amp;Players!C14</f>
        <v>Harvey Wadge / Giada Sciberras</v>
      </c>
      <c r="AF9" s="48">
        <f>J9+Y9+J13+Y13+J17</f>
        <v>5</v>
      </c>
      <c r="AG9" s="48">
        <f t="shared" ref="AG9:AI9" si="1">L9+AA9+L13+AA13+L17</f>
        <v>14</v>
      </c>
      <c r="AH9" s="48">
        <f t="shared" si="1"/>
        <v>60</v>
      </c>
      <c r="AI9" s="49">
        <f t="shared" si="1"/>
        <v>10</v>
      </c>
      <c r="AJ9" s="27"/>
      <c r="AK9" s="27"/>
      <c r="AL9" s="27"/>
      <c r="AM9" s="27"/>
      <c r="AN9" s="27"/>
    </row>
    <row r="10" ht="13.5" customHeight="1">
      <c r="A10" s="53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3.5" customHeight="1">
      <c r="A11" s="57" t="str">
        <f>AE11</f>
        <v>Kristen Cachia / Francesca Sciortino</v>
      </c>
      <c r="B11" s="43">
        <v>3.0</v>
      </c>
      <c r="C11" s="58">
        <f>IF(B11&gt;B9,1,0)</f>
        <v>0</v>
      </c>
      <c r="D11" s="59"/>
      <c r="E11" s="43">
        <v>2.0</v>
      </c>
      <c r="F11" s="58">
        <f>IF(E11&gt;E9,1,0)</f>
        <v>0</v>
      </c>
      <c r="G11" s="59"/>
      <c r="H11" s="46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5</v>
      </c>
      <c r="N11" s="27">
        <f>C11+F11+I11</f>
        <v>0</v>
      </c>
      <c r="O11" s="27"/>
      <c r="P11" s="57" t="str">
        <f>AE13</f>
        <v>Keith Micallef / Mirka Micallef</v>
      </c>
      <c r="Q11" s="43">
        <v>3.0</v>
      </c>
      <c r="R11" s="58">
        <f>IF(Q11&gt;Q9,1,0)</f>
        <v>0</v>
      </c>
      <c r="S11" s="59"/>
      <c r="T11" s="43">
        <v>5.0</v>
      </c>
      <c r="U11" s="58">
        <f>IF(T11&gt;T9,1,0)</f>
        <v>0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8</v>
      </c>
      <c r="AC11" s="27">
        <f>R11+U11+X11</f>
        <v>0</v>
      </c>
      <c r="AD11" s="27"/>
      <c r="AE11" s="76" t="str">
        <f>Players!B15&amp; " / " &amp;Players!C15</f>
        <v>Kristen Cachia / Francesca Sciortino</v>
      </c>
      <c r="AF11" s="48">
        <f>J11+Y25+J21+Y21+Y17</f>
        <v>5</v>
      </c>
      <c r="AG11" s="48">
        <f t="shared" ref="AG11:AI11" si="2">L11+AA25+L21+AA21+AA17</f>
        <v>2</v>
      </c>
      <c r="AH11" s="48">
        <f t="shared" si="2"/>
        <v>35</v>
      </c>
      <c r="AI11" s="49">
        <f t="shared" si="2"/>
        <v>2</v>
      </c>
      <c r="AJ11" s="33"/>
      <c r="AK11" s="33"/>
      <c r="AL11" s="33"/>
      <c r="AM11" s="27"/>
      <c r="AN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3.5" customHeight="1">
      <c r="A13" s="42" t="str">
        <f>AE9</f>
        <v>Harvey Wadge / Giada Sciberras</v>
      </c>
      <c r="B13" s="43">
        <v>4.0</v>
      </c>
      <c r="C13" s="44">
        <f>IF(B13&gt;B15,1,0)</f>
        <v>0</v>
      </c>
      <c r="D13" s="45"/>
      <c r="E13" s="43">
        <v>6.0</v>
      </c>
      <c r="F13" s="44">
        <f>IF(E13&gt;E15,1,0)</f>
        <v>1</v>
      </c>
      <c r="G13" s="45"/>
      <c r="H13" s="43">
        <v>10.0</v>
      </c>
      <c r="I13" s="27">
        <f>IF(H13&gt;H15,1,0)</f>
        <v>1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2</v>
      </c>
      <c r="M13" s="27">
        <f>B13+E13</f>
        <v>10</v>
      </c>
      <c r="N13" s="27">
        <f>C13+F13+I13</f>
        <v>2</v>
      </c>
      <c r="O13" s="27"/>
      <c r="P13" s="42" t="str">
        <f>AE9</f>
        <v>Harvey Wadge / Giada Sciberras</v>
      </c>
      <c r="Q13" s="43">
        <v>6.0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76" t="str">
        <f>Players!B16&amp; " / " &amp;Players!C16</f>
        <v>Keith Micallef / Mirka Micallef</v>
      </c>
      <c r="AF13" s="48">
        <f>Y29+Y11+Y33+J25+Y19</f>
        <v>4</v>
      </c>
      <c r="AG13" s="48">
        <f t="shared" ref="AG13:AI13" si="3">AA29+AA11+AA33+L25+AA19</f>
        <v>6</v>
      </c>
      <c r="AH13" s="48">
        <f t="shared" si="3"/>
        <v>40</v>
      </c>
      <c r="AI13" s="49">
        <f t="shared" si="3"/>
        <v>4</v>
      </c>
      <c r="AJ13" s="33"/>
      <c r="AK13" s="33"/>
      <c r="AL13" s="33"/>
      <c r="AM13" s="27"/>
      <c r="AN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3.5" customHeight="1">
      <c r="A15" s="57" t="str">
        <f>AE15</f>
        <v>Jonathan Martinelli / Christina Bonett</v>
      </c>
      <c r="B15" s="43">
        <v>6.0</v>
      </c>
      <c r="C15" s="58">
        <f>IF(B15&gt;B13,1,0)</f>
        <v>1</v>
      </c>
      <c r="D15" s="59"/>
      <c r="E15" s="43">
        <v>4.0</v>
      </c>
      <c r="F15" s="58">
        <f>IF(E15&gt;E13,1,0)</f>
        <v>0</v>
      </c>
      <c r="G15" s="59"/>
      <c r="H15" s="43">
        <v>8.0</v>
      </c>
      <c r="I15" s="27">
        <f>IF(H15&gt;H13,1,0)</f>
        <v>0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1</v>
      </c>
      <c r="M15" s="27">
        <f>B15+E15</f>
        <v>10</v>
      </c>
      <c r="N15" s="27">
        <f>C15+F15+I15</f>
        <v>1</v>
      </c>
      <c r="O15" s="27"/>
      <c r="P15" s="57" t="str">
        <f>AE17</f>
        <v>Stefan Holmin / Alison Muscat</v>
      </c>
      <c r="Q15" s="43">
        <v>2.0</v>
      </c>
      <c r="R15" s="58">
        <f>IF(Q15&gt;Q13,1,0)</f>
        <v>0</v>
      </c>
      <c r="S15" s="59"/>
      <c r="T15" s="43">
        <v>1.0</v>
      </c>
      <c r="U15" s="58">
        <f>IF(T15&gt;T13,1,0)</f>
        <v>0</v>
      </c>
      <c r="V15" s="59"/>
      <c r="W15" s="46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3</v>
      </c>
      <c r="AC15" s="27">
        <f>R15+U15+X15</f>
        <v>0</v>
      </c>
      <c r="AD15" s="27"/>
      <c r="AE15" s="76" t="str">
        <f>Players!B17&amp; " / " &amp;Players!C17</f>
        <v>Jonathan Martinelli / Christina Bonett</v>
      </c>
      <c r="AF15" s="48">
        <f>Y31+J37+J15+Y23+J29</f>
        <v>5</v>
      </c>
      <c r="AG15" s="48">
        <f t="shared" ref="AG15:AI15" si="4">AA31+L37+L15+AA23+L29</f>
        <v>12</v>
      </c>
      <c r="AH15" s="48">
        <f t="shared" si="4"/>
        <v>57</v>
      </c>
      <c r="AI15" s="49">
        <f t="shared" si="4"/>
        <v>9</v>
      </c>
      <c r="AJ15" s="33"/>
      <c r="AK15" s="33"/>
      <c r="AL15" s="33"/>
      <c r="AM15" s="27"/>
      <c r="AN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33"/>
      <c r="AM16" s="27"/>
      <c r="AN16" s="27"/>
    </row>
    <row r="17" ht="13.5" customHeight="1">
      <c r="A17" s="42" t="str">
        <f>AE9</f>
        <v>Harvey Wadge / Giada Sciberras</v>
      </c>
      <c r="B17" s="43">
        <v>7.0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13</v>
      </c>
      <c r="N17" s="27">
        <f>C17+F17+I17</f>
        <v>2</v>
      </c>
      <c r="O17" s="27"/>
      <c r="P17" s="42" t="str">
        <f>AE11</f>
        <v>Kristen Cachia / Francesca Sciortino</v>
      </c>
      <c r="Q17" s="43">
        <v>3.0</v>
      </c>
      <c r="R17" s="44">
        <f>IF(Q17&gt;Q19,1,0)</f>
        <v>0</v>
      </c>
      <c r="S17" s="45"/>
      <c r="T17" s="43">
        <v>2.0</v>
      </c>
      <c r="U17" s="44">
        <f>IF(T17&gt;T19,1,0)</f>
        <v>0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5</v>
      </c>
      <c r="AC17" s="27">
        <f>R17+U17+X17</f>
        <v>0</v>
      </c>
      <c r="AD17" s="27"/>
      <c r="AE17" s="76" t="str">
        <f>Players!B18&amp; " / " &amp;Players!C18</f>
        <v>Stefan Holmin / Alison Muscat</v>
      </c>
      <c r="AF17" s="48">
        <f>J33+J39+J23+Y15+J27</f>
        <v>5</v>
      </c>
      <c r="AG17" s="48">
        <f t="shared" ref="AG17:AI17" si="5">L33+L39+L23+AA15+L27</f>
        <v>3</v>
      </c>
      <c r="AH17" s="48">
        <f t="shared" si="5"/>
        <v>34</v>
      </c>
      <c r="AI17" s="49">
        <f t="shared" si="5"/>
        <v>3</v>
      </c>
      <c r="AJ17" s="33"/>
      <c r="AK17" s="33"/>
      <c r="AL17" s="33"/>
      <c r="AM17" s="27"/>
      <c r="AN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33"/>
      <c r="AM18" s="27"/>
      <c r="AN18" s="27"/>
    </row>
    <row r="19" ht="13.5" customHeight="1">
      <c r="A19" s="57" t="str">
        <f>AE19</f>
        <v>Ivan Cassar / Dawn Azzopardi</v>
      </c>
      <c r="B19" s="43">
        <v>6.0</v>
      </c>
      <c r="C19" s="58">
        <f>IF(B19&gt;B17,1,0)</f>
        <v>0</v>
      </c>
      <c r="D19" s="59"/>
      <c r="E19" s="43">
        <v>4.0</v>
      </c>
      <c r="F19" s="58">
        <f>IF(E19&gt;E17,1,0)</f>
        <v>0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10</v>
      </c>
      <c r="N19" s="27">
        <f>C19+F19+I19</f>
        <v>0</v>
      </c>
      <c r="O19" s="27"/>
      <c r="P19" s="57" t="str">
        <f>AE13</f>
        <v>Keith Micallef / Mirka Micallef</v>
      </c>
      <c r="Q19" s="43">
        <v>6.0</v>
      </c>
      <c r="R19" s="58">
        <f>IF(Q19&gt;Q17,1,0)</f>
        <v>1</v>
      </c>
      <c r="S19" s="59"/>
      <c r="T19" s="43">
        <v>6.0</v>
      </c>
      <c r="U19" s="58">
        <f>IF(T19&gt;T17,1,0)</f>
        <v>1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76" t="str">
        <f>Players!B19&amp; " / " &amp;Players!C19</f>
        <v>Ivan Cassar / Dawn Azzopardi</v>
      </c>
      <c r="AF19" s="48">
        <f>J35+Y27+Y35+J19+J31</f>
        <v>4</v>
      </c>
      <c r="AG19" s="48">
        <f t="shared" ref="AG19:AI19" si="6">L35+AA27+AA35+L19+L31</f>
        <v>5</v>
      </c>
      <c r="AH19" s="48">
        <f t="shared" si="6"/>
        <v>38</v>
      </c>
      <c r="AI19" s="49">
        <f t="shared" si="6"/>
        <v>4</v>
      </c>
      <c r="AJ19" s="27"/>
      <c r="AK19" s="33"/>
      <c r="AL19" s="33"/>
      <c r="AM19" s="27"/>
      <c r="AN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3"/>
      <c r="AL20" s="27"/>
      <c r="AM20" s="27"/>
      <c r="AN20" s="27"/>
    </row>
    <row r="21" ht="13.5" customHeight="1">
      <c r="A21" s="42" t="str">
        <f>AE11</f>
        <v>Kristen Cachia / Francesca Sciortino</v>
      </c>
      <c r="B21" s="43">
        <v>7.0</v>
      </c>
      <c r="C21" s="44">
        <f>IF(B21&gt;B23,1,0)</f>
        <v>1</v>
      </c>
      <c r="D21" s="45"/>
      <c r="E21" s="43">
        <v>3.0</v>
      </c>
      <c r="F21" s="44">
        <f>IF(E21&gt;E23,1,0)</f>
        <v>0</v>
      </c>
      <c r="G21" s="45"/>
      <c r="H21" s="43">
        <v>5.0</v>
      </c>
      <c r="I21" s="27">
        <f>IF(H21&gt;H23,1,0)</f>
        <v>0</v>
      </c>
      <c r="J21" s="27">
        <f>IF(B21="",0,1)</f>
        <v>1</v>
      </c>
      <c r="K21" s="27">
        <f>IF(C21+F21=2,3,IF(C21+F21=1,1,0))</f>
        <v>1</v>
      </c>
      <c r="L21" s="27">
        <f>IF(K21=3,3,IF(I21+K21=2,2,IF(K21=1,1,0)))</f>
        <v>1</v>
      </c>
      <c r="M21" s="27">
        <f>B21+E21</f>
        <v>10</v>
      </c>
      <c r="N21" s="27">
        <f>C21+F21+I21</f>
        <v>1</v>
      </c>
      <c r="O21" s="27"/>
      <c r="P21" s="42" t="str">
        <f>AE11</f>
        <v>Kristen Cachia / Francesca Sciortino</v>
      </c>
      <c r="Q21" s="43">
        <v>6.0</v>
      </c>
      <c r="R21" s="44">
        <f>IF(Q21&gt;Q23,1,0)</f>
        <v>1</v>
      </c>
      <c r="S21" s="45"/>
      <c r="T21" s="43">
        <v>2.0</v>
      </c>
      <c r="U21" s="44">
        <f>IF(T21&gt;T23,1,0)</f>
        <v>0</v>
      </c>
      <c r="V21" s="45"/>
      <c r="W21" s="43">
        <v>3.0</v>
      </c>
      <c r="X21" s="27">
        <f>IF(W21&gt;W23,1,0)</f>
        <v>0</v>
      </c>
      <c r="Y21" s="27">
        <f>IF(Q21="",0,1)</f>
        <v>1</v>
      </c>
      <c r="Z21" s="27">
        <f>IF(R21+U21=2,3,IF(R21+U21=1,1,0))</f>
        <v>1</v>
      </c>
      <c r="AA21" s="27">
        <f>IF(Z21=3,3,IF(X21+Z21=2,2,IF(Z21=1,1,0)))</f>
        <v>1</v>
      </c>
      <c r="AB21" s="27">
        <f>Q21+T21</f>
        <v>8</v>
      </c>
      <c r="AC21" s="27">
        <f>R21+U21+X21</f>
        <v>1</v>
      </c>
      <c r="AD21" s="27"/>
      <c r="AE21" s="74" t="s">
        <v>125</v>
      </c>
      <c r="AF21" s="30"/>
      <c r="AG21" s="30"/>
      <c r="AH21" s="30"/>
      <c r="AI21" s="8"/>
      <c r="AJ21" s="27"/>
      <c r="AK21" s="27"/>
      <c r="AL21" s="27"/>
      <c r="AM21" s="27"/>
      <c r="AN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 t="s">
        <v>123</v>
      </c>
      <c r="W22" s="51"/>
      <c r="X22" s="52"/>
      <c r="Y22" s="27"/>
      <c r="Z22" s="27"/>
      <c r="AA22" s="27"/>
      <c r="AB22" s="27"/>
      <c r="AC22" s="27"/>
      <c r="AD22" s="27"/>
      <c r="AE22" s="65" t="s">
        <v>129</v>
      </c>
      <c r="AF22" s="30"/>
      <c r="AG22" s="30"/>
      <c r="AH22" s="30"/>
      <c r="AI22" s="8"/>
      <c r="AJ22" s="27"/>
      <c r="AK22" s="33"/>
      <c r="AL22" s="27"/>
      <c r="AM22" s="27"/>
      <c r="AN22" s="27"/>
    </row>
    <row r="23" ht="13.5" customHeight="1">
      <c r="A23" s="57" t="str">
        <f>AE17</f>
        <v>Stefan Holmin / Alison Muscat</v>
      </c>
      <c r="B23" s="43">
        <v>6.0</v>
      </c>
      <c r="C23" s="58">
        <f>IF(B23&gt;B21,1,0)</f>
        <v>0</v>
      </c>
      <c r="D23" s="59"/>
      <c r="E23" s="43">
        <v>6.0</v>
      </c>
      <c r="F23" s="58">
        <f>IF(E23&gt;E21,1,0)</f>
        <v>1</v>
      </c>
      <c r="G23" s="59"/>
      <c r="H23" s="43">
        <v>10.0</v>
      </c>
      <c r="I23" s="27">
        <f>IF(H23&gt;H21,1,0)</f>
        <v>1</v>
      </c>
      <c r="J23" s="27">
        <f>IF(B23="",0,1)</f>
        <v>1</v>
      </c>
      <c r="K23" s="27">
        <f>IF(C23+F23=2,3,IF(C23+F23=1,1,0))</f>
        <v>1</v>
      </c>
      <c r="L23" s="27">
        <f>IF(K23=3,3,IF(I23+K23=2,2,IF(K23=1,1,0)))</f>
        <v>2</v>
      </c>
      <c r="M23" s="27">
        <f>B23+E23</f>
        <v>12</v>
      </c>
      <c r="N23" s="27">
        <f>C23+F23+I23</f>
        <v>2</v>
      </c>
      <c r="O23" s="27"/>
      <c r="P23" s="57" t="str">
        <f>AE15</f>
        <v>Jonathan Martinelli / Christina Bonett</v>
      </c>
      <c r="Q23" s="43">
        <v>4.0</v>
      </c>
      <c r="R23" s="58">
        <f>IF(Q23&gt;Q21,1,0)</f>
        <v>0</v>
      </c>
      <c r="S23" s="59"/>
      <c r="T23" s="43">
        <v>6.0</v>
      </c>
      <c r="U23" s="58">
        <f>IF(T23&gt;T21,1,0)</f>
        <v>1</v>
      </c>
      <c r="V23" s="59"/>
      <c r="W23" s="43">
        <v>10.0</v>
      </c>
      <c r="X23" s="27">
        <f>IF(W23&gt;W21,1,0)</f>
        <v>1</v>
      </c>
      <c r="Y23" s="27">
        <f>IF(Q23="",0,1)</f>
        <v>1</v>
      </c>
      <c r="Z23" s="27">
        <f>IF(R23+U23=2,3,IF(R23+U23=1,1,0))</f>
        <v>1</v>
      </c>
      <c r="AA23" s="27">
        <f>IF(Z23=3,3,IF(X23+Z23=2,2,IF(Z23=1,1,0)))</f>
        <v>2</v>
      </c>
      <c r="AB23" s="27">
        <f>Q23+T23</f>
        <v>10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3.5" customHeight="1">
      <c r="A25" s="42" t="str">
        <f>AE13</f>
        <v>Keith Micallef / Mirka Micallef</v>
      </c>
      <c r="B25" s="43">
        <v>6.0</v>
      </c>
      <c r="C25" s="44">
        <f>IF(B25&gt;B27,1,0)</f>
        <v>1</v>
      </c>
      <c r="D25" s="45"/>
      <c r="E25" s="43">
        <v>6.0</v>
      </c>
      <c r="F25" s="44">
        <f>IF(E25&gt;E27,1,0)</f>
        <v>1</v>
      </c>
      <c r="G25" s="45"/>
      <c r="H25" s="46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12</v>
      </c>
      <c r="N25" s="27">
        <f>C25+F25+I25</f>
        <v>2</v>
      </c>
      <c r="O25" s="27"/>
      <c r="P25" s="42" t="str">
        <f>AE11</f>
        <v>Kristen Cachia / Francesca Sciortino</v>
      </c>
      <c r="Q25" s="43">
        <v>5.0</v>
      </c>
      <c r="R25" s="44">
        <f>IF(Q25&gt;Q27,1,0)</f>
        <v>0</v>
      </c>
      <c r="S25" s="45"/>
      <c r="T25" s="43">
        <v>2.0</v>
      </c>
      <c r="U25" s="44">
        <f>IF(T25&gt;T27,1,0)</f>
        <v>0</v>
      </c>
      <c r="V25" s="45"/>
      <c r="W25" s="46"/>
      <c r="X25" s="27">
        <f>IF(W25&gt;W27,1,0)</f>
        <v>0</v>
      </c>
      <c r="Y25" s="27">
        <f>IF(Q25="",0,1)</f>
        <v>1</v>
      </c>
      <c r="Z25" s="27">
        <f>IF(R25+U25=2,3,IF(R25+U25=1,1,0))</f>
        <v>0</v>
      </c>
      <c r="AA25" s="27">
        <f>IF(Z25=3,3,IF(X25+Z25=2,2,IF(Z25=1,1,0)))</f>
        <v>0</v>
      </c>
      <c r="AB25" s="27">
        <f>Q25+T25</f>
        <v>7</v>
      </c>
      <c r="AC25" s="27">
        <f>R25+U25+X25</f>
        <v>0</v>
      </c>
      <c r="AD25" s="27"/>
      <c r="AE25" s="74" t="s">
        <v>127</v>
      </c>
      <c r="AF25" s="30"/>
      <c r="AG25" s="30"/>
      <c r="AH25" s="30"/>
      <c r="AI25" s="8"/>
      <c r="AJ25" s="27"/>
      <c r="AK25" s="27"/>
      <c r="AL25" s="27"/>
      <c r="AM25" s="27"/>
      <c r="AN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52"/>
      <c r="Y26" s="27"/>
      <c r="Z26" s="27"/>
      <c r="AA26" s="27"/>
      <c r="AB26" s="27"/>
      <c r="AC26" s="27"/>
      <c r="AD26" s="27"/>
      <c r="AE26" s="65" t="s">
        <v>130</v>
      </c>
      <c r="AF26" s="30"/>
      <c r="AG26" s="30"/>
      <c r="AH26" s="30"/>
      <c r="AI26" s="8"/>
      <c r="AJ26" s="27"/>
      <c r="AK26" s="27"/>
      <c r="AL26" s="27"/>
      <c r="AM26" s="27"/>
      <c r="AN26" s="27"/>
    </row>
    <row r="27" ht="13.5" customHeight="1">
      <c r="A27" s="57" t="str">
        <f>AE17</f>
        <v>Stefan Holmin / Alison Muscat</v>
      </c>
      <c r="B27" s="43">
        <v>3.0</v>
      </c>
      <c r="C27" s="58">
        <f>IF(B27&gt;B25,1,0)</f>
        <v>0</v>
      </c>
      <c r="D27" s="59"/>
      <c r="E27" s="43">
        <v>2.0</v>
      </c>
      <c r="F27" s="58">
        <f>IF(E27&gt;E25,1,0)</f>
        <v>0</v>
      </c>
      <c r="G27" s="59"/>
      <c r="H27" s="46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5</v>
      </c>
      <c r="N27" s="27">
        <f>C27+F27+I27</f>
        <v>0</v>
      </c>
      <c r="O27" s="27"/>
      <c r="P27" s="57" t="str">
        <f>AE19</f>
        <v>Ivan Cassar / Dawn Azzopardi</v>
      </c>
      <c r="Q27" s="43">
        <v>7.0</v>
      </c>
      <c r="R27" s="58">
        <f>IF(Q27&gt;Q25,1,0)</f>
        <v>1</v>
      </c>
      <c r="S27" s="59"/>
      <c r="T27" s="43">
        <v>6.0</v>
      </c>
      <c r="U27" s="58">
        <f>IF(T27&gt;T25,1,0)</f>
        <v>1</v>
      </c>
      <c r="V27" s="59"/>
      <c r="W27" s="46"/>
      <c r="X27" s="27">
        <f>IF(W27&gt;W25,1,0)</f>
        <v>0</v>
      </c>
      <c r="Y27" s="27">
        <f>IF(Q27="",0,1)</f>
        <v>1</v>
      </c>
      <c r="Z27" s="27">
        <f>IF(R27+U27=2,3,IF(R27+U27=1,1,0))</f>
        <v>3</v>
      </c>
      <c r="AA27" s="27">
        <f>IF(Z27=3,3,IF(X27+Z27=2,2,IF(Z27=1,1,0)))</f>
        <v>3</v>
      </c>
      <c r="AB27" s="27">
        <f>Q27+T27</f>
        <v>13</v>
      </c>
      <c r="AC27" s="27">
        <f>R27+U27+X27</f>
        <v>2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  <c r="AM28" s="27"/>
      <c r="AN28" s="27"/>
    </row>
    <row r="29" ht="13.5" customHeight="1">
      <c r="A29" s="42" t="str">
        <f>AE15</f>
        <v>Jonathan Martinelli / Christina Bonett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12</v>
      </c>
      <c r="N29" s="27">
        <f>C29+F29+I29</f>
        <v>2</v>
      </c>
      <c r="O29" s="27"/>
      <c r="P29" s="42" t="str">
        <f>AE13</f>
        <v>Keith Micallef / Mirka Micallef</v>
      </c>
      <c r="Q29" s="43">
        <v>2.0</v>
      </c>
      <c r="R29" s="44">
        <f>IF(Q29&gt;Q31,1,0)</f>
        <v>0</v>
      </c>
      <c r="S29" s="45"/>
      <c r="T29" s="43">
        <v>6.0</v>
      </c>
      <c r="U29" s="44">
        <f>IF(T29&gt;T31,1,0)</f>
        <v>0</v>
      </c>
      <c r="V29" s="45"/>
      <c r="W29" s="46"/>
      <c r="X29" s="27">
        <f>IF(W29&gt;W31,1,0)</f>
        <v>0</v>
      </c>
      <c r="Y29" s="27">
        <f>IF(Q29="",0,1)</f>
        <v>1</v>
      </c>
      <c r="Z29" s="27">
        <f>IF(R29+U29=2,3,IF(R29+U29=1,1,0))</f>
        <v>0</v>
      </c>
      <c r="AA29" s="27">
        <f>IF(Z29=3,3,IF(X29+Z29=2,2,IF(Z29=1,1,0)))</f>
        <v>0</v>
      </c>
      <c r="AB29" s="27">
        <f>Q29+T29</f>
        <v>8</v>
      </c>
      <c r="AC29" s="27">
        <f>R29+U29+X29</f>
        <v>0</v>
      </c>
      <c r="AD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27"/>
      <c r="P30" s="53" t="s">
        <v>123</v>
      </c>
      <c r="W30" s="51"/>
      <c r="X30" s="52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6"/>
      <c r="AM30" s="27"/>
      <c r="AN30" s="27"/>
    </row>
    <row r="31" ht="13.5" customHeight="1">
      <c r="A31" s="57" t="str">
        <f>AE19</f>
        <v>Ivan Cassar / Dawn Azzopardi</v>
      </c>
      <c r="B31" s="43">
        <v>3.0</v>
      </c>
      <c r="C31" s="58">
        <f>IF(B31&gt;B29,1,0)</f>
        <v>0</v>
      </c>
      <c r="D31" s="59"/>
      <c r="E31" s="43">
        <v>2.0</v>
      </c>
      <c r="F31" s="58">
        <f>IF(E31&gt;E29,1,0)</f>
        <v>0</v>
      </c>
      <c r="G31" s="59"/>
      <c r="H31" s="46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5</v>
      </c>
      <c r="N31" s="27">
        <f>C31+F31+I31</f>
        <v>0</v>
      </c>
      <c r="O31" s="27"/>
      <c r="P31" s="57" t="str">
        <f>AE15</f>
        <v>Jonathan Martinelli / Christina Bonett</v>
      </c>
      <c r="Q31" s="43">
        <v>6.0</v>
      </c>
      <c r="R31" s="58">
        <f>IF(Q31&gt;Q29,1,0)</f>
        <v>1</v>
      </c>
      <c r="S31" s="59"/>
      <c r="T31" s="43">
        <v>7.0</v>
      </c>
      <c r="U31" s="58">
        <f>IF(T31&gt;T29,1,0)</f>
        <v>1</v>
      </c>
      <c r="V31" s="59"/>
      <c r="W31" s="46"/>
      <c r="X31" s="27">
        <f>IF(W31&gt;W29,1,0)</f>
        <v>0</v>
      </c>
      <c r="Y31" s="27">
        <f>IF(Q31="",0,1)</f>
        <v>1</v>
      </c>
      <c r="Z31" s="27">
        <f>IF(R31+U31=2,3,IF(R31+U31=1,1,0))</f>
        <v>3</v>
      </c>
      <c r="AA31" s="27">
        <f>IF(Z31=3,3,IF(X31+Z31=2,2,IF(Z31=1,1,0)))</f>
        <v>3</v>
      </c>
      <c r="AB31" s="27">
        <f>Q31+T31</f>
        <v>13</v>
      </c>
      <c r="AC31" s="27">
        <f>R31+U31+X31</f>
        <v>2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3"/>
    </row>
    <row r="32" ht="13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66"/>
      <c r="AM32" s="27"/>
      <c r="AN32" s="27"/>
    </row>
    <row r="33" ht="13.5" customHeight="1">
      <c r="A33" s="42" t="str">
        <f>AE17</f>
        <v>Stefan Holmin / Alison Muscat</v>
      </c>
      <c r="B33" s="43">
        <v>6.0</v>
      </c>
      <c r="C33" s="44">
        <f>IF(B33&gt;B35,1,0)</f>
        <v>1</v>
      </c>
      <c r="D33" s="45"/>
      <c r="E33" s="43">
        <v>3.0</v>
      </c>
      <c r="F33" s="44">
        <f>IF(E33&gt;E35,1,0)</f>
        <v>0</v>
      </c>
      <c r="G33" s="45"/>
      <c r="H33" s="43">
        <v>8.0</v>
      </c>
      <c r="I33" s="27">
        <f>IF(H33&gt;H35,1,0)</f>
        <v>0</v>
      </c>
      <c r="J33" s="27">
        <f>IF(B33="",0,1)</f>
        <v>1</v>
      </c>
      <c r="K33" s="27">
        <f>IF(C33+F33=2,3,IF(C33+F33=1,1,0))</f>
        <v>1</v>
      </c>
      <c r="L33" s="27">
        <f>IF(K33=3,3,IF(I33+K33=2,2,IF(K33=1,1,0)))</f>
        <v>1</v>
      </c>
      <c r="M33" s="27">
        <f>B33+E33</f>
        <v>9</v>
      </c>
      <c r="N33" s="27">
        <f>C33+F33+I33</f>
        <v>1</v>
      </c>
      <c r="O33" s="27"/>
      <c r="P33" s="42" t="str">
        <f>AE13</f>
        <v>Keith Micallef / Mirka Micallef</v>
      </c>
      <c r="Q33" s="46"/>
      <c r="R33" s="44">
        <f>IF(Q33&gt;Q35,1,0)</f>
        <v>0</v>
      </c>
      <c r="S33" s="45"/>
      <c r="T33" s="46"/>
      <c r="U33" s="44">
        <f>IF(T33&gt;T35,1,0)</f>
        <v>0</v>
      </c>
      <c r="V33" s="45"/>
      <c r="W33" s="46"/>
      <c r="X33" s="27">
        <f>IF(W33&gt;W35,1,0)</f>
        <v>0</v>
      </c>
      <c r="Y33" s="27">
        <f>IF(Q33="",0,1)</f>
        <v>0</v>
      </c>
      <c r="Z33" s="27">
        <f>IF(R33+U33=2,3,IF(R33+U33=1,1,0))</f>
        <v>0</v>
      </c>
      <c r="AA33" s="27">
        <f>IF(Z33=3,3,IF(X33+Z33=2,2,IF(Z33=1,1,0)))</f>
        <v>0</v>
      </c>
      <c r="AB33" s="27">
        <f>Q33+T33</f>
        <v>0</v>
      </c>
      <c r="AC33" s="27">
        <f>R33+U33+X33</f>
        <v>0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3.5" customHeight="1">
      <c r="A34" s="53" t="s">
        <v>123</v>
      </c>
      <c r="H34" s="51"/>
      <c r="I34" s="52"/>
      <c r="J34" s="27"/>
      <c r="K34" s="27"/>
      <c r="L34" s="27"/>
      <c r="M34" s="27"/>
      <c r="N34" s="27"/>
      <c r="O34" s="27"/>
      <c r="P34" s="53" t="s">
        <v>123</v>
      </c>
      <c r="W34" s="51"/>
      <c r="X34" s="52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3.5" customHeight="1">
      <c r="A35" s="57" t="str">
        <f>AE19</f>
        <v>Ivan Cassar / Dawn Azzopardi</v>
      </c>
      <c r="B35" s="43">
        <v>4.0</v>
      </c>
      <c r="C35" s="58">
        <f>IF(B35&gt;B33,1,0)</f>
        <v>0</v>
      </c>
      <c r="D35" s="59"/>
      <c r="E35" s="43">
        <v>6.0</v>
      </c>
      <c r="F35" s="58">
        <f>IF(E35&gt;E33,1,0)</f>
        <v>1</v>
      </c>
      <c r="G35" s="59"/>
      <c r="H35" s="43">
        <v>10.0</v>
      </c>
      <c r="I35" s="27">
        <f>IF(H35&gt;H33,1,0)</f>
        <v>1</v>
      </c>
      <c r="J35" s="27">
        <f>IF(B35="",0,1)</f>
        <v>1</v>
      </c>
      <c r="K35" s="27">
        <f>IF(C35+F35=2,3,IF(C35+F35=1,1,0))</f>
        <v>1</v>
      </c>
      <c r="L35" s="27">
        <f>IF(K35=3,3,IF(I35+K35=2,2,IF(K35=1,1,0)))</f>
        <v>2</v>
      </c>
      <c r="M35" s="27">
        <f>B35+E35</f>
        <v>10</v>
      </c>
      <c r="N35" s="27">
        <f>C35+F35+I35</f>
        <v>2</v>
      </c>
      <c r="O35" s="27"/>
      <c r="P35" s="57" t="str">
        <f>AE19</f>
        <v>Ivan Cassar / Dawn Azzopardi</v>
      </c>
      <c r="Q35" s="46"/>
      <c r="R35" s="58">
        <f>IF(Q35&gt;Q33,1,0)</f>
        <v>0</v>
      </c>
      <c r="S35" s="59"/>
      <c r="T35" s="46"/>
      <c r="U35" s="58">
        <f>IF(T35&gt;T33,1,0)</f>
        <v>0</v>
      </c>
      <c r="V35" s="59"/>
      <c r="W35" s="46"/>
      <c r="X35" s="27">
        <f>IF(W35&gt;W33,1,0)</f>
        <v>0</v>
      </c>
      <c r="Y35" s="27">
        <f>IF(Q35="",0,1)</f>
        <v>0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0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3"/>
      <c r="AI36" s="27"/>
      <c r="AJ36" s="27"/>
      <c r="AK36" s="33"/>
      <c r="AL36" s="27"/>
      <c r="AM36" s="27"/>
      <c r="AN36" s="27"/>
    </row>
    <row r="37" ht="13.5" customHeight="1">
      <c r="A37" s="42" t="str">
        <f>AE15</f>
        <v>Jonathan Martinelli / Christina Bonett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1</v>
      </c>
      <c r="G37" s="45"/>
      <c r="H37" s="46"/>
      <c r="I37" s="27">
        <f>IF(H37&gt;H39,1,0)</f>
        <v>0</v>
      </c>
      <c r="J37" s="27">
        <f>IF(B37="",0,1)</f>
        <v>1</v>
      </c>
      <c r="K37" s="27">
        <f>IF(C37+F37=2,3,IF(C37+F37=1,1,0))</f>
        <v>3</v>
      </c>
      <c r="L37" s="27">
        <f>IF(K37=3,3,IF(I37+K37=2,2,IF(K37=1,1,0)))</f>
        <v>3</v>
      </c>
      <c r="M37" s="27">
        <f>B37+E37</f>
        <v>12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3"/>
      <c r="AL37" s="27"/>
      <c r="AM37" s="27"/>
      <c r="AN37" s="27"/>
    </row>
    <row r="38" ht="13.5" customHeight="1">
      <c r="A38" s="53" t="s">
        <v>123</v>
      </c>
      <c r="H38" s="51"/>
      <c r="I38" s="52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70"/>
      <c r="AK38" s="27"/>
      <c r="AL38" s="27"/>
      <c r="AM38" s="27"/>
      <c r="AN38" s="27"/>
    </row>
    <row r="39" ht="13.5" customHeight="1">
      <c r="A39" s="57" t="str">
        <f>AE17</f>
        <v>Stefan Holmin / Alison Muscat</v>
      </c>
      <c r="B39" s="43">
        <v>1.0</v>
      </c>
      <c r="C39" s="58">
        <f>IF(B39&gt;B37,1,0)</f>
        <v>0</v>
      </c>
      <c r="D39" s="59"/>
      <c r="E39" s="43">
        <v>4.0</v>
      </c>
      <c r="F39" s="58">
        <f>IF(E39&gt;E37,1,0)</f>
        <v>0</v>
      </c>
      <c r="G39" s="59"/>
      <c r="H39" s="46"/>
      <c r="I39" s="27">
        <f>IF(H39&gt;H37,1,0)</f>
        <v>0</v>
      </c>
      <c r="J39" s="27">
        <f>IF(B39="",0,1)</f>
        <v>1</v>
      </c>
      <c r="K39" s="27">
        <f>IF(C39+F39=2,3,IF(C39+F39=1,1,0))</f>
        <v>0</v>
      </c>
      <c r="L39" s="27">
        <f>IF(K39=3,3,IF(I39+K39=2,2,IF(K39=1,1,0)))</f>
        <v>0</v>
      </c>
      <c r="M39" s="27">
        <f>B39+E39</f>
        <v>5</v>
      </c>
      <c r="N39" s="27">
        <f>C39+F39+I39</f>
        <v>0</v>
      </c>
      <c r="O39" s="27"/>
      <c r="P39" s="7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3.5" customHeight="1">
      <c r="A41" s="7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70"/>
      <c r="AK41" s="27"/>
      <c r="AL41" s="27"/>
      <c r="AM41" s="27"/>
      <c r="AN41" s="27"/>
    </row>
    <row r="42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3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3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70"/>
      <c r="AK46" s="27"/>
      <c r="AL46" s="33"/>
      <c r="AM46" s="27"/>
      <c r="AN46" s="27"/>
    </row>
    <row r="47" ht="13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70"/>
      <c r="AK51" s="27"/>
      <c r="AL51" s="27"/>
      <c r="AM51" s="27"/>
      <c r="AN51" s="33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3"/>
      <c r="AI55" s="27"/>
      <c r="AJ55" s="27"/>
      <c r="AK55" s="33"/>
      <c r="AL55" s="27"/>
      <c r="AM55" s="27"/>
      <c r="AN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3"/>
      <c r="R105" s="33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7.63"/>
    <col customWidth="1" hidden="1" min="13" max="13" width="8.0"/>
    <col customWidth="1" hidden="1" min="14" max="14" width="6.13"/>
    <col customWidth="1" min="15" max="15" width="5.5"/>
    <col customWidth="1" min="16" max="16" width="48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8.13"/>
    <col customWidth="1" hidden="1" min="28" max="28" width="8.0"/>
    <col customWidth="1" hidden="1" min="29" max="29" width="6.13"/>
    <col customWidth="1" min="30" max="30" width="5.5"/>
    <col customWidth="1" min="31" max="31" width="42.13"/>
    <col customWidth="1" min="32" max="32" width="9.88"/>
    <col customWidth="1" min="33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78" t="s">
        <v>27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>
      <c r="A7" s="79" t="s">
        <v>101</v>
      </c>
      <c r="B7" s="80" t="s">
        <v>102</v>
      </c>
      <c r="C7" s="30"/>
      <c r="D7" s="30"/>
      <c r="E7" s="8"/>
      <c r="F7" s="81"/>
      <c r="G7" s="32"/>
      <c r="H7" s="79" t="s">
        <v>103</v>
      </c>
      <c r="I7" s="27"/>
      <c r="J7" s="27"/>
      <c r="K7" s="27"/>
      <c r="L7" s="27"/>
      <c r="M7" s="33"/>
      <c r="N7" s="33"/>
      <c r="O7" s="33"/>
      <c r="P7" s="79" t="s">
        <v>101</v>
      </c>
      <c r="Q7" s="80" t="s">
        <v>102</v>
      </c>
      <c r="R7" s="30"/>
      <c r="S7" s="30"/>
      <c r="T7" s="8"/>
      <c r="U7" s="81"/>
      <c r="V7" s="32"/>
      <c r="W7" s="79" t="s">
        <v>103</v>
      </c>
      <c r="X7" s="27"/>
      <c r="Y7" s="33"/>
      <c r="Z7" s="33"/>
      <c r="AA7" s="33"/>
      <c r="AB7" s="33"/>
      <c r="AC7" s="33"/>
      <c r="AD7" s="33"/>
      <c r="AE7" s="79" t="s">
        <v>104</v>
      </c>
      <c r="AF7" s="79" t="s">
        <v>105</v>
      </c>
      <c r="AG7" s="79" t="s">
        <v>106</v>
      </c>
      <c r="AH7" s="79" t="s">
        <v>107</v>
      </c>
      <c r="AI7" s="79" t="s">
        <v>108</v>
      </c>
      <c r="AJ7" s="33"/>
      <c r="AK7" s="33"/>
      <c r="AL7" s="33"/>
      <c r="AM7" s="27"/>
      <c r="AN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5" t="s">
        <v>119</v>
      </c>
      <c r="AL8" s="36" t="s">
        <v>120</v>
      </c>
      <c r="AM8" s="37" t="s">
        <v>121</v>
      </c>
      <c r="AN8" s="37" t="s">
        <v>122</v>
      </c>
    </row>
    <row r="9" ht="13.5" customHeight="1">
      <c r="A9" s="42" t="str">
        <f>AE9</f>
        <v>Ivan Farrugia / Stephanie Farrugia</v>
      </c>
      <c r="B9" s="43">
        <v>6.0</v>
      </c>
      <c r="C9" s="44">
        <f>IF(B9&gt;B11,1,0)</f>
        <v>1</v>
      </c>
      <c r="D9" s="45"/>
      <c r="E9" s="43">
        <v>3.0</v>
      </c>
      <c r="F9" s="44">
        <f>IF(E9&gt;E11,1,0)</f>
        <v>0</v>
      </c>
      <c r="G9" s="45"/>
      <c r="H9" s="43">
        <v>10.0</v>
      </c>
      <c r="I9" s="27">
        <f>IF(H9&gt;H11,1,0)</f>
        <v>1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2</v>
      </c>
      <c r="M9" s="27">
        <f>B9+E9</f>
        <v>9</v>
      </c>
      <c r="N9" s="27">
        <f>C9+F9+I9</f>
        <v>2</v>
      </c>
      <c r="O9" s="27"/>
      <c r="P9" s="42" t="str">
        <f>AE9</f>
        <v>Ivan Farrugia / Stephanie Farrugia</v>
      </c>
      <c r="Q9" s="43">
        <v>6.0</v>
      </c>
      <c r="R9" s="44">
        <f>IF(Q9&gt;Q11,1,0)</f>
        <v>1</v>
      </c>
      <c r="S9" s="45"/>
      <c r="T9" s="43">
        <v>5.0</v>
      </c>
      <c r="U9" s="44">
        <f>IF(T9&gt;T11,1,0)</f>
        <v>0</v>
      </c>
      <c r="V9" s="45"/>
      <c r="W9" s="43">
        <v>8.0</v>
      </c>
      <c r="X9" s="27">
        <f>IF(W9&gt;W11,1,0)</f>
        <v>0</v>
      </c>
      <c r="Y9" s="27">
        <f>IF(Q9="",0,1)</f>
        <v>1</v>
      </c>
      <c r="Z9" s="27">
        <f>IF(R9+U9=2,3,IF(R9+U9=1,1,0))</f>
        <v>1</v>
      </c>
      <c r="AA9" s="27">
        <f>IF(Z9=3,3,IF(X9+Z9=2,2,IF(Z9=1,1,0)))</f>
        <v>1</v>
      </c>
      <c r="AB9" s="27">
        <f>Q9+T9</f>
        <v>11</v>
      </c>
      <c r="AC9" s="27">
        <f>R9+U9+X9</f>
        <v>1</v>
      </c>
      <c r="AD9" s="27"/>
      <c r="AE9" s="82" t="str">
        <f>Players!B22&amp; " / " &amp;Players!C22</f>
        <v>Ivan Farrugia / Stephanie Farrugia</v>
      </c>
      <c r="AF9" s="48">
        <f>J9+Y9+J13+Y13+Y25</f>
        <v>5</v>
      </c>
      <c r="AG9" s="48">
        <f t="shared" ref="AG9:AI9" si="1">L9+AA9+L13+AA13+AA25</f>
        <v>4</v>
      </c>
      <c r="AH9" s="48">
        <f t="shared" si="1"/>
        <v>42</v>
      </c>
      <c r="AI9" s="49">
        <f t="shared" si="1"/>
        <v>4</v>
      </c>
      <c r="AJ9" s="27"/>
      <c r="AK9" s="27"/>
      <c r="AL9" s="27"/>
      <c r="AM9" s="27"/>
      <c r="AN9" s="27"/>
    </row>
    <row r="10" ht="13.5" customHeight="1">
      <c r="A10" s="53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3.5" customHeight="1">
      <c r="A11" s="57" t="str">
        <f>AE11</f>
        <v>Willem Steenkamer / Mariska Steenkamer</v>
      </c>
      <c r="B11" s="43">
        <v>4.0</v>
      </c>
      <c r="C11" s="58">
        <f>IF(B11&gt;B9,1,0)</f>
        <v>0</v>
      </c>
      <c r="D11" s="59"/>
      <c r="E11" s="43">
        <v>6.0</v>
      </c>
      <c r="F11" s="58">
        <f>IF(E11&gt;E9,1,0)</f>
        <v>1</v>
      </c>
      <c r="G11" s="59"/>
      <c r="H11" s="43">
        <v>7.0</v>
      </c>
      <c r="I11" s="27">
        <f>IF(H11&gt;H9,1,0)</f>
        <v>0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1</v>
      </c>
      <c r="M11" s="27">
        <f>B11+E11</f>
        <v>10</v>
      </c>
      <c r="N11" s="27">
        <f>C11+F11+I11</f>
        <v>1</v>
      </c>
      <c r="O11" s="27"/>
      <c r="P11" s="57" t="str">
        <f>AE13</f>
        <v>Cyril Lastimosa / Jin Attard</v>
      </c>
      <c r="Q11" s="43">
        <v>0.0</v>
      </c>
      <c r="R11" s="58">
        <f>IF(Q11&gt;Q9,1,0)</f>
        <v>0</v>
      </c>
      <c r="S11" s="59"/>
      <c r="T11" s="43">
        <v>7.0</v>
      </c>
      <c r="U11" s="58">
        <f>IF(T11&gt;T9,1,0)</f>
        <v>1</v>
      </c>
      <c r="V11" s="59"/>
      <c r="W11" s="43">
        <v>10.0</v>
      </c>
      <c r="X11" s="27">
        <f>IF(W11&gt;W9,1,0)</f>
        <v>1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2</v>
      </c>
      <c r="AB11" s="27">
        <f>Q11+T11</f>
        <v>7</v>
      </c>
      <c r="AC11" s="27">
        <f>R11+U11+X11</f>
        <v>2</v>
      </c>
      <c r="AD11" s="27"/>
      <c r="AE11" s="82" t="str">
        <f>Players!B23&amp; " / " &amp;Players!C23</f>
        <v>Willem Steenkamer / Mariska Steenkamer</v>
      </c>
      <c r="AF11" s="48">
        <f>J11+J21+Y17+J17+Y29</f>
        <v>5</v>
      </c>
      <c r="AG11" s="48">
        <f t="shared" ref="AG11:AI11" si="2">L11+L21+AA17+L17+AA29</f>
        <v>4</v>
      </c>
      <c r="AH11" s="48">
        <f t="shared" si="2"/>
        <v>35</v>
      </c>
      <c r="AI11" s="49">
        <f t="shared" si="2"/>
        <v>3</v>
      </c>
      <c r="AJ11" s="33"/>
      <c r="AK11" s="33"/>
      <c r="AL11" s="33"/>
      <c r="AM11" s="27"/>
      <c r="AN11" s="27"/>
    </row>
    <row r="12" ht="13.5" customHeight="1">
      <c r="A12" s="27"/>
      <c r="B12" s="27"/>
      <c r="C12" s="27"/>
      <c r="D12" s="27"/>
      <c r="E12" s="27"/>
      <c r="F12" s="27"/>
      <c r="G12" s="27"/>
      <c r="H12" s="58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58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3.5" customHeight="1">
      <c r="A13" s="42" t="str">
        <f>AE9</f>
        <v>Ivan Farrugia / Stephanie Farrugia</v>
      </c>
      <c r="B13" s="43">
        <v>3.0</v>
      </c>
      <c r="C13" s="44">
        <f>IF(B13&gt;B15,1,0)</f>
        <v>0</v>
      </c>
      <c r="D13" s="45"/>
      <c r="E13" s="43">
        <v>0.0</v>
      </c>
      <c r="F13" s="44">
        <f>IF(E13&gt;E15,1,0)</f>
        <v>0</v>
      </c>
      <c r="G13" s="45"/>
      <c r="H13" s="46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3</v>
      </c>
      <c r="N13" s="27">
        <f>C13+F13+I13</f>
        <v>0</v>
      </c>
      <c r="O13" s="27"/>
      <c r="P13" s="42" t="str">
        <f>AE9</f>
        <v>Ivan Farrugia / Stephanie Farrugia</v>
      </c>
      <c r="Q13" s="43">
        <v>5.0</v>
      </c>
      <c r="R13" s="44">
        <f>IF(Q13&gt;Q15,1,0)</f>
        <v>0</v>
      </c>
      <c r="S13" s="45"/>
      <c r="T13" s="43">
        <v>2.0</v>
      </c>
      <c r="U13" s="44">
        <f>IF(T13&gt;T15,1,0)</f>
        <v>0</v>
      </c>
      <c r="V13" s="45"/>
      <c r="W13" s="46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7</v>
      </c>
      <c r="AC13" s="27">
        <f>R13+U13+X13</f>
        <v>0</v>
      </c>
      <c r="AD13" s="27"/>
      <c r="AE13" s="82" t="str">
        <f>Players!B24&amp; " / " &amp;Players!C24</f>
        <v>Cyril Lastimosa / Jin Attard</v>
      </c>
      <c r="AF13" s="48">
        <f>Y21+Y11+J25+J19+Y33</f>
        <v>5</v>
      </c>
      <c r="AG13" s="48">
        <f t="shared" ref="AG13:AI13" si="3">AA21+AA11+L25+L19+AA33</f>
        <v>11</v>
      </c>
      <c r="AH13" s="48">
        <f t="shared" si="3"/>
        <v>55</v>
      </c>
      <c r="AI13" s="49">
        <f t="shared" si="3"/>
        <v>9</v>
      </c>
      <c r="AJ13" s="33"/>
      <c r="AK13" s="33"/>
      <c r="AL13" s="33"/>
      <c r="AM13" s="27"/>
      <c r="AN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3.5" customHeight="1">
      <c r="A15" s="57" t="str">
        <f>AE15</f>
        <v>Javier Viloria / Andrea Magaldi</v>
      </c>
      <c r="B15" s="43">
        <v>6.0</v>
      </c>
      <c r="C15" s="58">
        <f>IF(B15&gt;B13,1,0)</f>
        <v>1</v>
      </c>
      <c r="D15" s="59"/>
      <c r="E15" s="43">
        <v>6.0</v>
      </c>
      <c r="F15" s="58">
        <f>IF(E15&gt;E13,1,0)</f>
        <v>1</v>
      </c>
      <c r="G15" s="59"/>
      <c r="H15" s="46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7" t="str">
        <f>AE17</f>
        <v>Trevor Rutter / Karolina Papiernak</v>
      </c>
      <c r="Q15" s="43">
        <v>7.0</v>
      </c>
      <c r="R15" s="58">
        <f>IF(Q15&gt;Q13,1,0)</f>
        <v>1</v>
      </c>
      <c r="S15" s="59"/>
      <c r="T15" s="43">
        <v>6.0</v>
      </c>
      <c r="U15" s="58">
        <f>IF(T15&gt;T13,1,0)</f>
        <v>1</v>
      </c>
      <c r="V15" s="59"/>
      <c r="W15" s="46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13</v>
      </c>
      <c r="AC15" s="27">
        <f>R15+U15+X15</f>
        <v>2</v>
      </c>
      <c r="AD15" s="27"/>
      <c r="AE15" s="82" t="str">
        <f>Players!B25&amp; " / " &amp;Players!C25</f>
        <v>Javier Viloria / Andrea Magaldi</v>
      </c>
      <c r="AF15" s="48">
        <f>Y23+J29+J15+Y19+J33</f>
        <v>5</v>
      </c>
      <c r="AG15" s="48">
        <f t="shared" ref="AG15:AI15" si="4">AA23+L29+L15+AA19+L33</f>
        <v>9</v>
      </c>
      <c r="AH15" s="48">
        <f t="shared" si="4"/>
        <v>55</v>
      </c>
      <c r="AI15" s="49">
        <f t="shared" si="4"/>
        <v>7</v>
      </c>
      <c r="AJ15" s="33"/>
      <c r="AK15" s="33"/>
      <c r="AL15" s="33"/>
      <c r="AM15" s="27"/>
      <c r="AN15" s="27"/>
    </row>
    <row r="16" ht="13.5" customHeight="1">
      <c r="A16" s="27"/>
      <c r="B16" s="33"/>
      <c r="C16" s="27"/>
      <c r="D16" s="27"/>
      <c r="E16" s="27"/>
      <c r="F16" s="27"/>
      <c r="G16" s="27"/>
      <c r="H16" s="58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58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33"/>
      <c r="AM16" s="27"/>
      <c r="AN16" s="27"/>
    </row>
    <row r="17" ht="13.5" customHeight="1">
      <c r="A17" s="42" t="str">
        <f>AE11</f>
        <v>Willem Steenkamer / Mariska Steenkamer</v>
      </c>
      <c r="B17" s="43">
        <v>1.0</v>
      </c>
      <c r="C17" s="44">
        <f>IF(B17&gt;B19,1,0)</f>
        <v>0</v>
      </c>
      <c r="D17" s="45"/>
      <c r="E17" s="43">
        <v>2.0</v>
      </c>
      <c r="F17" s="44">
        <f>IF(E17&gt;E19,1,0)</f>
        <v>0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3</v>
      </c>
      <c r="N17" s="27">
        <f>C17+F17+I17</f>
        <v>0</v>
      </c>
      <c r="O17" s="27"/>
      <c r="P17" s="42" t="str">
        <f>AE11</f>
        <v>Willem Steenkamer / Mariska Steenkamer</v>
      </c>
      <c r="Q17" s="43">
        <v>3.0</v>
      </c>
      <c r="R17" s="44">
        <f>IF(Q17&gt;Q19,1,0)</f>
        <v>0</v>
      </c>
      <c r="S17" s="45"/>
      <c r="T17" s="43">
        <v>3.0</v>
      </c>
      <c r="U17" s="44">
        <f>IF(T17&gt;T19,1,0)</f>
        <v>0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6</v>
      </c>
      <c r="AC17" s="27">
        <f>R17+U17+X17</f>
        <v>0</v>
      </c>
      <c r="AD17" s="27"/>
      <c r="AE17" s="82" t="str">
        <f>Players!B26&amp; " / " &amp;Players!C26</f>
        <v>Trevor Rutter / Karolina Papiernak</v>
      </c>
      <c r="AF17" s="48">
        <f>J31+J23+Y15+J27+J37</f>
        <v>5</v>
      </c>
      <c r="AG17" s="48">
        <f t="shared" ref="AG17:AI17" si="5">L31+L23+AA15+L27+L37</f>
        <v>14</v>
      </c>
      <c r="AH17" s="48">
        <f t="shared" si="5"/>
        <v>60</v>
      </c>
      <c r="AI17" s="49">
        <f t="shared" si="5"/>
        <v>10</v>
      </c>
      <c r="AJ17" s="33"/>
      <c r="AK17" s="33"/>
      <c r="AL17" s="33"/>
      <c r="AM17" s="27"/>
      <c r="AN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33"/>
      <c r="AM18" s="27"/>
      <c r="AN18" s="27"/>
    </row>
    <row r="19" ht="13.5" customHeight="1">
      <c r="A19" s="57" t="str">
        <f>AE13</f>
        <v>Cyril Lastimosa / Jin Attard</v>
      </c>
      <c r="B19" s="43">
        <v>6.0</v>
      </c>
      <c r="C19" s="58">
        <f>IF(B19&gt;B17,1,0)</f>
        <v>1</v>
      </c>
      <c r="D19" s="59"/>
      <c r="E19" s="43">
        <v>6.0</v>
      </c>
      <c r="F19" s="58">
        <f>IF(E19&gt;E17,1,0)</f>
        <v>1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7" t="str">
        <f>AE15</f>
        <v>Javier Viloria / Andrea Magaldi</v>
      </c>
      <c r="Q19" s="43">
        <v>6.0</v>
      </c>
      <c r="R19" s="58">
        <f>IF(Q19&gt;Q17,1,0)</f>
        <v>1</v>
      </c>
      <c r="S19" s="59"/>
      <c r="T19" s="43">
        <v>6.0</v>
      </c>
      <c r="U19" s="58">
        <f>IF(T19&gt;T17,1,0)</f>
        <v>1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82" t="str">
        <f>Players!B27&amp; " / " &amp;Players!C27</f>
        <v>Jesmond Pule' / Angele Pule'</v>
      </c>
      <c r="AF19" s="48">
        <f>J35+J39+Y27+Y31+Y35</f>
        <v>5</v>
      </c>
      <c r="AG19" s="48">
        <f t="shared" ref="AG19:AI19" si="6">L35+L39+AA27+AA31+AA35</f>
        <v>4</v>
      </c>
      <c r="AH19" s="48">
        <f t="shared" si="6"/>
        <v>42</v>
      </c>
      <c r="AI19" s="49">
        <f t="shared" si="6"/>
        <v>5</v>
      </c>
      <c r="AJ19" s="27"/>
      <c r="AK19" s="33"/>
      <c r="AL19" s="33"/>
      <c r="AM19" s="27"/>
      <c r="AN19" s="27"/>
    </row>
    <row r="20" ht="13.5" customHeight="1">
      <c r="A20" s="27"/>
      <c r="B20" s="27"/>
      <c r="C20" s="27"/>
      <c r="D20" s="27"/>
      <c r="E20" s="27"/>
      <c r="F20" s="27"/>
      <c r="G20" s="27"/>
      <c r="H20" s="58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5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3"/>
      <c r="AL20" s="27"/>
      <c r="AM20" s="27"/>
      <c r="AN20" s="27"/>
    </row>
    <row r="21" ht="13.5" customHeight="1">
      <c r="A21" s="42" t="str">
        <f>AE11</f>
        <v>Willem Steenkamer / Mariska Steenkamer</v>
      </c>
      <c r="B21" s="43">
        <v>2.0</v>
      </c>
      <c r="C21" s="44">
        <f>IF(B21&gt;B23,1,0)</f>
        <v>0</v>
      </c>
      <c r="D21" s="45"/>
      <c r="E21" s="43">
        <v>1.0</v>
      </c>
      <c r="F21" s="44">
        <f>IF(E21&gt;E23,1,0)</f>
        <v>0</v>
      </c>
      <c r="G21" s="45"/>
      <c r="H21" s="46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3</v>
      </c>
      <c r="N21" s="27">
        <f>C21+F21+I21</f>
        <v>0</v>
      </c>
      <c r="O21" s="27"/>
      <c r="P21" s="42" t="str">
        <f>AE13</f>
        <v>Cyril Lastimosa / Jin Attard</v>
      </c>
      <c r="Q21" s="43">
        <v>6.0</v>
      </c>
      <c r="R21" s="44">
        <f>IF(Q21&gt;Q23,1,0)</f>
        <v>0</v>
      </c>
      <c r="S21" s="45"/>
      <c r="T21" s="43">
        <v>7.0</v>
      </c>
      <c r="U21" s="44">
        <f>IF(T21&gt;T23,1,0)</f>
        <v>1</v>
      </c>
      <c r="V21" s="45"/>
      <c r="W21" s="43">
        <v>10.0</v>
      </c>
      <c r="X21" s="27">
        <f>IF(W21&gt;W23,1,0)</f>
        <v>1</v>
      </c>
      <c r="Y21" s="27">
        <f>IF(Q21="",0,1)</f>
        <v>1</v>
      </c>
      <c r="Z21" s="27">
        <f>IF(R21+U21=2,3,IF(R21+U21=1,1,0))</f>
        <v>1</v>
      </c>
      <c r="AA21" s="27">
        <f>IF(Z21=3,3,IF(X21+Z21=2,2,IF(Z21=1,1,0)))</f>
        <v>2</v>
      </c>
      <c r="AB21" s="27">
        <f>Q21+T21</f>
        <v>13</v>
      </c>
      <c r="AC21" s="27">
        <f>R21+U21+X21</f>
        <v>2</v>
      </c>
      <c r="AD21" s="27"/>
      <c r="AE21" s="80" t="s">
        <v>125</v>
      </c>
      <c r="AF21" s="30"/>
      <c r="AG21" s="30"/>
      <c r="AH21" s="30"/>
      <c r="AI21" s="8"/>
      <c r="AJ21" s="27"/>
      <c r="AK21" s="27"/>
      <c r="AL21" s="27"/>
      <c r="AM21" s="27"/>
      <c r="AN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 t="s">
        <v>123</v>
      </c>
      <c r="W22" s="51"/>
      <c r="X22" s="52"/>
      <c r="Y22" s="27"/>
      <c r="Z22" s="27"/>
      <c r="AA22" s="27"/>
      <c r="AB22" s="27"/>
      <c r="AC22" s="27"/>
      <c r="AD22" s="27"/>
      <c r="AE22" s="65" t="s">
        <v>131</v>
      </c>
      <c r="AF22" s="30"/>
      <c r="AG22" s="30"/>
      <c r="AH22" s="30"/>
      <c r="AI22" s="8"/>
      <c r="AJ22" s="27"/>
      <c r="AK22" s="33"/>
      <c r="AL22" s="27"/>
      <c r="AM22" s="27"/>
      <c r="AN22" s="27"/>
    </row>
    <row r="23" ht="13.5" customHeight="1">
      <c r="A23" s="57" t="str">
        <f>AE17</f>
        <v>Trevor Rutter / Karolina Papiernak</v>
      </c>
      <c r="B23" s="43">
        <v>6.0</v>
      </c>
      <c r="C23" s="58">
        <f>IF(B23&gt;B21,1,0)</f>
        <v>1</v>
      </c>
      <c r="D23" s="59"/>
      <c r="E23" s="43">
        <v>6.0</v>
      </c>
      <c r="F23" s="58">
        <f>IF(E23&gt;E21,1,0)</f>
        <v>1</v>
      </c>
      <c r="G23" s="59"/>
      <c r="H23" s="46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7" t="str">
        <f>AE15</f>
        <v>Javier Viloria / Andrea Magaldi</v>
      </c>
      <c r="Q23" s="43">
        <v>7.0</v>
      </c>
      <c r="R23" s="58">
        <f>IF(Q23&gt;Q21,1,0)</f>
        <v>1</v>
      </c>
      <c r="S23" s="59"/>
      <c r="T23" s="43">
        <v>6.0</v>
      </c>
      <c r="U23" s="58">
        <f>IF(T23&gt;T21,1,0)</f>
        <v>0</v>
      </c>
      <c r="V23" s="59"/>
      <c r="W23" s="43">
        <v>8.0</v>
      </c>
      <c r="X23" s="27">
        <f>IF(W23&gt;W21,1,0)</f>
        <v>0</v>
      </c>
      <c r="Y23" s="27">
        <f>IF(Q23="",0,1)</f>
        <v>1</v>
      </c>
      <c r="Z23" s="27">
        <f>IF(R23+U23=2,3,IF(R23+U23=1,1,0))</f>
        <v>1</v>
      </c>
      <c r="AA23" s="27">
        <f>IF(Z23=3,3,IF(X23+Z23=2,2,IF(Z23=1,1,0)))</f>
        <v>1</v>
      </c>
      <c r="AB23" s="27">
        <f>Q23+T23</f>
        <v>13</v>
      </c>
      <c r="AC23" s="27">
        <f>R23+U23+X23</f>
        <v>1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3.5" customHeight="1">
      <c r="A24" s="27"/>
      <c r="B24" s="27"/>
      <c r="C24" s="27"/>
      <c r="D24" s="27"/>
      <c r="E24" s="27"/>
      <c r="F24" s="27"/>
      <c r="G24" s="27"/>
      <c r="H24" s="58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3.5" customHeight="1">
      <c r="A25" s="42" t="str">
        <f>AE13</f>
        <v>Cyril Lastimosa / Jin Attard</v>
      </c>
      <c r="B25" s="43">
        <v>4.0</v>
      </c>
      <c r="C25" s="44">
        <f>IF(B25&gt;B27,1,0)</f>
        <v>0</v>
      </c>
      <c r="D25" s="45"/>
      <c r="E25" s="43">
        <v>6.0</v>
      </c>
      <c r="F25" s="44">
        <f>IF(E25&gt;E27,1,0)</f>
        <v>1</v>
      </c>
      <c r="G25" s="45"/>
      <c r="H25" s="43">
        <v>2.0</v>
      </c>
      <c r="I25" s="27">
        <f>IF(H25&gt;H27,1,0)</f>
        <v>0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1</v>
      </c>
      <c r="M25" s="27">
        <f>B25+E25</f>
        <v>10</v>
      </c>
      <c r="N25" s="27">
        <f>C25+F25+I25</f>
        <v>1</v>
      </c>
      <c r="O25" s="27"/>
      <c r="P25" s="42" t="str">
        <f>AE9</f>
        <v>Ivan Farrugia / Stephanie Farrugia</v>
      </c>
      <c r="Q25" s="43">
        <v>6.0</v>
      </c>
      <c r="R25" s="44">
        <f>IF(Q25&gt;Q27,1,0)</f>
        <v>0</v>
      </c>
      <c r="S25" s="45"/>
      <c r="T25" s="43">
        <v>6.0</v>
      </c>
      <c r="U25" s="44">
        <f>IF(T25&gt;T27,1,0)</f>
        <v>1</v>
      </c>
      <c r="V25" s="45"/>
      <c r="W25" s="43">
        <v>8.0</v>
      </c>
      <c r="X25" s="27">
        <f>IF(W25&gt;W23,1,0)</f>
        <v>0</v>
      </c>
      <c r="Y25" s="27">
        <f>IF(Q25="",0,1)</f>
        <v>1</v>
      </c>
      <c r="Z25" s="27">
        <f>IF(R25+U25=2,3,IF(R25+U25=1,1,0))</f>
        <v>1</v>
      </c>
      <c r="AA25" s="27">
        <f>IF(Z25=3,3,IF(X25+Z25=2,2,IF(Z25=1,1,0)))</f>
        <v>1</v>
      </c>
      <c r="AB25" s="27">
        <f>Q25+T25</f>
        <v>12</v>
      </c>
      <c r="AC25" s="27">
        <f>R25+U25+X25</f>
        <v>1</v>
      </c>
      <c r="AD25" s="27"/>
      <c r="AE25" s="80" t="s">
        <v>127</v>
      </c>
      <c r="AF25" s="30"/>
      <c r="AG25" s="30"/>
      <c r="AH25" s="30"/>
      <c r="AI25" s="8"/>
      <c r="AJ25" s="27"/>
      <c r="AK25" s="27"/>
      <c r="AL25" s="27"/>
      <c r="AM25" s="27"/>
      <c r="AN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27"/>
      <c r="Y26" s="27"/>
      <c r="Z26" s="27"/>
      <c r="AA26" s="27"/>
      <c r="AB26" s="27"/>
      <c r="AC26" s="27"/>
      <c r="AD26" s="27"/>
      <c r="AE26" s="65" t="s">
        <v>132</v>
      </c>
      <c r="AF26" s="30"/>
      <c r="AG26" s="30"/>
      <c r="AH26" s="30"/>
      <c r="AI26" s="8"/>
      <c r="AJ26" s="27"/>
      <c r="AK26" s="27"/>
      <c r="AL26" s="27"/>
      <c r="AM26" s="27"/>
      <c r="AN26" s="27"/>
    </row>
    <row r="27" ht="13.5" customHeight="1">
      <c r="A27" s="57" t="str">
        <f>AE17</f>
        <v>Trevor Rutter / Karolina Papiernak</v>
      </c>
      <c r="B27" s="43">
        <v>6.0</v>
      </c>
      <c r="C27" s="58">
        <f>IF(B27&gt;B25,1,0)</f>
        <v>1</v>
      </c>
      <c r="D27" s="59"/>
      <c r="E27" s="43">
        <v>4.0</v>
      </c>
      <c r="F27" s="58">
        <f>IF(E27&gt;E25,1,0)</f>
        <v>0</v>
      </c>
      <c r="G27" s="59"/>
      <c r="H27" s="43">
        <v>10.0</v>
      </c>
      <c r="I27" s="27">
        <f>IF(H27&gt;H25,1,0)</f>
        <v>1</v>
      </c>
      <c r="J27" s="27">
        <f>IF(B27="",0,1)</f>
        <v>1</v>
      </c>
      <c r="K27" s="27">
        <f>IF(C27+F27=2,3,IF(C27+F27=1,1,0))</f>
        <v>1</v>
      </c>
      <c r="L27" s="27">
        <f>IF(K27=3,3,IF(I27+K27=2,2,IF(K27=1,1,0)))</f>
        <v>2</v>
      </c>
      <c r="M27" s="27">
        <f>B27+E27</f>
        <v>10</v>
      </c>
      <c r="N27" s="27">
        <f>C27+F27+I27</f>
        <v>2</v>
      </c>
      <c r="O27" s="27"/>
      <c r="P27" s="57" t="str">
        <f>AE19</f>
        <v>Jesmond Pule' / Angele Pule'</v>
      </c>
      <c r="Q27" s="43">
        <v>7.0</v>
      </c>
      <c r="R27" s="58">
        <f>IF(Q27&gt;Q25,1,0)</f>
        <v>1</v>
      </c>
      <c r="S27" s="59"/>
      <c r="T27" s="43">
        <v>4.0</v>
      </c>
      <c r="U27" s="58">
        <f>IF(T27&gt;T25,1,0)</f>
        <v>0</v>
      </c>
      <c r="V27" s="59"/>
      <c r="W27" s="43">
        <v>10.0</v>
      </c>
      <c r="X27" s="27">
        <f>IF(W27&gt;W25,1,0)</f>
        <v>1</v>
      </c>
      <c r="Y27" s="27">
        <f>IF(Q27="",0,1)</f>
        <v>1</v>
      </c>
      <c r="Z27" s="27">
        <f>IF(R27+U27=2,3,IF(R27+U27=1,1,0))</f>
        <v>1</v>
      </c>
      <c r="AA27" s="27">
        <f>IF(Z27=3,3,IF(X27+Z27=2,2,IF(Z27=1,1,0)))</f>
        <v>2</v>
      </c>
      <c r="AB27" s="27">
        <f>Q27+T27</f>
        <v>11</v>
      </c>
      <c r="AC27" s="27">
        <f>R27+U27+X27</f>
        <v>2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3.5" customHeight="1">
      <c r="A28" s="27"/>
      <c r="B28" s="27"/>
      <c r="C28" s="27"/>
      <c r="D28" s="27"/>
      <c r="E28" s="27"/>
      <c r="F28" s="27"/>
      <c r="G28" s="27"/>
      <c r="H28" s="58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  <c r="AM28" s="27"/>
      <c r="AN28" s="27"/>
    </row>
    <row r="29" ht="13.5" customHeight="1">
      <c r="A29" s="42" t="str">
        <f>AE15</f>
        <v>Javier Viloria / Andrea Magaldi</v>
      </c>
      <c r="B29" s="43">
        <v>3.0</v>
      </c>
      <c r="C29" s="44">
        <f>IF(B29&gt;B31,1,0)</f>
        <v>0</v>
      </c>
      <c r="D29" s="45"/>
      <c r="E29" s="43">
        <v>6.0</v>
      </c>
      <c r="F29" s="44">
        <f>IF(E29&gt;E31,1,0)</f>
        <v>0</v>
      </c>
      <c r="G29" s="45"/>
      <c r="H29" s="46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9</v>
      </c>
      <c r="N29" s="27">
        <f>C29+F29+I29</f>
        <v>0</v>
      </c>
      <c r="O29" s="27"/>
      <c r="P29" s="42" t="str">
        <f>AE11</f>
        <v>Willem Steenkamer / Mariska Steenkamer</v>
      </c>
      <c r="Q29" s="43">
        <v>7.0</v>
      </c>
      <c r="R29" s="44">
        <f>IF(Q29&gt;Q31,1,0)</f>
        <v>1</v>
      </c>
      <c r="S29" s="45"/>
      <c r="T29" s="43">
        <v>6.0</v>
      </c>
      <c r="U29" s="44">
        <f>IF(T29&gt;T31,1,0)</f>
        <v>1</v>
      </c>
      <c r="V29" s="45"/>
      <c r="W29" s="43">
        <v>8.0</v>
      </c>
      <c r="X29" s="27">
        <f>IF(W29&gt;W27,1,0)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13</v>
      </c>
      <c r="AC29" s="27">
        <f>R29+U29+X29</f>
        <v>2</v>
      </c>
      <c r="AD29" s="27"/>
      <c r="AE29" s="77"/>
      <c r="AF29" s="83"/>
      <c r="AG29" s="77"/>
      <c r="AH29" s="77"/>
      <c r="AI29" s="27"/>
      <c r="AJ29" s="27"/>
      <c r="AK29" s="27"/>
      <c r="AL29" s="27"/>
      <c r="AM29" s="27"/>
      <c r="AN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27"/>
      <c r="P30" s="53" t="s">
        <v>123</v>
      </c>
      <c r="W30" s="51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6"/>
      <c r="AM30" s="27"/>
      <c r="AN30" s="27"/>
    </row>
    <row r="31" ht="13.5" customHeight="1">
      <c r="A31" s="57" t="str">
        <f>AE17</f>
        <v>Trevor Rutter / Karolina Papiernak</v>
      </c>
      <c r="B31" s="43">
        <v>6.0</v>
      </c>
      <c r="C31" s="58">
        <f>IF(B31&gt;B29,1,0)</f>
        <v>1</v>
      </c>
      <c r="D31" s="59"/>
      <c r="E31" s="43">
        <v>7.0</v>
      </c>
      <c r="F31" s="58">
        <f>IF(E31&gt;E29,1,0)</f>
        <v>1</v>
      </c>
      <c r="G31" s="59"/>
      <c r="H31" s="46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13</v>
      </c>
      <c r="N31" s="27">
        <f>C31+F31+I31</f>
        <v>2</v>
      </c>
      <c r="O31" s="27"/>
      <c r="P31" s="57" t="str">
        <f>AE19</f>
        <v>Jesmond Pule' / Angele Pule'</v>
      </c>
      <c r="Q31" s="43">
        <v>5.0</v>
      </c>
      <c r="R31" s="58">
        <f>IF(Q31&gt;Q29,1,0)</f>
        <v>0</v>
      </c>
      <c r="S31" s="59"/>
      <c r="T31" s="43">
        <v>1.0</v>
      </c>
      <c r="U31" s="58">
        <f>IF(T31&gt;T29,1,0)</f>
        <v>0</v>
      </c>
      <c r="V31" s="59"/>
      <c r="W31" s="43">
        <v>10.0</v>
      </c>
      <c r="X31" s="27">
        <f>IF(W31&gt;W29,1,0)</f>
        <v>1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6</v>
      </c>
      <c r="AC31" s="27">
        <f>R31+U31+X31</f>
        <v>1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3"/>
    </row>
    <row r="32" ht="13.5" customHeight="1">
      <c r="A32" s="27"/>
      <c r="B32" s="27"/>
      <c r="C32" s="27"/>
      <c r="D32" s="27"/>
      <c r="E32" s="33"/>
      <c r="F32" s="27"/>
      <c r="G32" s="27"/>
      <c r="H32" s="33"/>
      <c r="I32" s="27"/>
      <c r="J32" s="33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66"/>
      <c r="AM32" s="27"/>
      <c r="AN32" s="27"/>
    </row>
    <row r="33" ht="13.5" customHeight="1">
      <c r="A33" s="42" t="str">
        <f>AE15</f>
        <v>Javier Viloria / Andrea Magaldi</v>
      </c>
      <c r="B33" s="43">
        <v>6.0</v>
      </c>
      <c r="C33" s="44">
        <f>IF(B33&gt;B35,1,0)</f>
        <v>1</v>
      </c>
      <c r="D33" s="45"/>
      <c r="E33" s="43">
        <v>3.0</v>
      </c>
      <c r="F33" s="44">
        <f>IF(E33&gt;E35,1,0)</f>
        <v>0</v>
      </c>
      <c r="G33" s="45"/>
      <c r="H33" s="43">
        <v>10.0</v>
      </c>
      <c r="I33" s="27">
        <f>IF(H33&gt;H35,1,0)</f>
        <v>1</v>
      </c>
      <c r="J33" s="27">
        <f>IF(B33="",0,1)</f>
        <v>1</v>
      </c>
      <c r="K33" s="27">
        <f>IF(C33+F33=2,3,IF(C33+F33=1,1,0))</f>
        <v>1</v>
      </c>
      <c r="L33" s="27">
        <f>IF(K33=3,3,IF(I33+K33=2,2,IF(K33=1,1,0)))</f>
        <v>2</v>
      </c>
      <c r="M33" s="27">
        <f>B33+E33</f>
        <v>9</v>
      </c>
      <c r="N33" s="27">
        <f>C33+F33+I33</f>
        <v>2</v>
      </c>
      <c r="O33" s="27"/>
      <c r="P33" s="42" t="str">
        <f>AE13</f>
        <v>Cyril Lastimosa / Jin Attard</v>
      </c>
      <c r="Q33" s="43">
        <v>7.0</v>
      </c>
      <c r="R33" s="44">
        <f>IF(Q33&gt;Q35,1,0)</f>
        <v>1</v>
      </c>
      <c r="S33" s="45"/>
      <c r="T33" s="43">
        <v>6.0</v>
      </c>
      <c r="U33" s="44">
        <f>IF(T33&gt;T35,1,0)</f>
        <v>1</v>
      </c>
      <c r="V33" s="45"/>
      <c r="W33" s="46"/>
      <c r="X33" s="27">
        <f>IF(W33&gt;W31,1,0)</f>
        <v>0</v>
      </c>
      <c r="Y33" s="27">
        <f>IF(Q33="",0,1)</f>
        <v>1</v>
      </c>
      <c r="Z33" s="27">
        <f>IF(R33+U33=2,3,IF(R33+U33=1,1,0))</f>
        <v>3</v>
      </c>
      <c r="AA33" s="27">
        <f>IF(Z33=3,3,IF(X33+Z33=2,2,IF(Z33=1,1,0)))</f>
        <v>3</v>
      </c>
      <c r="AB33" s="27">
        <f>Q33+T33</f>
        <v>13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3.5" customHeight="1">
      <c r="A34" s="53" t="s">
        <v>123</v>
      </c>
      <c r="H34" s="51"/>
      <c r="I34" s="27"/>
      <c r="J34" s="27"/>
      <c r="K34" s="27"/>
      <c r="L34" s="27"/>
      <c r="M34" s="27"/>
      <c r="N34" s="27"/>
      <c r="O34" s="27"/>
      <c r="P34" s="53" t="s">
        <v>123</v>
      </c>
      <c r="W34" s="51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3.5" customHeight="1">
      <c r="A35" s="57" t="str">
        <f>AE19</f>
        <v>Jesmond Pule' / Angele Pule'</v>
      </c>
      <c r="B35" s="43">
        <v>4.0</v>
      </c>
      <c r="C35" s="58">
        <f>IF(B35&gt;B33,1,0)</f>
        <v>0</v>
      </c>
      <c r="D35" s="59"/>
      <c r="E35" s="43">
        <v>6.0</v>
      </c>
      <c r="F35" s="58">
        <f>IF(E35&gt;E33,1,0)</f>
        <v>1</v>
      </c>
      <c r="G35" s="59"/>
      <c r="H35" s="43">
        <v>4.0</v>
      </c>
      <c r="I35" s="27">
        <f>IF(H35&gt;H37,1,0)</f>
        <v>1</v>
      </c>
      <c r="J35" s="27">
        <f>IF(B35="",0,1)</f>
        <v>1</v>
      </c>
      <c r="K35" s="27">
        <f>IF(C35+F35=2,3,IF(C35+F35=1,1,0))</f>
        <v>1</v>
      </c>
      <c r="L35" s="27">
        <f>IF(K35=3,3,IF(I35+K35=2,2,IF(K35=1,1,0)))</f>
        <v>2</v>
      </c>
      <c r="M35" s="27">
        <f>B35+E35</f>
        <v>10</v>
      </c>
      <c r="N35" s="27">
        <f>C35+F35+I35</f>
        <v>2</v>
      </c>
      <c r="O35" s="27"/>
      <c r="P35" s="57" t="str">
        <f>AE19</f>
        <v>Jesmond Pule' / Angele Pule'</v>
      </c>
      <c r="Q35" s="43">
        <v>6.0</v>
      </c>
      <c r="R35" s="58">
        <f>IF(Q35&gt;Q33,1,0)</f>
        <v>0</v>
      </c>
      <c r="S35" s="59"/>
      <c r="T35" s="43">
        <v>2.0</v>
      </c>
      <c r="U35" s="58">
        <f>IF(T35&gt;T33,1,0)</f>
        <v>0</v>
      </c>
      <c r="V35" s="59"/>
      <c r="W35" s="46"/>
      <c r="X35" s="27">
        <f>IF(W35&gt;W33,1,0)</f>
        <v>0</v>
      </c>
      <c r="Y35" s="27">
        <f>IF(Q35="",0,1)</f>
        <v>1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8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3"/>
      <c r="AI36" s="27"/>
      <c r="AJ36" s="27"/>
      <c r="AK36" s="33"/>
      <c r="AL36" s="27"/>
      <c r="AM36" s="27"/>
      <c r="AN36" s="27"/>
    </row>
    <row r="37" ht="13.5" customHeight="1">
      <c r="A37" s="42" t="str">
        <f>AE17</f>
        <v>Trevor Rutter / Karolina Papiernak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1</v>
      </c>
      <c r="G37" s="45"/>
      <c r="H37" s="46"/>
      <c r="I37" s="27">
        <f>IF(H37&gt;H39,1,0)</f>
        <v>0</v>
      </c>
      <c r="J37" s="27">
        <f>IF(B37="",0,1)</f>
        <v>1</v>
      </c>
      <c r="K37" s="27">
        <f>IF(C37+F37=2,3,IF(C37+F37=1,1,0))</f>
        <v>3</v>
      </c>
      <c r="L37" s="27">
        <f>IF(K37=3,3,IF(I37+K37=2,2,IF(K37=1,1,0)))</f>
        <v>3</v>
      </c>
      <c r="M37" s="27">
        <f>B37+E37</f>
        <v>12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3"/>
      <c r="AL37" s="27"/>
      <c r="AM37" s="27"/>
      <c r="AN37" s="27"/>
    </row>
    <row r="38" ht="13.5" customHeight="1">
      <c r="A38" s="53" t="s">
        <v>123</v>
      </c>
      <c r="H38" s="51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70"/>
      <c r="AK38" s="27"/>
      <c r="AL38" s="27"/>
      <c r="AM38" s="27"/>
      <c r="AN38" s="27"/>
    </row>
    <row r="39" ht="13.5" customHeight="1">
      <c r="A39" s="57" t="str">
        <f>AE19</f>
        <v>Jesmond Pule' / Angele Pule'</v>
      </c>
      <c r="B39" s="43">
        <v>4.0</v>
      </c>
      <c r="C39" s="58">
        <f>IF(B39&gt;B37,1,0)</f>
        <v>0</v>
      </c>
      <c r="D39" s="59"/>
      <c r="E39" s="43">
        <v>3.0</v>
      </c>
      <c r="F39" s="58">
        <f>IF(E39&gt;E37,1,0)</f>
        <v>0</v>
      </c>
      <c r="G39" s="59"/>
      <c r="H39" s="46"/>
      <c r="I39" s="27">
        <f>IF(H39&gt;H41,1,0)</f>
        <v>0</v>
      </c>
      <c r="J39" s="27">
        <f>IF(B39="",0,1)</f>
        <v>1</v>
      </c>
      <c r="K39" s="27">
        <f>IF(C39+F39=2,3,IF(C39+F39=1,1,0))</f>
        <v>0</v>
      </c>
      <c r="L39" s="27">
        <f>IF(K39=3,3,IF(I39+K39=2,2,IF(K39=1,1,0)))</f>
        <v>0</v>
      </c>
      <c r="M39" s="27">
        <f>B39+E39</f>
        <v>7</v>
      </c>
      <c r="N39" s="27">
        <f>C39+F39+I39</f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70"/>
      <c r="AK41" s="27"/>
      <c r="AL41" s="27"/>
      <c r="AM41" s="27"/>
      <c r="AN41" s="27"/>
    </row>
    <row r="42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3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3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70"/>
      <c r="AK46" s="27"/>
      <c r="AL46" s="33"/>
      <c r="AM46" s="27"/>
      <c r="AN46" s="27"/>
    </row>
    <row r="47" ht="13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70"/>
      <c r="AK51" s="27"/>
      <c r="AL51" s="27"/>
      <c r="AM51" s="27"/>
      <c r="AN51" s="33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3"/>
      <c r="AI55" s="27"/>
      <c r="AJ55" s="27"/>
      <c r="AK55" s="33"/>
      <c r="AL55" s="27"/>
      <c r="AM55" s="27"/>
      <c r="AN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3"/>
      <c r="R105" s="33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5"/>
    <col customWidth="1" min="16" max="16" width="41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7.75"/>
    <col customWidth="1" hidden="1" min="28" max="28" width="8.0"/>
    <col customWidth="1" hidden="1" min="29" max="29" width="6.13"/>
    <col customWidth="1" min="30" max="30" width="6.38"/>
    <col customWidth="1" min="31" max="31" width="42.5"/>
    <col customWidth="1" min="32" max="32" width="9.88"/>
    <col customWidth="1" min="33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84" t="s">
        <v>40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>
      <c r="A7" s="85" t="s">
        <v>101</v>
      </c>
      <c r="B7" s="86" t="s">
        <v>102</v>
      </c>
      <c r="C7" s="30"/>
      <c r="D7" s="30"/>
      <c r="E7" s="8"/>
      <c r="F7" s="87"/>
      <c r="G7" s="88"/>
      <c r="H7" s="85" t="s">
        <v>103</v>
      </c>
      <c r="I7" s="27"/>
      <c r="J7" s="27"/>
      <c r="K7" s="27"/>
      <c r="L7" s="27"/>
      <c r="M7" s="33"/>
      <c r="N7" s="33"/>
      <c r="O7" s="27"/>
      <c r="P7" s="85" t="s">
        <v>101</v>
      </c>
      <c r="Q7" s="86" t="s">
        <v>102</v>
      </c>
      <c r="R7" s="30"/>
      <c r="S7" s="30"/>
      <c r="T7" s="8"/>
      <c r="U7" s="87"/>
      <c r="V7" s="88"/>
      <c r="W7" s="85" t="s">
        <v>103</v>
      </c>
      <c r="X7" s="27"/>
      <c r="Y7" s="33"/>
      <c r="Z7" s="33"/>
      <c r="AA7" s="33"/>
      <c r="AB7" s="33"/>
      <c r="AC7" s="33"/>
      <c r="AD7" s="27"/>
      <c r="AE7" s="85" t="s">
        <v>104</v>
      </c>
      <c r="AF7" s="89" t="s">
        <v>105</v>
      </c>
      <c r="AG7" s="89" t="s">
        <v>106</v>
      </c>
      <c r="AH7" s="89" t="s">
        <v>107</v>
      </c>
      <c r="AI7" s="89" t="s">
        <v>108</v>
      </c>
      <c r="AJ7" s="33"/>
      <c r="AK7" s="33"/>
      <c r="AL7" s="33"/>
      <c r="AM7" s="27"/>
      <c r="AN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5" t="s">
        <v>119</v>
      </c>
      <c r="AL8" s="36" t="s">
        <v>120</v>
      </c>
      <c r="AM8" s="37" t="s">
        <v>121</v>
      </c>
      <c r="AN8" s="37" t="s">
        <v>122</v>
      </c>
    </row>
    <row r="9" ht="13.5" customHeight="1">
      <c r="A9" s="42" t="str">
        <f>AE9</f>
        <v>Luke Genuis / Dorianne Buhagiar</v>
      </c>
      <c r="B9" s="43">
        <v>4.0</v>
      </c>
      <c r="C9" s="44">
        <f>IF(B9&gt;B11,1,0)</f>
        <v>0</v>
      </c>
      <c r="D9" s="45"/>
      <c r="E9" s="43">
        <v>7.0</v>
      </c>
      <c r="F9" s="44">
        <f>IF(E9&gt;E11,1,0)</f>
        <v>1</v>
      </c>
      <c r="G9" s="45"/>
      <c r="H9" s="43">
        <v>7.0</v>
      </c>
      <c r="I9" s="27">
        <f>IF(H9&gt;H11,1,0)</f>
        <v>0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1</v>
      </c>
      <c r="M9" s="27">
        <f>B9+E9</f>
        <v>11</v>
      </c>
      <c r="N9" s="27">
        <f>C9+F9+I9</f>
        <v>1</v>
      </c>
      <c r="O9" s="27"/>
      <c r="P9" s="42" t="str">
        <f>AE9</f>
        <v>Luke Genuis / Dorianne Buhagiar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90" t="str">
        <f>Players!B30&amp; " / " &amp;Players!C30</f>
        <v>Luke Genuis / Dorianne Buhagiar</v>
      </c>
      <c r="AF9" s="48">
        <f>J9+Y9+J13+Y13+J17</f>
        <v>5</v>
      </c>
      <c r="AG9" s="48">
        <f t="shared" ref="AG9:AI9" si="1">L9+AA9+L13+AA13+L17</f>
        <v>11</v>
      </c>
      <c r="AH9" s="48">
        <f t="shared" si="1"/>
        <v>58</v>
      </c>
      <c r="AI9" s="49">
        <f t="shared" si="1"/>
        <v>8</v>
      </c>
      <c r="AJ9" s="27"/>
      <c r="AK9" s="27"/>
      <c r="AL9" s="27"/>
      <c r="AM9" s="27"/>
      <c r="AN9" s="27"/>
    </row>
    <row r="10" ht="13.5" customHeight="1">
      <c r="A10" s="53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3.5" customHeight="1">
      <c r="A11" s="57" t="str">
        <f>AE11</f>
        <v>George Grech / Jade Sammut</v>
      </c>
      <c r="B11" s="43">
        <v>6.0</v>
      </c>
      <c r="C11" s="58">
        <f>IF(B11&gt;B9,1,0)</f>
        <v>1</v>
      </c>
      <c r="D11" s="59"/>
      <c r="E11" s="43">
        <v>5.0</v>
      </c>
      <c r="F11" s="58">
        <f>IF(E11&gt;E9,1,0)</f>
        <v>0</v>
      </c>
      <c r="G11" s="59"/>
      <c r="H11" s="43">
        <v>10.0</v>
      </c>
      <c r="I11" s="27">
        <f>IF(H11&gt;H9,1,0)</f>
        <v>1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2</v>
      </c>
      <c r="M11" s="27">
        <f>B11+E11</f>
        <v>11</v>
      </c>
      <c r="N11" s="27">
        <f>C11+F11+I11</f>
        <v>2</v>
      </c>
      <c r="O11" s="27"/>
      <c r="P11" s="57" t="str">
        <f>AE13</f>
        <v>Daniel Farrugia / Diane Farrugia</v>
      </c>
      <c r="Q11" s="43">
        <v>4.0</v>
      </c>
      <c r="R11" s="58">
        <f>IF(Q11&gt;Q9,1,0)</f>
        <v>0</v>
      </c>
      <c r="S11" s="59"/>
      <c r="T11" s="43">
        <v>0.0</v>
      </c>
      <c r="U11" s="58">
        <f>IF(T11&gt;T9,1,0)</f>
        <v>0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4</v>
      </c>
      <c r="AC11" s="27">
        <f>R11+U11+X11</f>
        <v>0</v>
      </c>
      <c r="AD11" s="27"/>
      <c r="AE11" s="90" t="str">
        <f>Players!B31&amp; " / " &amp;Players!C31</f>
        <v>George Grech / Jade Sammut</v>
      </c>
      <c r="AF11" s="48">
        <f>J11+Y25+J25+Y21+J21</f>
        <v>5</v>
      </c>
      <c r="AG11" s="48">
        <f t="shared" ref="AG11:AI11" si="2">L11+AA25+L25+AA21+L21</f>
        <v>7</v>
      </c>
      <c r="AH11" s="48">
        <f t="shared" si="2"/>
        <v>43</v>
      </c>
      <c r="AI11" s="49">
        <f t="shared" si="2"/>
        <v>6</v>
      </c>
      <c r="AJ11" s="33"/>
      <c r="AK11" s="33"/>
      <c r="AL11" s="33"/>
      <c r="AM11" s="27"/>
      <c r="AN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3.5" customHeight="1">
      <c r="A13" s="42" t="str">
        <f>AE9</f>
        <v>Luke Genuis / Dorianne Buhagiar</v>
      </c>
      <c r="B13" s="43">
        <v>6.0</v>
      </c>
      <c r="C13" s="44">
        <f>IF(B13&gt;B15,1,0)</f>
        <v>1</v>
      </c>
      <c r="D13" s="45"/>
      <c r="E13" s="43">
        <v>6.0</v>
      </c>
      <c r="F13" s="44">
        <f>IF(E13&gt;E15,1,0)</f>
        <v>1</v>
      </c>
      <c r="G13" s="45"/>
      <c r="H13" s="46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2" t="str">
        <f>AE9</f>
        <v>Luke Genuis / Dorianne Buhagiar</v>
      </c>
      <c r="Q13" s="43">
        <v>4.0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8.0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10</v>
      </c>
      <c r="AC13" s="27">
        <f>R13+U13+X13</f>
        <v>1</v>
      </c>
      <c r="AD13" s="27"/>
      <c r="AE13" s="90" t="str">
        <f>Players!B32&amp; " / " &amp;Players!C32</f>
        <v>Daniel Farrugia / Diane Farrugia</v>
      </c>
      <c r="AF13" s="48">
        <f>Y29+Y11+Y33+J33+J23</f>
        <v>5</v>
      </c>
      <c r="AG13" s="48">
        <f t="shared" ref="AG13:AI13" si="3">AA29+AA11+AA33+L33+L23</f>
        <v>7</v>
      </c>
      <c r="AH13" s="48">
        <f t="shared" si="3"/>
        <v>36</v>
      </c>
      <c r="AI13" s="49">
        <f t="shared" si="3"/>
        <v>6</v>
      </c>
      <c r="AJ13" s="33"/>
      <c r="AK13" s="33"/>
      <c r="AL13" s="33"/>
      <c r="AM13" s="27"/>
      <c r="AN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3.5" customHeight="1">
      <c r="A15" s="57" t="str">
        <f>AE15</f>
        <v>Luigi Porto / Vanessa Farrugia</v>
      </c>
      <c r="B15" s="43">
        <v>0.0</v>
      </c>
      <c r="C15" s="58">
        <f>IF(B15&gt;B13,1,0)</f>
        <v>0</v>
      </c>
      <c r="D15" s="59"/>
      <c r="E15" s="43">
        <v>0.0</v>
      </c>
      <c r="F15" s="58">
        <f>IF(E15&gt;E13,1,0)</f>
        <v>0</v>
      </c>
      <c r="G15" s="59"/>
      <c r="H15" s="46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0</v>
      </c>
      <c r="N15" s="27">
        <f>C15+F15+I15</f>
        <v>0</v>
      </c>
      <c r="O15" s="27"/>
      <c r="P15" s="57" t="str">
        <f>AE17</f>
        <v>James Farrugia / Nancy Wong</v>
      </c>
      <c r="Q15" s="43">
        <v>6.0</v>
      </c>
      <c r="R15" s="58">
        <f>IF(Q15&gt;Q13,1,0)</f>
        <v>1</v>
      </c>
      <c r="S15" s="59"/>
      <c r="T15" s="43">
        <v>4.0</v>
      </c>
      <c r="U15" s="58">
        <f>IF(T15&gt;T13,1,0)</f>
        <v>0</v>
      </c>
      <c r="V15" s="59"/>
      <c r="W15" s="43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10</v>
      </c>
      <c r="AC15" s="27">
        <f>R15+U15+X15</f>
        <v>2</v>
      </c>
      <c r="AD15" s="27"/>
      <c r="AE15" s="90" t="str">
        <f>Players!B33&amp; " / " &amp;Players!C33</f>
        <v>Luigi Porto / Vanessa Farrugia</v>
      </c>
      <c r="AF15" s="48">
        <f>Y31+J37+J15+Y23+J29</f>
        <v>5</v>
      </c>
      <c r="AG15" s="48">
        <f t="shared" ref="AG15:AI15" si="4">AA31+L37+L15+AA23+L29</f>
        <v>4</v>
      </c>
      <c r="AH15" s="48">
        <f t="shared" si="4"/>
        <v>44</v>
      </c>
      <c r="AI15" s="49">
        <f t="shared" si="4"/>
        <v>4</v>
      </c>
      <c r="AJ15" s="33"/>
      <c r="AK15" s="33"/>
      <c r="AL15" s="33"/>
      <c r="AM15" s="27"/>
      <c r="AN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33"/>
      <c r="AM16" s="27"/>
      <c r="AN16" s="27"/>
    </row>
    <row r="17" ht="13.5" customHeight="1">
      <c r="A17" s="42" t="str">
        <f>AE9</f>
        <v>Luke Genuis / Dorianne Buhagiar</v>
      </c>
      <c r="B17" s="43">
        <v>7.0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13</v>
      </c>
      <c r="N17" s="27">
        <f>C17+F17+I17</f>
        <v>2</v>
      </c>
      <c r="O17" s="27"/>
      <c r="P17" s="42" t="str">
        <f>AE17</f>
        <v>James Farrugia / Nancy Wong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90" t="str">
        <f>Players!B34&amp; " / " &amp;Players!C34</f>
        <v>James Farrugia / Nancy Wong</v>
      </c>
      <c r="AF17" s="48">
        <f>Y17+J39+J27+Y15+J35</f>
        <v>5</v>
      </c>
      <c r="AG17" s="48">
        <f t="shared" ref="AG17:AI17" si="5">AA17+L39+L27+AA15+L35</f>
        <v>12</v>
      </c>
      <c r="AH17" s="48">
        <f t="shared" si="5"/>
        <v>59</v>
      </c>
      <c r="AI17" s="49">
        <f t="shared" si="5"/>
        <v>9</v>
      </c>
      <c r="AJ17" s="33"/>
      <c r="AK17" s="33"/>
      <c r="AL17" s="33"/>
      <c r="AM17" s="27"/>
      <c r="AN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33"/>
      <c r="AM18" s="27"/>
      <c r="AN18" s="27"/>
    </row>
    <row r="19" ht="13.5" customHeight="1">
      <c r="A19" s="57" t="str">
        <f>AE19</f>
        <v>Simone Re / Ann Marie Attard</v>
      </c>
      <c r="B19" s="43">
        <v>6.0</v>
      </c>
      <c r="C19" s="58">
        <f>IF(B19&gt;B17,1,0)</f>
        <v>0</v>
      </c>
      <c r="D19" s="59"/>
      <c r="E19" s="43">
        <v>2.0</v>
      </c>
      <c r="F19" s="58">
        <f>IF(E19&gt;E17,1,0)</f>
        <v>0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8</v>
      </c>
      <c r="N19" s="27">
        <f>C19+F19+I19</f>
        <v>0</v>
      </c>
      <c r="O19" s="27"/>
      <c r="P19" s="57" t="str">
        <f>AE19</f>
        <v>Simone Re / Ann Marie Attard</v>
      </c>
      <c r="Q19" s="43">
        <v>3.0</v>
      </c>
      <c r="R19" s="58">
        <f>IF(Q19&gt;Q17,1,0)</f>
        <v>0</v>
      </c>
      <c r="S19" s="59"/>
      <c r="T19" s="43">
        <v>2.0</v>
      </c>
      <c r="U19" s="58">
        <f>IF(T19&gt;T17,1,0)</f>
        <v>0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5</v>
      </c>
      <c r="AC19" s="27">
        <f>R19+U19+X19</f>
        <v>0</v>
      </c>
      <c r="AD19" s="27"/>
      <c r="AE19" s="90" t="str">
        <f>Players!B35&amp; " / " &amp;Players!C35</f>
        <v>Simone Re / Ann Marie Attard</v>
      </c>
      <c r="AF19" s="48">
        <f>Y19+Y27+Y35+J19+J31</f>
        <v>5</v>
      </c>
      <c r="AG19" s="48">
        <f t="shared" ref="AG19:AI19" si="6">AA19+AA27+AA35+L19+L31</f>
        <v>4</v>
      </c>
      <c r="AH19" s="48">
        <f t="shared" si="6"/>
        <v>41</v>
      </c>
      <c r="AI19" s="49">
        <f t="shared" si="6"/>
        <v>4</v>
      </c>
      <c r="AJ19" s="27"/>
      <c r="AK19" s="33"/>
      <c r="AL19" s="33"/>
      <c r="AM19" s="27"/>
      <c r="AN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3"/>
      <c r="AL20" s="27"/>
      <c r="AM20" s="27"/>
      <c r="AN20" s="27"/>
    </row>
    <row r="21" ht="13.5" customHeight="1">
      <c r="A21" s="42" t="str">
        <f>AE11</f>
        <v>George Grech / Jade Sammut</v>
      </c>
      <c r="B21" s="43">
        <v>3.0</v>
      </c>
      <c r="C21" s="44">
        <f>IF(B21&gt;B23,1,0)</f>
        <v>0</v>
      </c>
      <c r="D21" s="45"/>
      <c r="E21" s="43">
        <v>3.0</v>
      </c>
      <c r="F21" s="44">
        <f>IF(E21&gt;E23,1,0)</f>
        <v>0</v>
      </c>
      <c r="G21" s="45"/>
      <c r="H21" s="46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6</v>
      </c>
      <c r="N21" s="27">
        <f>C21+F21+I21</f>
        <v>0</v>
      </c>
      <c r="O21" s="27"/>
      <c r="P21" s="42" t="str">
        <f>AE11</f>
        <v>George Grech / Jade Sammut</v>
      </c>
      <c r="Q21" s="43">
        <v>7.0</v>
      </c>
      <c r="R21" s="44">
        <f>IF(Q21&gt;Q23,1,0)</f>
        <v>1</v>
      </c>
      <c r="S21" s="45"/>
      <c r="T21" s="43">
        <v>6.0</v>
      </c>
      <c r="U21" s="44">
        <f>IF(T21&gt;T23,1,0)</f>
        <v>1</v>
      </c>
      <c r="V21" s="45"/>
      <c r="W21" s="46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13</v>
      </c>
      <c r="AC21" s="27">
        <f>R21+U21+X21</f>
        <v>2</v>
      </c>
      <c r="AD21" s="27"/>
      <c r="AE21" s="86" t="s">
        <v>125</v>
      </c>
      <c r="AF21" s="30"/>
      <c r="AG21" s="30"/>
      <c r="AH21" s="30"/>
      <c r="AI21" s="8"/>
      <c r="AJ21" s="27"/>
      <c r="AK21" s="27"/>
      <c r="AL21" s="27"/>
      <c r="AM21" s="27"/>
      <c r="AN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 t="s">
        <v>123</v>
      </c>
      <c r="W22" s="51"/>
      <c r="X22" s="52"/>
      <c r="Y22" s="27"/>
      <c r="Z22" s="27"/>
      <c r="AA22" s="27"/>
      <c r="AB22" s="27"/>
      <c r="AC22" s="27"/>
      <c r="AD22" s="27"/>
      <c r="AE22" s="65" t="s">
        <v>133</v>
      </c>
      <c r="AF22" s="30"/>
      <c r="AG22" s="30"/>
      <c r="AH22" s="30"/>
      <c r="AI22" s="8"/>
      <c r="AJ22" s="27"/>
      <c r="AK22" s="33"/>
      <c r="AL22" s="27"/>
      <c r="AM22" s="27"/>
      <c r="AN22" s="27"/>
    </row>
    <row r="23" ht="13.5" customHeight="1">
      <c r="A23" s="57" t="str">
        <f>AE13</f>
        <v>Daniel Farrugia / Diane Farrugia</v>
      </c>
      <c r="B23" s="43">
        <v>6.0</v>
      </c>
      <c r="C23" s="58">
        <f>IF(B23&gt;B21,1,0)</f>
        <v>1</v>
      </c>
      <c r="D23" s="59"/>
      <c r="E23" s="43">
        <v>6.0</v>
      </c>
      <c r="F23" s="58">
        <f>IF(E23&gt;E21,1,0)</f>
        <v>1</v>
      </c>
      <c r="G23" s="59"/>
      <c r="H23" s="46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7" t="str">
        <f>AE15</f>
        <v>Luigi Porto / Vanessa Farrugia</v>
      </c>
      <c r="Q23" s="43">
        <v>6.0</v>
      </c>
      <c r="R23" s="58">
        <f>IF(Q23&gt;Q21,1,0)</f>
        <v>0</v>
      </c>
      <c r="S23" s="59"/>
      <c r="T23" s="43">
        <v>2.0</v>
      </c>
      <c r="U23" s="58">
        <f>IF(T23&gt;T21,1,0)</f>
        <v>0</v>
      </c>
      <c r="V23" s="59"/>
      <c r="W23" s="46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8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3.5" customHeight="1">
      <c r="A25" s="42" t="str">
        <f>AE11</f>
        <v>George Grech / Jade Sammut</v>
      </c>
      <c r="B25" s="43">
        <v>3.0</v>
      </c>
      <c r="C25" s="44">
        <f>IF(B25&gt;B27,1,0)</f>
        <v>0</v>
      </c>
      <c r="D25" s="45"/>
      <c r="E25" s="43">
        <v>2.0</v>
      </c>
      <c r="F25" s="44">
        <f>IF(E25&gt;E27,1,0)</f>
        <v>0</v>
      </c>
      <c r="G25" s="45"/>
      <c r="H25" s="46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5</v>
      </c>
      <c r="N25" s="27">
        <f>C25+F25+I25</f>
        <v>0</v>
      </c>
      <c r="O25" s="27"/>
      <c r="P25" s="42" t="str">
        <f>AE11</f>
        <v>George Grech / Jade Sammut</v>
      </c>
      <c r="Q25" s="43">
        <v>6.0</v>
      </c>
      <c r="R25" s="44">
        <f>IF(Q25&gt;Q27,1,0)</f>
        <v>1</v>
      </c>
      <c r="S25" s="45"/>
      <c r="T25" s="43">
        <v>2.0</v>
      </c>
      <c r="U25" s="44">
        <f>IF(T25&gt;T27,1,0)</f>
        <v>0</v>
      </c>
      <c r="V25" s="45"/>
      <c r="W25" s="43">
        <v>10.0</v>
      </c>
      <c r="X25" s="27">
        <f>IF(W25&gt;W27,1,0)</f>
        <v>1</v>
      </c>
      <c r="Y25" s="27">
        <f>IF(Q25="",0,1)</f>
        <v>1</v>
      </c>
      <c r="Z25" s="27">
        <f>IF(R25+U25=2,3,IF(R25+U25=1,1,0))</f>
        <v>1</v>
      </c>
      <c r="AA25" s="27">
        <f>IF(Z25=3,3,IF(X25+Z25=2,2,IF(Z25=1,1,0)))</f>
        <v>2</v>
      </c>
      <c r="AB25" s="27">
        <f>Q25+T25</f>
        <v>8</v>
      </c>
      <c r="AC25" s="27">
        <f>R25+U25+X25</f>
        <v>2</v>
      </c>
      <c r="AD25" s="27"/>
      <c r="AE25" s="86" t="s">
        <v>127</v>
      </c>
      <c r="AF25" s="30"/>
      <c r="AG25" s="30"/>
      <c r="AH25" s="30"/>
      <c r="AI25" s="8"/>
      <c r="AJ25" s="27"/>
      <c r="AK25" s="27"/>
      <c r="AL25" s="27"/>
      <c r="AM25" s="27"/>
      <c r="AN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52"/>
      <c r="Y26" s="27"/>
      <c r="Z26" s="27"/>
      <c r="AA26" s="27"/>
      <c r="AB26" s="27"/>
      <c r="AC26" s="27"/>
      <c r="AD26" s="27"/>
      <c r="AE26" s="65" t="s">
        <v>134</v>
      </c>
      <c r="AF26" s="30"/>
      <c r="AG26" s="30"/>
      <c r="AH26" s="30"/>
      <c r="AI26" s="8"/>
      <c r="AJ26" s="27"/>
      <c r="AK26" s="27"/>
      <c r="AL26" s="27"/>
      <c r="AM26" s="27"/>
      <c r="AN26" s="27"/>
    </row>
    <row r="27" ht="13.5" customHeight="1">
      <c r="A27" s="57" t="str">
        <f>AE17</f>
        <v>James Farrugia / Nancy Wong</v>
      </c>
      <c r="B27" s="43">
        <v>6.0</v>
      </c>
      <c r="C27" s="58">
        <f>IF(B27&gt;B25,1,0)</f>
        <v>1</v>
      </c>
      <c r="D27" s="59"/>
      <c r="E27" s="43">
        <v>6.0</v>
      </c>
      <c r="F27" s="58">
        <f>IF(E27&gt;E25,1,0)</f>
        <v>1</v>
      </c>
      <c r="G27" s="59"/>
      <c r="H27" s="46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12</v>
      </c>
      <c r="N27" s="27">
        <f>C27+F27+I27</f>
        <v>2</v>
      </c>
      <c r="O27" s="27"/>
      <c r="P27" s="57" t="str">
        <f>AE19</f>
        <v>Simone Re / Ann Marie Attard</v>
      </c>
      <c r="Q27" s="43">
        <v>1.0</v>
      </c>
      <c r="R27" s="58">
        <f>IF(Q27&gt;Q25,1,0)</f>
        <v>0</v>
      </c>
      <c r="S27" s="59"/>
      <c r="T27" s="43">
        <v>6.0</v>
      </c>
      <c r="U27" s="58">
        <f>IF(T27&gt;T25,1,0)</f>
        <v>1</v>
      </c>
      <c r="V27" s="59"/>
      <c r="W27" s="43">
        <v>6.0</v>
      </c>
      <c r="X27" s="27">
        <f>IF(W27&gt;W25,1,0)</f>
        <v>0</v>
      </c>
      <c r="Y27" s="27">
        <f>IF(Q27="",0,1)</f>
        <v>1</v>
      </c>
      <c r="Z27" s="27">
        <f>IF(R27+U27=2,3,IF(R27+U27=1,1,0))</f>
        <v>1</v>
      </c>
      <c r="AA27" s="27">
        <f>IF(Z27=3,3,IF(X27+Z27=2,2,IF(Z27=1,1,0)))</f>
        <v>1</v>
      </c>
      <c r="AB27" s="27">
        <f>Q27+T27</f>
        <v>7</v>
      </c>
      <c r="AC27" s="27">
        <f>R27+U27+X27</f>
        <v>1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  <c r="AM28" s="27"/>
      <c r="AN28" s="27"/>
    </row>
    <row r="29" ht="13.5" customHeight="1">
      <c r="A29" s="42" t="str">
        <f>AE15</f>
        <v>Luigi Porto / Vanessa Farrugia</v>
      </c>
      <c r="B29" s="43">
        <v>7.0</v>
      </c>
      <c r="C29" s="44">
        <f>IF(B29&gt;B31,1,0)</f>
        <v>1</v>
      </c>
      <c r="D29" s="45"/>
      <c r="E29" s="43">
        <v>4.0</v>
      </c>
      <c r="F29" s="44">
        <f>IF(E29&gt;E31,1,0)</f>
        <v>0</v>
      </c>
      <c r="G29" s="45"/>
      <c r="H29" s="43">
        <v>9.0</v>
      </c>
      <c r="I29" s="27">
        <f>IF(H29&gt;H31,1,0)</f>
        <v>0</v>
      </c>
      <c r="J29" s="27">
        <f>IF(B29="",0,1)</f>
        <v>1</v>
      </c>
      <c r="K29" s="27">
        <f>IF(C29+F29=2,3,IF(C29+F29=1,1,0))</f>
        <v>1</v>
      </c>
      <c r="L29" s="27">
        <f>IF(K29=3,3,IF(I29+K29=2,2,IF(K29=1,1,0)))</f>
        <v>1</v>
      </c>
      <c r="M29" s="27">
        <f>B29+E29</f>
        <v>11</v>
      </c>
      <c r="N29" s="27">
        <f>C29+F29+I29</f>
        <v>1</v>
      </c>
      <c r="O29" s="27"/>
      <c r="P29" s="42" t="str">
        <f>AE13</f>
        <v>Daniel Farrugia / Diane Farrugia</v>
      </c>
      <c r="Q29" s="43">
        <v>7.0</v>
      </c>
      <c r="R29" s="44">
        <f>IF(Q29&gt;Q31,1,0)</f>
        <v>1</v>
      </c>
      <c r="S29" s="45"/>
      <c r="T29" s="43">
        <v>0.0</v>
      </c>
      <c r="U29" s="44">
        <f>IF(T29&gt;T31,1,0)</f>
        <v>0</v>
      </c>
      <c r="V29" s="45"/>
      <c r="W29" s="43">
        <v>10.0</v>
      </c>
      <c r="X29" s="27">
        <f>IF(W29&gt;W31,1,0)</f>
        <v>1</v>
      </c>
      <c r="Y29" s="27">
        <f>IF(Q29="",0,1)</f>
        <v>1</v>
      </c>
      <c r="Z29" s="27">
        <f>IF(R29+U29=2,3,IF(R29+U29=1,1,0))</f>
        <v>1</v>
      </c>
      <c r="AA29" s="27">
        <f>IF(Z29=3,3,IF(X29+Z29=2,2,IF(Z29=1,1,0)))</f>
        <v>2</v>
      </c>
      <c r="AB29" s="27">
        <f>Q29+T29</f>
        <v>7</v>
      </c>
      <c r="AC29" s="27">
        <f>R29+U29+X29</f>
        <v>2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27"/>
      <c r="P30" s="53" t="s">
        <v>123</v>
      </c>
      <c r="W30" s="51"/>
      <c r="X30" s="52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6"/>
      <c r="AM30" s="27"/>
      <c r="AN30" s="27"/>
    </row>
    <row r="31" ht="13.5" customHeight="1">
      <c r="A31" s="57" t="str">
        <f>AE19</f>
        <v>Simone Re / Ann Marie Attard</v>
      </c>
      <c r="B31" s="43">
        <v>5.0</v>
      </c>
      <c r="C31" s="58">
        <f>IF(B31&gt;B29,1,0)</f>
        <v>0</v>
      </c>
      <c r="D31" s="59"/>
      <c r="E31" s="43">
        <v>6.0</v>
      </c>
      <c r="F31" s="58">
        <f>IF(E31&gt;E29,1,0)</f>
        <v>1</v>
      </c>
      <c r="G31" s="59"/>
      <c r="H31" s="43">
        <v>11.0</v>
      </c>
      <c r="I31" s="27">
        <f>IF(H31&gt;H29,1,0)</f>
        <v>1</v>
      </c>
      <c r="J31" s="27">
        <f>IF(B31="",0,1)</f>
        <v>1</v>
      </c>
      <c r="K31" s="27">
        <f>IF(C31+F31=2,3,IF(C31+F31=1,1,0))</f>
        <v>1</v>
      </c>
      <c r="L31" s="27">
        <f>IF(K31=3,3,IF(I31+K31=2,2,IF(K31=1,1,0)))</f>
        <v>2</v>
      </c>
      <c r="M31" s="27">
        <f>B31+E31</f>
        <v>11</v>
      </c>
      <c r="N31" s="27">
        <f>C31+F31+I31</f>
        <v>2</v>
      </c>
      <c r="O31" s="27"/>
      <c r="P31" s="57" t="str">
        <f>AE15</f>
        <v>Luigi Porto / Vanessa Farrugia</v>
      </c>
      <c r="Q31" s="43">
        <v>6.0</v>
      </c>
      <c r="R31" s="58">
        <f>IF(Q31&gt;Q29,1,0)</f>
        <v>0</v>
      </c>
      <c r="S31" s="59"/>
      <c r="T31" s="43">
        <v>6.0</v>
      </c>
      <c r="U31" s="58">
        <f>IF(T31&gt;T29,1,0)</f>
        <v>1</v>
      </c>
      <c r="V31" s="59"/>
      <c r="W31" s="43">
        <v>3.0</v>
      </c>
      <c r="X31" s="27">
        <f>IF(W31&gt;W29,1,0)</f>
        <v>0</v>
      </c>
      <c r="Y31" s="27">
        <f>IF(Q31="",0,1)</f>
        <v>1</v>
      </c>
      <c r="Z31" s="27">
        <f>IF(R31+U31=2,3,IF(R31+U31=1,1,0))</f>
        <v>1</v>
      </c>
      <c r="AA31" s="27">
        <f>IF(Z31=3,3,IF(X31+Z31=2,2,IF(Z31=1,1,0)))</f>
        <v>1</v>
      </c>
      <c r="AB31" s="27">
        <f>Q31+T31</f>
        <v>12</v>
      </c>
      <c r="AC31" s="27">
        <f>R31+U31+X31</f>
        <v>1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3"/>
    </row>
    <row r="32" ht="13.5" customHeight="1">
      <c r="A32" s="27"/>
      <c r="B32" s="63"/>
      <c r="C32" s="27"/>
      <c r="D32" s="27"/>
      <c r="E32" s="33"/>
      <c r="F32" s="27"/>
      <c r="G32" s="27"/>
      <c r="H32" s="33"/>
      <c r="I32" s="27"/>
      <c r="J32" s="33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3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66"/>
      <c r="AM32" s="27"/>
      <c r="AN32" s="27"/>
    </row>
    <row r="33" ht="13.5" customHeight="1">
      <c r="A33" s="42" t="str">
        <f>AE13</f>
        <v>Daniel Farrugia / Diane Farrugia</v>
      </c>
      <c r="B33" s="43">
        <v>1.0</v>
      </c>
      <c r="C33" s="44">
        <f>IF(B33&gt;B35,1,0)</f>
        <v>0</v>
      </c>
      <c r="D33" s="45"/>
      <c r="E33" s="43">
        <v>3.0</v>
      </c>
      <c r="F33" s="44">
        <f>IF(E33&gt;E35,1,0)</f>
        <v>0</v>
      </c>
      <c r="G33" s="45"/>
      <c r="H33" s="46"/>
      <c r="I33" s="27">
        <f>IF(H33&gt;H35,1,0)</f>
        <v>0</v>
      </c>
      <c r="J33" s="27">
        <f>IF(B33="",0,1)</f>
        <v>1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4</v>
      </c>
      <c r="N33" s="27">
        <f>C33+F33+I33</f>
        <v>0</v>
      </c>
      <c r="O33" s="27"/>
      <c r="P33" s="42" t="str">
        <f>AE13</f>
        <v>Daniel Farrugia / Diane Farrugia</v>
      </c>
      <c r="Q33" s="43">
        <v>3.0</v>
      </c>
      <c r="R33" s="44">
        <f>IF(Q33&gt;Q35,1,0)</f>
        <v>0</v>
      </c>
      <c r="S33" s="45"/>
      <c r="T33" s="43">
        <v>6.0</v>
      </c>
      <c r="U33" s="44">
        <f>IF(T33&gt;T35,1,0)</f>
        <v>1</v>
      </c>
      <c r="V33" s="45"/>
      <c r="W33" s="43">
        <v>10.0</v>
      </c>
      <c r="X33" s="27">
        <f>IF(W33&gt;W35,1,0)</f>
        <v>1</v>
      </c>
      <c r="Y33" s="27">
        <f>IF(Q33="",0,1)</f>
        <v>1</v>
      </c>
      <c r="Z33" s="27">
        <f>IF(R33+U33=2,3,IF(R33+U33=1,1,0))</f>
        <v>1</v>
      </c>
      <c r="AA33" s="27">
        <f>IF(Z33=3,3,IF(X33+Z33=2,2,IF(Z33=1,1,0)))</f>
        <v>2</v>
      </c>
      <c r="AB33" s="27">
        <f>Q33+T33</f>
        <v>9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3.5" customHeight="1">
      <c r="A34" s="53" t="s">
        <v>123</v>
      </c>
      <c r="H34" s="51"/>
      <c r="I34" s="52"/>
      <c r="J34" s="27"/>
      <c r="K34" s="27"/>
      <c r="L34" s="27"/>
      <c r="M34" s="27"/>
      <c r="N34" s="27"/>
      <c r="O34" s="27"/>
      <c r="P34" s="53" t="s">
        <v>123</v>
      </c>
      <c r="W34" s="51"/>
      <c r="X34" s="52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3.5" customHeight="1">
      <c r="A35" s="57" t="str">
        <f>AE17</f>
        <v>James Farrugia / Nancy Wong</v>
      </c>
      <c r="B35" s="43">
        <v>6.0</v>
      </c>
      <c r="C35" s="58">
        <f>IF(B35&gt;B33,1,0)</f>
        <v>1</v>
      </c>
      <c r="D35" s="59"/>
      <c r="E35" s="43">
        <v>6.0</v>
      </c>
      <c r="F35" s="58">
        <f>IF(E35&gt;E33,1,0)</f>
        <v>1</v>
      </c>
      <c r="G35" s="59"/>
      <c r="H35" s="46"/>
      <c r="I35" s="27">
        <f>IF(H35&gt;H33,1,0)</f>
        <v>0</v>
      </c>
      <c r="J35" s="27">
        <f>IF(B35="",0,1)</f>
        <v>1</v>
      </c>
      <c r="K35" s="27">
        <f>IF(C35+F35=2,3,IF(C35+F35=1,1,0))</f>
        <v>3</v>
      </c>
      <c r="L35" s="27">
        <f>IF(K35=3,3,IF(I35+K35=2,2,IF(K35=1,1,0)))</f>
        <v>3</v>
      </c>
      <c r="M35" s="27">
        <f>B35+E35</f>
        <v>12</v>
      </c>
      <c r="N35" s="27">
        <f>C35+F35+I35</f>
        <v>2</v>
      </c>
      <c r="O35" s="27"/>
      <c r="P35" s="57" t="str">
        <f>AE19</f>
        <v>Simone Re / Ann Marie Attard</v>
      </c>
      <c r="Q35" s="43">
        <v>6.0</v>
      </c>
      <c r="R35" s="58">
        <f>IF(Q35&gt;Q33,1,0)</f>
        <v>1</v>
      </c>
      <c r="S35" s="59"/>
      <c r="T35" s="43">
        <v>4.0</v>
      </c>
      <c r="U35" s="58">
        <f>IF(T35&gt;T33,1,0)</f>
        <v>0</v>
      </c>
      <c r="V35" s="59"/>
      <c r="W35" s="43">
        <v>6.0</v>
      </c>
      <c r="X35" s="27">
        <f>IF(W35&gt;W33,1,0)</f>
        <v>0</v>
      </c>
      <c r="Y35" s="27">
        <f>IF(Q35="",0,1)</f>
        <v>1</v>
      </c>
      <c r="Z35" s="27">
        <f>IF(R35+U35=2,3,IF(R35+U35=1,1,0))</f>
        <v>1</v>
      </c>
      <c r="AA35" s="27">
        <f>IF(Z35=3,3,IF(X35+Z35=2,2,IF(Z35=1,1,0)))</f>
        <v>1</v>
      </c>
      <c r="AB35" s="27">
        <f>Q35+T35</f>
        <v>10</v>
      </c>
      <c r="AC35" s="27">
        <f>R35+U35+X35</f>
        <v>1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3"/>
      <c r="AI36" s="27"/>
      <c r="AJ36" s="27"/>
      <c r="AK36" s="33"/>
      <c r="AL36" s="27"/>
      <c r="AM36" s="27"/>
      <c r="AN36" s="27"/>
    </row>
    <row r="37" ht="13.5" customHeight="1">
      <c r="A37" s="42" t="str">
        <f>AE15</f>
        <v>Luigi Porto / Vanessa Farrugia</v>
      </c>
      <c r="B37" s="43">
        <v>7.0</v>
      </c>
      <c r="C37" s="44">
        <f>IF(B37&gt;B39,1,0)</f>
        <v>1</v>
      </c>
      <c r="D37" s="45"/>
      <c r="E37" s="43">
        <v>6.0</v>
      </c>
      <c r="F37" s="44">
        <f>IF(E37&gt;E39,1,0)</f>
        <v>0</v>
      </c>
      <c r="G37" s="45"/>
      <c r="H37" s="43">
        <v>10.0</v>
      </c>
      <c r="I37" s="27">
        <f>IF(H37&gt;H39,1,0)</f>
        <v>1</v>
      </c>
      <c r="J37" s="27">
        <f>IF(B37="",0,1)</f>
        <v>1</v>
      </c>
      <c r="K37" s="27">
        <f>IF(C37+F37=2,3,IF(C37+F37=1,1,0))</f>
        <v>1</v>
      </c>
      <c r="L37" s="27">
        <f>IF(K37=3,3,IF(I37+K37=2,2,IF(K37=1,1,0)))</f>
        <v>2</v>
      </c>
      <c r="M37" s="27">
        <f>B37+E37</f>
        <v>13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3"/>
      <c r="AL37" s="27"/>
      <c r="AM37" s="27"/>
      <c r="AN37" s="27"/>
    </row>
    <row r="38" ht="13.5" customHeight="1">
      <c r="A38" s="53" t="s">
        <v>123</v>
      </c>
      <c r="H38" s="51"/>
      <c r="I38" s="52"/>
      <c r="J38" s="27"/>
      <c r="K38" s="27"/>
      <c r="L38" s="27"/>
      <c r="M38" s="27"/>
      <c r="N38" s="27"/>
      <c r="O38" s="27"/>
      <c r="P38" s="91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70"/>
      <c r="AK38" s="27"/>
      <c r="AL38" s="27"/>
      <c r="AM38" s="27"/>
      <c r="AN38" s="27"/>
    </row>
    <row r="39" ht="13.5" customHeight="1">
      <c r="A39" s="57" t="str">
        <f>AE17</f>
        <v>James Farrugia / Nancy Wong</v>
      </c>
      <c r="B39" s="43">
        <v>6.0</v>
      </c>
      <c r="C39" s="58">
        <f>IF(B39&gt;B37,1,0)</f>
        <v>0</v>
      </c>
      <c r="D39" s="59"/>
      <c r="E39" s="43">
        <v>7.0</v>
      </c>
      <c r="F39" s="58">
        <f>IF(E39&gt;E37,1,0)</f>
        <v>1</v>
      </c>
      <c r="G39" s="59"/>
      <c r="H39" s="43">
        <v>6.0</v>
      </c>
      <c r="I39" s="27">
        <f>IF(H39&gt;H37,1,0)</f>
        <v>0</v>
      </c>
      <c r="J39" s="27">
        <f>IF(B39="",0,1)</f>
        <v>1</v>
      </c>
      <c r="K39" s="27">
        <f>IF(C39+F39=2,3,IF(C39+F39=1,1,0))</f>
        <v>1</v>
      </c>
      <c r="L39" s="27">
        <f>IF(K39=3,3,IF(I39+K39=2,2,IF(K39=1,1,0)))</f>
        <v>1</v>
      </c>
      <c r="M39" s="27">
        <f>B39+E39</f>
        <v>13</v>
      </c>
      <c r="N39" s="27">
        <f>C39+F39+I39</f>
        <v>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70"/>
      <c r="AK42" s="27"/>
      <c r="AL42" s="27"/>
      <c r="AM42" s="27"/>
      <c r="AN42" s="27"/>
    </row>
    <row r="43" ht="13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3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3.5" customHeight="1">
      <c r="A47" s="91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70"/>
      <c r="AK47" s="27"/>
      <c r="AL47" s="33"/>
      <c r="AM47" s="27"/>
      <c r="AN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70"/>
      <c r="AK52" s="27"/>
      <c r="AL52" s="27"/>
      <c r="AM52" s="27"/>
      <c r="AN52" s="33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3"/>
      <c r="AI56" s="27"/>
      <c r="AJ56" s="27"/>
      <c r="AK56" s="33"/>
      <c r="AL56" s="27"/>
      <c r="AM56" s="27"/>
      <c r="AN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3"/>
      <c r="R106" s="33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5"/>
    <col customWidth="1" min="16" max="16" width="45.3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8.38"/>
    <col customWidth="1" hidden="1" min="28" max="28" width="8.0"/>
    <col customWidth="1" hidden="1" min="29" max="29" width="6.13"/>
    <col customWidth="1" min="30" max="30" width="6.13"/>
    <col customWidth="1" min="31" max="31" width="43.5"/>
    <col customWidth="1" min="32" max="32" width="9.5"/>
    <col customWidth="1" min="33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3.5" customHeight="1">
      <c r="A5" s="92" t="s">
        <v>135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93" t="s">
        <v>101</v>
      </c>
      <c r="B7" s="94" t="s">
        <v>102</v>
      </c>
      <c r="C7" s="30"/>
      <c r="D7" s="30"/>
      <c r="E7" s="8"/>
      <c r="F7" s="95"/>
      <c r="G7" s="96"/>
      <c r="H7" s="93" t="s">
        <v>103</v>
      </c>
      <c r="I7" s="27"/>
      <c r="J7" s="27"/>
      <c r="K7" s="27"/>
      <c r="L7" s="27"/>
      <c r="M7" s="33"/>
      <c r="N7" s="33"/>
      <c r="O7" s="33"/>
      <c r="P7" s="93" t="s">
        <v>101</v>
      </c>
      <c r="Q7" s="94" t="s">
        <v>102</v>
      </c>
      <c r="R7" s="30"/>
      <c r="S7" s="30"/>
      <c r="T7" s="8"/>
      <c r="U7" s="95"/>
      <c r="V7" s="32"/>
      <c r="W7" s="93" t="s">
        <v>103</v>
      </c>
      <c r="X7" s="27"/>
      <c r="Y7" s="33"/>
      <c r="Z7" s="33"/>
      <c r="AA7" s="33"/>
      <c r="AB7" s="33"/>
      <c r="AC7" s="33"/>
      <c r="AD7" s="33"/>
      <c r="AE7" s="93" t="s">
        <v>104</v>
      </c>
      <c r="AF7" s="93" t="s">
        <v>105</v>
      </c>
      <c r="AG7" s="93" t="s">
        <v>106</v>
      </c>
      <c r="AH7" s="93" t="s">
        <v>107</v>
      </c>
      <c r="AI7" s="93" t="s">
        <v>108</v>
      </c>
      <c r="AJ7" s="33"/>
      <c r="AK7" s="33"/>
      <c r="AL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6" t="s">
        <v>120</v>
      </c>
      <c r="AL8" s="37" t="s">
        <v>121</v>
      </c>
    </row>
    <row r="9" ht="13.5" customHeight="1">
      <c r="A9" s="42" t="str">
        <f>AE9</f>
        <v>Dylan Birmingham / Sarah Axiaq</v>
      </c>
      <c r="B9" s="43">
        <v>7.0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13</v>
      </c>
      <c r="N9" s="27">
        <f>C9+F9+I9</f>
        <v>2</v>
      </c>
      <c r="O9" s="27"/>
      <c r="P9" s="42" t="str">
        <f>AE9</f>
        <v>Dylan Birmingham / Sarah Axiaq</v>
      </c>
      <c r="Q9" s="43">
        <v>3.0</v>
      </c>
      <c r="R9" s="44">
        <f>IF(Q9&gt;Q11,1,0)</f>
        <v>0</v>
      </c>
      <c r="S9" s="45"/>
      <c r="T9" s="43">
        <v>1.0</v>
      </c>
      <c r="U9" s="44">
        <f>IF(T9&gt;T11,1,0)</f>
        <v>0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4</v>
      </c>
      <c r="AC9" s="27">
        <f>R9+U9+X9</f>
        <v>0</v>
      </c>
      <c r="AD9" s="27"/>
      <c r="AE9" s="97" t="str">
        <f>Players!B38&amp; " / " &amp;Players!C38</f>
        <v>Dylan Birmingham / Sarah Axiaq</v>
      </c>
      <c r="AF9" s="48">
        <f>J9+Y9+J13+Y13+J17</f>
        <v>5</v>
      </c>
      <c r="AG9" s="48">
        <f t="shared" ref="AG9:AI9" si="1">L9+AA9+L13+AA13+L17</f>
        <v>6</v>
      </c>
      <c r="AH9" s="48">
        <f t="shared" si="1"/>
        <v>37</v>
      </c>
      <c r="AI9" s="49">
        <f t="shared" si="1"/>
        <v>4</v>
      </c>
      <c r="AJ9" s="27"/>
      <c r="AK9" s="27"/>
      <c r="AL9" s="27"/>
    </row>
    <row r="10" ht="13.5" customHeight="1">
      <c r="A10" s="53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3.5" customHeight="1">
      <c r="A11" s="57" t="str">
        <f>AE11</f>
        <v>JP Sciberras / Brenda Baldacchino</v>
      </c>
      <c r="B11" s="43">
        <v>6.0</v>
      </c>
      <c r="C11" s="58">
        <f>IF(B11&gt;B9,1,0)</f>
        <v>0</v>
      </c>
      <c r="D11" s="59"/>
      <c r="E11" s="43">
        <v>3.0</v>
      </c>
      <c r="F11" s="58">
        <f>IF(E11&gt;E9,1,0)</f>
        <v>0</v>
      </c>
      <c r="G11" s="59"/>
      <c r="H11" s="46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9</v>
      </c>
      <c r="N11" s="27">
        <f>C11+F11+I11</f>
        <v>0</v>
      </c>
      <c r="O11" s="27"/>
      <c r="P11" s="57" t="str">
        <f>AE13</f>
        <v>Juan Sammut  / Maria Angela Gambin</v>
      </c>
      <c r="Q11" s="43">
        <v>6.0</v>
      </c>
      <c r="R11" s="58">
        <f>IF(Q11&gt;Q9,1,0)</f>
        <v>1</v>
      </c>
      <c r="S11" s="59"/>
      <c r="T11" s="43">
        <v>6.0</v>
      </c>
      <c r="U11" s="58">
        <f>IF(T11&gt;T9,1,0)</f>
        <v>1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97" t="str">
        <f>Players!B39&amp; " / " &amp;Players!C39</f>
        <v>JP Sciberras / Brenda Baldacchino</v>
      </c>
      <c r="AF11" s="48">
        <f>J11+Y25+J25+Y21+J21</f>
        <v>5</v>
      </c>
      <c r="AG11" s="48">
        <f t="shared" ref="AG11:AI11" si="2">L11+AA25+L25+AA21+L21</f>
        <v>5</v>
      </c>
      <c r="AH11" s="48">
        <f t="shared" si="2"/>
        <v>42</v>
      </c>
      <c r="AI11" s="49">
        <f t="shared" si="2"/>
        <v>4</v>
      </c>
      <c r="AJ11" s="33"/>
      <c r="AK11" s="33"/>
      <c r="AL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3.5" customHeight="1">
      <c r="A13" s="42" t="str">
        <f>AE9</f>
        <v>Dylan Birmingham / Sarah Axiaq</v>
      </c>
      <c r="B13" s="43">
        <v>3.0</v>
      </c>
      <c r="C13" s="44">
        <f>IF(B13&gt;B15,1,0)</f>
        <v>0</v>
      </c>
      <c r="D13" s="45"/>
      <c r="E13" s="43">
        <v>3.0</v>
      </c>
      <c r="F13" s="44">
        <f>IF(E13&gt;E15,1,0)</f>
        <v>0</v>
      </c>
      <c r="G13" s="45"/>
      <c r="H13" s="46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6</v>
      </c>
      <c r="N13" s="27">
        <f>C13+F13+I13</f>
        <v>0</v>
      </c>
      <c r="O13" s="27"/>
      <c r="P13" s="42" t="str">
        <f>AE9</f>
        <v>Dylan Birmingham / Sarah Axiaq</v>
      </c>
      <c r="Q13" s="43">
        <v>1.0</v>
      </c>
      <c r="R13" s="44">
        <f>IF(Q13&gt;Q15,1,0)</f>
        <v>0</v>
      </c>
      <c r="S13" s="45"/>
      <c r="T13" s="43">
        <v>0.0</v>
      </c>
      <c r="U13" s="44">
        <f>IF(T13&gt;T15,1,0)</f>
        <v>0</v>
      </c>
      <c r="V13" s="45"/>
      <c r="W13" s="46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1</v>
      </c>
      <c r="AC13" s="27">
        <f>R13+U13+X13</f>
        <v>0</v>
      </c>
      <c r="AD13" s="27"/>
      <c r="AE13" s="97" t="str">
        <f>Players!B40&amp; " / " &amp;Players!C40</f>
        <v>Juan Sammut  / Maria Angela Gambin</v>
      </c>
      <c r="AF13" s="48">
        <f>Y29+Y11+Y33+J33+J23</f>
        <v>5</v>
      </c>
      <c r="AG13" s="48">
        <f t="shared" ref="AG13:AI13" si="3">AA29+AA11+AA33+L33+L23</f>
        <v>14</v>
      </c>
      <c r="AH13" s="48">
        <f t="shared" si="3"/>
        <v>59</v>
      </c>
      <c r="AI13" s="49">
        <f t="shared" si="3"/>
        <v>10</v>
      </c>
      <c r="AJ13" s="33"/>
      <c r="AK13" s="33"/>
      <c r="AL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3.5" customHeight="1">
      <c r="A15" s="57" t="str">
        <f>AE15</f>
        <v>Robert Attard / Silvana Portelli</v>
      </c>
      <c r="B15" s="43">
        <v>6.0</v>
      </c>
      <c r="C15" s="58">
        <f>IF(B15&gt;B13,1,0)</f>
        <v>1</v>
      </c>
      <c r="D15" s="59"/>
      <c r="E15" s="43">
        <v>6.0</v>
      </c>
      <c r="F15" s="58">
        <f>IF(E15&gt;E13,1,0)</f>
        <v>1</v>
      </c>
      <c r="G15" s="59"/>
      <c r="H15" s="46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7" t="str">
        <f>AE17</f>
        <v>Kenneth Farrugia  / Rowena Caruana</v>
      </c>
      <c r="Q15" s="43">
        <v>6.0</v>
      </c>
      <c r="R15" s="58">
        <f>IF(Q15&gt;Q13,1,0)</f>
        <v>1</v>
      </c>
      <c r="S15" s="59"/>
      <c r="T15" s="43">
        <v>6.0</v>
      </c>
      <c r="U15" s="58">
        <f>IF(T15&gt;T13,1,0)</f>
        <v>1</v>
      </c>
      <c r="V15" s="59"/>
      <c r="W15" s="46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12</v>
      </c>
      <c r="AC15" s="27">
        <f>R15+U15+X15</f>
        <v>2</v>
      </c>
      <c r="AD15" s="27"/>
      <c r="AE15" s="97" t="str">
        <f>Players!B41&amp; " / " &amp;Players!C41</f>
        <v>Robert Attard / Silvana Portelli</v>
      </c>
      <c r="AF15" s="48">
        <f>Y31+J37+J15+Y23+J29</f>
        <v>5</v>
      </c>
      <c r="AG15" s="48">
        <f t="shared" ref="AG15:AI15" si="4">AA31+L37+L15+AA23+L29</f>
        <v>9</v>
      </c>
      <c r="AH15" s="48">
        <f t="shared" si="4"/>
        <v>49</v>
      </c>
      <c r="AI15" s="49">
        <f t="shared" si="4"/>
        <v>6</v>
      </c>
      <c r="AJ15" s="33"/>
      <c r="AK15" s="33"/>
      <c r="AL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27"/>
    </row>
    <row r="17" ht="13.5" customHeight="1">
      <c r="A17" s="42" t="str">
        <f>AE9</f>
        <v>Dylan Birmingham / Sarah Axiaq</v>
      </c>
      <c r="B17" s="43">
        <v>7.0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13</v>
      </c>
      <c r="N17" s="27">
        <f>C17+F17+I17</f>
        <v>2</v>
      </c>
      <c r="O17" s="27"/>
      <c r="P17" s="42" t="str">
        <f>AE17</f>
        <v>Kenneth Farrugia  / Rowena Caruana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97" t="str">
        <f>Players!B42&amp; " / " &amp;Players!C42</f>
        <v>Kenneth Farrugia  / Rowena Caruana</v>
      </c>
      <c r="AF17" s="48">
        <f>Y17+J39+J27+Y15+J35</f>
        <v>5</v>
      </c>
      <c r="AG17" s="48">
        <f t="shared" ref="AG17:AI17" si="5">AA17+L39+L27+AA15+L35</f>
        <v>11</v>
      </c>
      <c r="AH17" s="48">
        <f t="shared" si="5"/>
        <v>57</v>
      </c>
      <c r="AI17" s="49">
        <f t="shared" si="5"/>
        <v>8</v>
      </c>
      <c r="AJ17" s="33"/>
      <c r="AK17" s="33"/>
      <c r="AL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27"/>
    </row>
    <row r="19" ht="13.5" customHeight="1">
      <c r="A19" s="57" t="str">
        <f>AE19</f>
        <v>Dorian Demanuele / Maria Ellul</v>
      </c>
      <c r="B19" s="43">
        <v>5.0</v>
      </c>
      <c r="C19" s="58">
        <f>IF(B19&gt;B17,1,0)</f>
        <v>0</v>
      </c>
      <c r="D19" s="59"/>
      <c r="E19" s="43">
        <v>4.0</v>
      </c>
      <c r="F19" s="58">
        <f>IF(E19&gt;E17,1,0)</f>
        <v>0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9</v>
      </c>
      <c r="N19" s="27">
        <f>C19+F19+I19</f>
        <v>0</v>
      </c>
      <c r="O19" s="27"/>
      <c r="P19" s="57" t="str">
        <f>AE19</f>
        <v>Dorian Demanuele / Maria Ellul</v>
      </c>
      <c r="Q19" s="43">
        <v>2.0</v>
      </c>
      <c r="R19" s="58">
        <f>IF(Q19&gt;Q17,1,0)</f>
        <v>0</v>
      </c>
      <c r="S19" s="59"/>
      <c r="T19" s="43">
        <v>2.0</v>
      </c>
      <c r="U19" s="58">
        <f>IF(T19&gt;T17,1,0)</f>
        <v>0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4</v>
      </c>
      <c r="AC19" s="27">
        <f>R19+U19+X19</f>
        <v>0</v>
      </c>
      <c r="AD19" s="27"/>
      <c r="AE19" s="97" t="str">
        <f>Players!B43&amp; " / " &amp;Players!C43</f>
        <v>Dorian Demanuele / Maria Ellul</v>
      </c>
      <c r="AF19" s="48">
        <f>Y19+Y27+Y35+J19+J31</f>
        <v>5</v>
      </c>
      <c r="AG19" s="48">
        <f>AA19+AA35+L31+AA27+L19</f>
        <v>0</v>
      </c>
      <c r="AH19" s="48">
        <f t="shared" ref="AH19:AI19" si="6">AB19+AB27+AB35+M19+M31</f>
        <v>19</v>
      </c>
      <c r="AI19" s="49">
        <f t="shared" si="6"/>
        <v>0</v>
      </c>
      <c r="AJ19" s="27"/>
      <c r="AK19" s="33"/>
      <c r="AL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ht="13.5" customHeight="1">
      <c r="A21" s="42" t="str">
        <f>AE11</f>
        <v>JP Sciberras / Brenda Baldacchino</v>
      </c>
      <c r="B21" s="43">
        <v>4.0</v>
      </c>
      <c r="C21" s="44">
        <f>IF(B21&gt;B23,1,0)</f>
        <v>0</v>
      </c>
      <c r="D21" s="45"/>
      <c r="E21" s="43">
        <v>2.0</v>
      </c>
      <c r="F21" s="44">
        <f>IF(E21&gt;E23,1,0)</f>
        <v>0</v>
      </c>
      <c r="G21" s="45"/>
      <c r="H21" s="46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6</v>
      </c>
      <c r="N21" s="27">
        <f>C21+F21+I21</f>
        <v>0</v>
      </c>
      <c r="O21" s="27"/>
      <c r="P21" s="42" t="str">
        <f>AE11</f>
        <v>JP Sciberras / Brenda Baldacchino</v>
      </c>
      <c r="Q21" s="43">
        <v>0.0</v>
      </c>
      <c r="R21" s="44">
        <f>IF(Q21&gt;Q23,1,0)</f>
        <v>0</v>
      </c>
      <c r="S21" s="45"/>
      <c r="T21" s="43">
        <v>4.0</v>
      </c>
      <c r="U21" s="44">
        <f>IF(T21&gt;T23,1,0)</f>
        <v>0</v>
      </c>
      <c r="V21" s="45"/>
      <c r="W21" s="46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4</v>
      </c>
      <c r="AC21" s="27">
        <f>R21+U21+X21</f>
        <v>0</v>
      </c>
      <c r="AD21" s="27"/>
      <c r="AE21" s="94" t="s">
        <v>125</v>
      </c>
      <c r="AF21" s="30"/>
      <c r="AG21" s="30"/>
      <c r="AH21" s="30"/>
      <c r="AI21" s="8"/>
      <c r="AJ21" s="27"/>
      <c r="AK21" s="27"/>
      <c r="AL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/>
      <c r="W22" s="51"/>
      <c r="X22" s="52"/>
      <c r="Y22" s="27"/>
      <c r="Z22" s="27"/>
      <c r="AA22" s="27"/>
      <c r="AB22" s="27"/>
      <c r="AC22" s="27"/>
      <c r="AD22" s="27"/>
      <c r="AE22" s="65" t="s">
        <v>136</v>
      </c>
      <c r="AF22" s="30"/>
      <c r="AG22" s="30"/>
      <c r="AH22" s="30"/>
      <c r="AI22" s="8"/>
      <c r="AJ22" s="27"/>
      <c r="AK22" s="27"/>
      <c r="AL22" s="27"/>
    </row>
    <row r="23" ht="13.5" customHeight="1">
      <c r="A23" s="57" t="str">
        <f>AE13</f>
        <v>Juan Sammut  / Maria Angela Gambin</v>
      </c>
      <c r="B23" s="43">
        <v>6.0</v>
      </c>
      <c r="C23" s="58">
        <f>IF(B23&gt;B21,1,0)</f>
        <v>1</v>
      </c>
      <c r="D23" s="59"/>
      <c r="E23" s="43">
        <v>6.0</v>
      </c>
      <c r="F23" s="58">
        <f>IF(E23&gt;E21,1,0)</f>
        <v>1</v>
      </c>
      <c r="G23" s="59"/>
      <c r="H23" s="46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7" t="str">
        <f>AE15</f>
        <v>Robert Attard / Silvana Portelli</v>
      </c>
      <c r="Q23" s="43">
        <v>6.0</v>
      </c>
      <c r="R23" s="58">
        <f>IF(Q23&gt;Q21,1,0)</f>
        <v>1</v>
      </c>
      <c r="S23" s="59"/>
      <c r="T23" s="43">
        <v>6.0</v>
      </c>
      <c r="U23" s="58">
        <f>IF(T23&gt;T21,1,0)</f>
        <v>1</v>
      </c>
      <c r="V23" s="59"/>
      <c r="W23" s="46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ht="13.5" customHeight="1">
      <c r="A25" s="42" t="str">
        <f>AE11</f>
        <v>JP Sciberras / Brenda Baldacchino</v>
      </c>
      <c r="B25" s="43">
        <v>5.0</v>
      </c>
      <c r="C25" s="44">
        <f>IF(B25&gt;B27,1,0)</f>
        <v>0</v>
      </c>
      <c r="D25" s="45"/>
      <c r="E25" s="43">
        <v>6.0</v>
      </c>
      <c r="F25" s="44">
        <f>IF(E25&gt;E27,1,0)</f>
        <v>1</v>
      </c>
      <c r="G25" s="45"/>
      <c r="H25" s="43">
        <v>10.0</v>
      </c>
      <c r="I25" s="27">
        <f>IF(H25&gt;H27,1,0)</f>
        <v>1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2</v>
      </c>
      <c r="M25" s="27">
        <f>B25+E25</f>
        <v>11</v>
      </c>
      <c r="N25" s="27">
        <f>C25+F25+I25</f>
        <v>2</v>
      </c>
      <c r="O25" s="27"/>
      <c r="P25" s="42" t="str">
        <f>AE11</f>
        <v>JP Sciberras / Brenda Baldacchino</v>
      </c>
      <c r="Q25" s="43">
        <v>6.0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94" t="s">
        <v>127</v>
      </c>
      <c r="AF25" s="30"/>
      <c r="AG25" s="30"/>
      <c r="AH25" s="30"/>
      <c r="AI25" s="8"/>
      <c r="AJ25" s="27"/>
      <c r="AK25" s="27"/>
      <c r="AL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52"/>
      <c r="Y26" s="27"/>
      <c r="Z26" s="27"/>
      <c r="AA26" s="27"/>
      <c r="AB26" s="27"/>
      <c r="AC26" s="27"/>
      <c r="AD26" s="27"/>
      <c r="AE26" s="65" t="s">
        <v>137</v>
      </c>
      <c r="AF26" s="30"/>
      <c r="AG26" s="30"/>
      <c r="AH26" s="30"/>
      <c r="AI26" s="8"/>
      <c r="AJ26" s="27"/>
      <c r="AK26" s="27"/>
      <c r="AL26" s="27"/>
    </row>
    <row r="27" ht="13.5" customHeight="1">
      <c r="A27" s="57" t="str">
        <f>AE17</f>
        <v>Kenneth Farrugia  / Rowena Caruana</v>
      </c>
      <c r="B27" s="43">
        <v>7.0</v>
      </c>
      <c r="C27" s="58">
        <f>IF(B27&gt;B25,1,0)</f>
        <v>1</v>
      </c>
      <c r="D27" s="59"/>
      <c r="E27" s="43">
        <v>4.0</v>
      </c>
      <c r="F27" s="58">
        <f>IF(E27&gt;E25,1,0)</f>
        <v>0</v>
      </c>
      <c r="G27" s="59"/>
      <c r="H27" s="43">
        <v>5.0</v>
      </c>
      <c r="I27" s="27">
        <f>IF(H27&gt;H25,1,0)</f>
        <v>0</v>
      </c>
      <c r="J27" s="27">
        <f>IF(B27="",0,1)</f>
        <v>1</v>
      </c>
      <c r="K27" s="27">
        <f>IF(C27+F27=2,3,IF(C27+F27=1,1,0))</f>
        <v>1</v>
      </c>
      <c r="L27" s="27">
        <f>IF(K27=3,3,IF(I27+K27=2,2,IF(K27=1,1,0)))</f>
        <v>1</v>
      </c>
      <c r="M27" s="27">
        <f>B27+E27</f>
        <v>11</v>
      </c>
      <c r="N27" s="27">
        <f>C27+F27+I27</f>
        <v>1</v>
      </c>
      <c r="O27" s="27"/>
      <c r="P27" s="57" t="str">
        <f>AE19</f>
        <v>Dorian Demanuele / Maria Ellul</v>
      </c>
      <c r="Q27" s="43">
        <v>0.0</v>
      </c>
      <c r="R27" s="58">
        <f>IF(Q27&gt;Q25,1,0)</f>
        <v>0</v>
      </c>
      <c r="S27" s="59"/>
      <c r="T27" s="43">
        <v>1.0</v>
      </c>
      <c r="U27" s="58">
        <f>IF(T27&gt;T25,1,0)</f>
        <v>0</v>
      </c>
      <c r="V27" s="59"/>
      <c r="W27" s="46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1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</row>
    <row r="29" ht="13.5" customHeight="1">
      <c r="A29" s="42" t="str">
        <f>AE15</f>
        <v>Robert Attard / Silvana Portelli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12</v>
      </c>
      <c r="N29" s="27">
        <f>C29+F29+I29</f>
        <v>2</v>
      </c>
      <c r="O29" s="27"/>
      <c r="P29" s="42" t="str">
        <f>AE13</f>
        <v>Juan Sammut  / Maria Angela Gambin</v>
      </c>
      <c r="Q29" s="43">
        <v>6.0</v>
      </c>
      <c r="R29" s="44">
        <f>IF(Q29&gt;Q31,1,0)</f>
        <v>1</v>
      </c>
      <c r="S29" s="45"/>
      <c r="T29" s="43">
        <v>6.0</v>
      </c>
      <c r="U29" s="44">
        <f>IF(T29&gt;T31,1,0)</f>
        <v>1</v>
      </c>
      <c r="V29" s="45"/>
      <c r="W29" s="46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12</v>
      </c>
      <c r="AC29" s="27">
        <f>R29+U29+X29</f>
        <v>2</v>
      </c>
      <c r="AD29" s="27"/>
      <c r="AE29" s="27"/>
      <c r="AF29" s="27"/>
      <c r="AG29" s="27"/>
      <c r="AH29" s="27"/>
      <c r="AI29" s="27"/>
      <c r="AJ29" s="27"/>
      <c r="AK29" s="27"/>
      <c r="AL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27"/>
      <c r="P30" s="53" t="s">
        <v>123</v>
      </c>
      <c r="W30" s="51"/>
      <c r="X30" s="52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66"/>
      <c r="AL30" s="27"/>
    </row>
    <row r="31" ht="13.5" customHeight="1">
      <c r="A31" s="57" t="str">
        <f>AE19</f>
        <v>Dorian Demanuele / Maria Ellul</v>
      </c>
      <c r="B31" s="43">
        <v>1.0</v>
      </c>
      <c r="C31" s="58">
        <f>IF(B31&gt;B29,1,0)</f>
        <v>0</v>
      </c>
      <c r="D31" s="59"/>
      <c r="E31" s="43">
        <v>2.0</v>
      </c>
      <c r="F31" s="58">
        <f>IF(E31&gt;E29,1,0)</f>
        <v>0</v>
      </c>
      <c r="G31" s="59"/>
      <c r="H31" s="46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3</v>
      </c>
      <c r="N31" s="27">
        <f>C31+F31+I31</f>
        <v>0</v>
      </c>
      <c r="O31" s="27"/>
      <c r="P31" s="57" t="str">
        <f>AE15</f>
        <v>Robert Attard / Silvana Portelli</v>
      </c>
      <c r="Q31" s="43">
        <v>3.0</v>
      </c>
      <c r="R31" s="58">
        <f>IF(Q31&gt;Q29,1,0)</f>
        <v>0</v>
      </c>
      <c r="S31" s="59"/>
      <c r="T31" s="43">
        <v>4.0</v>
      </c>
      <c r="U31" s="58">
        <f>IF(T31&gt;T29,1,0)</f>
        <v>0</v>
      </c>
      <c r="V31" s="59"/>
      <c r="W31" s="46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7</v>
      </c>
      <c r="AC31" s="27">
        <f>R31+U31+X31</f>
        <v>0</v>
      </c>
      <c r="AD31" s="27"/>
      <c r="AE31" s="27"/>
      <c r="AF31" s="27"/>
      <c r="AG31" s="27"/>
      <c r="AH31" s="27"/>
      <c r="AI31" s="27"/>
      <c r="AJ31" s="27"/>
      <c r="AK31" s="27"/>
      <c r="AL31" s="27"/>
    </row>
    <row r="32" ht="13.5" customHeight="1">
      <c r="A32" s="27"/>
      <c r="B32" s="27"/>
      <c r="C32" s="27"/>
      <c r="D32" s="27"/>
      <c r="E32" s="33"/>
      <c r="F32" s="27"/>
      <c r="G32" s="27"/>
      <c r="H32" s="3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66"/>
      <c r="AL32" s="27"/>
    </row>
    <row r="33" ht="13.5" customHeight="1">
      <c r="A33" s="42" t="str">
        <f>AE13</f>
        <v>Juan Sammut  / Maria Angela Gambin</v>
      </c>
      <c r="B33" s="43">
        <v>6.0</v>
      </c>
      <c r="C33" s="44">
        <f>IF(B33&gt;B35,1,0)</f>
        <v>1</v>
      </c>
      <c r="D33" s="45"/>
      <c r="E33" s="43">
        <v>5.0</v>
      </c>
      <c r="F33" s="44">
        <f>IF(E33&gt;E35,1,0)</f>
        <v>0</v>
      </c>
      <c r="G33" s="45"/>
      <c r="H33" s="43">
        <v>10.0</v>
      </c>
      <c r="I33" s="27">
        <f>IF(H33&gt;H35,1,0)</f>
        <v>1</v>
      </c>
      <c r="J33" s="27">
        <f>IF(B33="",0,1)</f>
        <v>1</v>
      </c>
      <c r="K33" s="27">
        <f>IF(C33+F33=2,3,IF(C33+F33=1,1,0))</f>
        <v>1</v>
      </c>
      <c r="L33" s="27">
        <f>IF(K33=3,3,IF(I33+K33=2,2,IF(K33=1,1,0)))</f>
        <v>2</v>
      </c>
      <c r="M33" s="27">
        <f>B33+E33</f>
        <v>11</v>
      </c>
      <c r="N33" s="27">
        <f>C33+F33+I33</f>
        <v>2</v>
      </c>
      <c r="O33" s="27"/>
      <c r="P33" s="42" t="str">
        <f>AE13</f>
        <v>Juan Sammut  / Maria Angela Gambin</v>
      </c>
      <c r="Q33" s="43">
        <v>6.0</v>
      </c>
      <c r="R33" s="44">
        <f>IF(Q33&gt;Q35,1,0)</f>
        <v>1</v>
      </c>
      <c r="S33" s="45"/>
      <c r="T33" s="43">
        <v>6.0</v>
      </c>
      <c r="U33" s="44">
        <f>IF(T33&gt;T35,1,0)</f>
        <v>1</v>
      </c>
      <c r="V33" s="45"/>
      <c r="W33" s="46"/>
      <c r="X33" s="27">
        <f>IF(W33&gt;W35,1,0)</f>
        <v>0</v>
      </c>
      <c r="Y33" s="27">
        <f>IF(Q33="",0,1)</f>
        <v>1</v>
      </c>
      <c r="Z33" s="27">
        <f>IF(R33+U33=2,3,IF(R33+U33=1,1,0))</f>
        <v>3</v>
      </c>
      <c r="AA33" s="27">
        <f>IF(Z33=3,3,IF(X33+Z33=2,2,IF(Z33=1,1,0)))</f>
        <v>3</v>
      </c>
      <c r="AB33" s="27">
        <f>Q33+T33</f>
        <v>12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</row>
    <row r="34" ht="13.5" customHeight="1">
      <c r="A34" s="53" t="s">
        <v>123</v>
      </c>
      <c r="H34" s="51"/>
      <c r="I34" s="52"/>
      <c r="J34" s="27"/>
      <c r="K34" s="27"/>
      <c r="L34" s="27"/>
      <c r="M34" s="27"/>
      <c r="N34" s="27"/>
      <c r="O34" s="27"/>
      <c r="P34" s="53" t="s">
        <v>123</v>
      </c>
      <c r="W34" s="51"/>
      <c r="X34" s="52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ht="13.5" customHeight="1">
      <c r="A35" s="57" t="str">
        <f>AE17</f>
        <v>Kenneth Farrugia  / Rowena Caruana</v>
      </c>
      <c r="B35" s="43">
        <v>3.0</v>
      </c>
      <c r="C35" s="58">
        <f>IF(B35&gt;B33,1,0)</f>
        <v>0</v>
      </c>
      <c r="D35" s="59"/>
      <c r="E35" s="43">
        <v>7.0</v>
      </c>
      <c r="F35" s="58">
        <f>IF(E35&gt;E33,1,0)</f>
        <v>1</v>
      </c>
      <c r="G35" s="59"/>
      <c r="H35" s="43">
        <v>6.0</v>
      </c>
      <c r="I35" s="27">
        <f>IF(H35&gt;H33,1,0)</f>
        <v>0</v>
      </c>
      <c r="J35" s="27">
        <f>IF(B35="",0,1)</f>
        <v>1</v>
      </c>
      <c r="K35" s="27">
        <f>IF(C35+F35=2,3,IF(C35+F35=1,1,0))</f>
        <v>1</v>
      </c>
      <c r="L35" s="27">
        <f>IF(K35=3,3,IF(I35+K35=2,2,IF(K35=1,1,0)))</f>
        <v>1</v>
      </c>
      <c r="M35" s="27">
        <f>B35+E35</f>
        <v>10</v>
      </c>
      <c r="N35" s="27">
        <f>C35+F35+I35</f>
        <v>1</v>
      </c>
      <c r="O35" s="27"/>
      <c r="P35" s="57" t="str">
        <f>AE19</f>
        <v>Dorian Demanuele / Maria Ellul</v>
      </c>
      <c r="Q35" s="43">
        <v>1.0</v>
      </c>
      <c r="R35" s="58">
        <f>IF(Q35&gt;Q33,1,0)</f>
        <v>0</v>
      </c>
      <c r="S35" s="59"/>
      <c r="T35" s="43">
        <v>1.0</v>
      </c>
      <c r="U35" s="58">
        <f>IF(T35&gt;T33,1,0)</f>
        <v>0</v>
      </c>
      <c r="V35" s="59"/>
      <c r="W35" s="46"/>
      <c r="X35" s="27">
        <f>IF(W35&gt;W33,1,0)</f>
        <v>0</v>
      </c>
      <c r="Y35" s="27">
        <f>IF(Q35="",0,1)</f>
        <v>1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2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</row>
    <row r="36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3"/>
      <c r="AI36" s="27"/>
      <c r="AJ36" s="27"/>
      <c r="AK36" s="27"/>
      <c r="AL36" s="27"/>
    </row>
    <row r="37" ht="13.5" customHeight="1">
      <c r="A37" s="42" t="str">
        <f>AE15</f>
        <v>Robert Attard / Silvana Portelli</v>
      </c>
      <c r="B37" s="43">
        <v>2.0</v>
      </c>
      <c r="C37" s="44">
        <f>IF(B37&gt;B39,1,0)</f>
        <v>0</v>
      </c>
      <c r="D37" s="45"/>
      <c r="E37" s="43">
        <v>4.0</v>
      </c>
      <c r="F37" s="44">
        <f>IF(E37&gt;E39,1,0)</f>
        <v>0</v>
      </c>
      <c r="G37" s="45"/>
      <c r="H37" s="46"/>
      <c r="I37" s="27">
        <f>IF(H37&gt;H39,1,0)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6</v>
      </c>
      <c r="N37" s="27">
        <f>C37+F37+I37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ht="13.5" customHeight="1">
      <c r="A38" s="53" t="s">
        <v>123</v>
      </c>
      <c r="H38" s="51"/>
      <c r="I38" s="52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70"/>
      <c r="AK38" s="27"/>
      <c r="AL38" s="27"/>
    </row>
    <row r="39" ht="13.5" customHeight="1">
      <c r="A39" s="57" t="str">
        <f>AE17</f>
        <v>Kenneth Farrugia  / Rowena Caruana</v>
      </c>
      <c r="B39" s="43">
        <v>6.0</v>
      </c>
      <c r="C39" s="58">
        <f>IF(B39&gt;B37,1,0)</f>
        <v>1</v>
      </c>
      <c r="D39" s="59"/>
      <c r="E39" s="43">
        <v>6.0</v>
      </c>
      <c r="F39" s="58">
        <f>IF(E39&gt;E37,1,0)</f>
        <v>1</v>
      </c>
      <c r="G39" s="59"/>
      <c r="H39" s="46"/>
      <c r="I39" s="27">
        <f>IF(H39&gt;H37,1,0)</f>
        <v>0</v>
      </c>
      <c r="J39" s="27">
        <f>IF(B39="",0,1)</f>
        <v>1</v>
      </c>
      <c r="K39" s="27">
        <f>IF(C39+F39=2,3,IF(C39+F39=1,1,0))</f>
        <v>3</v>
      </c>
      <c r="L39" s="27">
        <f>IF(K39=3,3,IF(I39+K39=2,2,IF(K39=1,1,0)))</f>
        <v>3</v>
      </c>
      <c r="M39" s="27">
        <f>B39+E39</f>
        <v>12</v>
      </c>
      <c r="N39" s="27">
        <f>C39+F39+I39</f>
        <v>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2" width="7.38"/>
    <col customWidth="1" hidden="1" min="13" max="13" width="8.0"/>
    <col customWidth="1" hidden="1" min="14" max="14" width="6.13"/>
    <col customWidth="1" min="15" max="15" width="6.5"/>
    <col customWidth="1" min="16" max="16" width="45.5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7.13"/>
    <col customWidth="1" hidden="1" min="28" max="28" width="8.0"/>
    <col customWidth="1" hidden="1" min="29" max="29" width="6.13"/>
    <col customWidth="1" min="30" max="30" width="6.13"/>
    <col customWidth="1" min="31" max="31" width="47.13"/>
    <col customWidth="1" min="32" max="32" width="10.63"/>
    <col customWidth="1" min="33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3.5" customHeight="1">
      <c r="A5" s="98" t="s">
        <v>66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99" t="s">
        <v>101</v>
      </c>
      <c r="B7" s="100" t="s">
        <v>102</v>
      </c>
      <c r="C7" s="30"/>
      <c r="D7" s="30"/>
      <c r="E7" s="8"/>
      <c r="F7" s="101"/>
      <c r="G7" s="102"/>
      <c r="H7" s="99" t="s">
        <v>103</v>
      </c>
      <c r="I7" s="27"/>
      <c r="J7" s="27"/>
      <c r="K7" s="27"/>
      <c r="L7" s="27"/>
      <c r="M7" s="33"/>
      <c r="N7" s="33"/>
      <c r="O7" s="33"/>
      <c r="P7" s="99" t="s">
        <v>101</v>
      </c>
      <c r="Q7" s="100" t="s">
        <v>102</v>
      </c>
      <c r="R7" s="30"/>
      <c r="S7" s="30"/>
      <c r="T7" s="8"/>
      <c r="U7" s="101"/>
      <c r="V7" s="102"/>
      <c r="W7" s="99" t="s">
        <v>103</v>
      </c>
      <c r="X7" s="27"/>
      <c r="Y7" s="33"/>
      <c r="Z7" s="33"/>
      <c r="AA7" s="33"/>
      <c r="AB7" s="33"/>
      <c r="AC7" s="33"/>
      <c r="AD7" s="33"/>
      <c r="AE7" s="99" t="s">
        <v>104</v>
      </c>
      <c r="AF7" s="99" t="s">
        <v>105</v>
      </c>
      <c r="AG7" s="99" t="s">
        <v>106</v>
      </c>
      <c r="AH7" s="99" t="s">
        <v>107</v>
      </c>
      <c r="AI7" s="99" t="s">
        <v>108</v>
      </c>
      <c r="AJ7" s="33"/>
      <c r="AK7" s="33"/>
      <c r="AL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6" t="s">
        <v>120</v>
      </c>
      <c r="AL8" s="37" t="s">
        <v>121</v>
      </c>
    </row>
    <row r="9" ht="13.5" customHeight="1">
      <c r="A9" s="42" t="str">
        <f>AE9</f>
        <v>Dayle Scicluna / Alida Borg</v>
      </c>
      <c r="B9" s="43">
        <v>3.0</v>
      </c>
      <c r="C9" s="44">
        <f>IF(B9&gt;B11,1,0)</f>
        <v>0</v>
      </c>
      <c r="D9" s="45"/>
      <c r="E9" s="43">
        <v>6.0</v>
      </c>
      <c r="F9" s="44">
        <f>IF(E9&gt;E11,1,0)</f>
        <v>1</v>
      </c>
      <c r="G9" s="45"/>
      <c r="H9" s="43">
        <v>10.0</v>
      </c>
      <c r="I9" s="27">
        <f>IF(H9&gt;H11,1,0)</f>
        <v>1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2</v>
      </c>
      <c r="M9" s="27">
        <f>B9+E9</f>
        <v>9</v>
      </c>
      <c r="N9" s="27">
        <f>C9+F9+I9</f>
        <v>2</v>
      </c>
      <c r="O9" s="27"/>
      <c r="P9" s="42" t="str">
        <f>AE9</f>
        <v>Dayle Scicluna / Alida Borg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103" t="str">
        <f>Players!B46&amp; " / " &amp;Players!C46</f>
        <v>Dayle Scicluna / Alida Borg</v>
      </c>
      <c r="AF9" s="48">
        <f>J9+Y9+J13+Y13</f>
        <v>4</v>
      </c>
      <c r="AG9" s="48">
        <f t="shared" ref="AG9:AI9" si="1">L9+AA9+L13+AA13</f>
        <v>9</v>
      </c>
      <c r="AH9" s="48">
        <f t="shared" si="1"/>
        <v>44</v>
      </c>
      <c r="AI9" s="49">
        <f t="shared" si="1"/>
        <v>7</v>
      </c>
      <c r="AJ9" s="27"/>
      <c r="AK9" s="27"/>
      <c r="AL9" s="27"/>
    </row>
    <row r="10" ht="13.5" customHeight="1">
      <c r="A10" s="104"/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3.5" customHeight="1">
      <c r="A11" s="57" t="str">
        <f>AE11</f>
        <v>Dunstan Vella / Tiziana Spiteri</v>
      </c>
      <c r="B11" s="43">
        <v>6.0</v>
      </c>
      <c r="C11" s="58">
        <f>IF(B11&gt;B9,1,0)</f>
        <v>1</v>
      </c>
      <c r="D11" s="59"/>
      <c r="E11" s="43">
        <v>4.0</v>
      </c>
      <c r="F11" s="58">
        <f>IF(E11&gt;E9,1,0)</f>
        <v>0</v>
      </c>
      <c r="G11" s="59"/>
      <c r="H11" s="43">
        <v>5.0</v>
      </c>
      <c r="I11" s="27">
        <f>IF(H11&gt;H9,1,0)</f>
        <v>0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1</v>
      </c>
      <c r="M11" s="27">
        <f>B11+E11</f>
        <v>10</v>
      </c>
      <c r="N11" s="27">
        <f>C11+F11+I11</f>
        <v>1</v>
      </c>
      <c r="O11" s="27"/>
      <c r="P11" s="57" t="str">
        <f>AE13</f>
        <v>Isaac Baldacchino / Janice Galea</v>
      </c>
      <c r="Q11" s="43">
        <v>3.0</v>
      </c>
      <c r="R11" s="58">
        <f>IF(Q11&gt;Q9,1,0)</f>
        <v>0</v>
      </c>
      <c r="S11" s="59"/>
      <c r="T11" s="43">
        <v>3.0</v>
      </c>
      <c r="U11" s="58">
        <f>IF(T11&gt;T9,1,0)</f>
        <v>0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6</v>
      </c>
      <c r="AC11" s="27">
        <f>R11+U11+X11</f>
        <v>0</v>
      </c>
      <c r="AD11" s="27"/>
      <c r="AE11" s="103" t="str">
        <f>Players!B47&amp; " / " &amp;Players!C47</f>
        <v>Dunstan Vella / Tiziana Spiteri</v>
      </c>
      <c r="AF11" s="48">
        <f>J11+Y21+J21+J17</f>
        <v>4</v>
      </c>
      <c r="AG11" s="48">
        <f t="shared" ref="AG11:AI11" si="2">L11+AA21+L21+L17</f>
        <v>7</v>
      </c>
      <c r="AH11" s="48">
        <f t="shared" si="2"/>
        <v>45</v>
      </c>
      <c r="AI11" s="49">
        <f t="shared" si="2"/>
        <v>6</v>
      </c>
      <c r="AJ11" s="33"/>
      <c r="AK11" s="33"/>
      <c r="AL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3.5" customHeight="1">
      <c r="A13" s="42" t="str">
        <f>AE9</f>
        <v>Dayle Scicluna / Alida Borg</v>
      </c>
      <c r="B13" s="43">
        <v>6.0</v>
      </c>
      <c r="C13" s="44">
        <f>IF(B13&gt;B15,1,0)</f>
        <v>1</v>
      </c>
      <c r="D13" s="45"/>
      <c r="E13" s="43">
        <v>5.0</v>
      </c>
      <c r="F13" s="44">
        <f>IF(E13&gt;E15,1,0)</f>
        <v>0</v>
      </c>
      <c r="G13" s="45"/>
      <c r="H13" s="43">
        <v>6.0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11</v>
      </c>
      <c r="N13" s="27">
        <f>C13+F13+I13</f>
        <v>1</v>
      </c>
      <c r="O13" s="27"/>
      <c r="P13" s="42" t="str">
        <f>AE9</f>
        <v>Dayle Scicluna / Alida Borg</v>
      </c>
      <c r="Q13" s="43">
        <v>6.0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103" t="str">
        <f>Players!B48&amp; " / " &amp;Players!C48</f>
        <v>Isaac Baldacchino / Janice Galea</v>
      </c>
      <c r="AF13" s="48">
        <f>Y25+Y11+J25+J19</f>
        <v>4</v>
      </c>
      <c r="AG13" s="48">
        <f t="shared" ref="AG13:AI13" si="3">AA25+AA11+L25+L19</f>
        <v>4</v>
      </c>
      <c r="AH13" s="48">
        <f t="shared" si="3"/>
        <v>35</v>
      </c>
      <c r="AI13" s="49">
        <f t="shared" si="3"/>
        <v>4</v>
      </c>
      <c r="AJ13" s="33"/>
      <c r="AK13" s="33"/>
      <c r="AL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105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3.5" customHeight="1">
      <c r="A15" s="57" t="str">
        <f>AE15</f>
        <v>Isaac Joseph Zammit / Monique Attard</v>
      </c>
      <c r="B15" s="43">
        <v>4.0</v>
      </c>
      <c r="C15" s="58">
        <f>IF(B15&gt;B13,1,0)</f>
        <v>0</v>
      </c>
      <c r="D15" s="59"/>
      <c r="E15" s="43">
        <v>7.0</v>
      </c>
      <c r="F15" s="58">
        <f>IF(E15&gt;E13,1,0)</f>
        <v>1</v>
      </c>
      <c r="G15" s="59"/>
      <c r="H15" s="43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11</v>
      </c>
      <c r="N15" s="27">
        <f>C15+F15+I15</f>
        <v>2</v>
      </c>
      <c r="O15" s="27"/>
      <c r="P15" s="57" t="str">
        <f>AE17</f>
        <v>Daniele Privitera / Anabel Borg</v>
      </c>
      <c r="Q15" s="43">
        <v>4.0</v>
      </c>
      <c r="R15" s="58">
        <f>IF(Q15&gt;Q13,1,0)</f>
        <v>0</v>
      </c>
      <c r="S15" s="59"/>
      <c r="T15" s="43">
        <v>4.0</v>
      </c>
      <c r="U15" s="58">
        <f>IF(T15&gt;T13,1,0)</f>
        <v>0</v>
      </c>
      <c r="V15" s="59"/>
      <c r="W15" s="46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8</v>
      </c>
      <c r="AC15" s="27">
        <f>R15+U15+X15</f>
        <v>0</v>
      </c>
      <c r="AD15" s="27"/>
      <c r="AE15" s="103" t="str">
        <f>Players!B49&amp; " / " &amp;Players!C49</f>
        <v>Isaac Joseph Zammit / Monique Attard</v>
      </c>
      <c r="AF15" s="48">
        <f>Y17+J15+Y23+Y27</f>
        <v>4</v>
      </c>
      <c r="AG15" s="48">
        <f t="shared" ref="AG15:AI15" si="4">AA17+L15+AA23+AA27</f>
        <v>6</v>
      </c>
      <c r="AH15" s="48">
        <f t="shared" si="4"/>
        <v>42</v>
      </c>
      <c r="AI15" s="49">
        <f t="shared" si="4"/>
        <v>5</v>
      </c>
      <c r="AJ15" s="33"/>
      <c r="AK15" s="33"/>
      <c r="AL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27"/>
    </row>
    <row r="17" ht="13.5" customHeight="1">
      <c r="A17" s="42" t="str">
        <f>AE11</f>
        <v>Dunstan Vella / Tiziana Spiteri</v>
      </c>
      <c r="B17" s="43">
        <v>6.0</v>
      </c>
      <c r="C17" s="44">
        <f>IF(B17&gt;B19,1,0)</f>
        <v>1</v>
      </c>
      <c r="D17" s="45"/>
      <c r="E17" s="43">
        <v>4.0</v>
      </c>
      <c r="F17" s="44">
        <f>IF(E17&gt;E19,1,0)</f>
        <v>0</v>
      </c>
      <c r="G17" s="45"/>
      <c r="H17" s="43">
        <v>10.0</v>
      </c>
      <c r="I17" s="27">
        <f>IF(H17&gt;H19,1,0)</f>
        <v>1</v>
      </c>
      <c r="J17" s="27">
        <f>IF(B17="",0,1)</f>
        <v>1</v>
      </c>
      <c r="K17" s="27">
        <f>IF(C17+F17=2,3,IF(C17+F17=1,1,0))</f>
        <v>1</v>
      </c>
      <c r="L17" s="27">
        <f>IF(K17=3,3,IF(I17+K17=2,2,IF(K17=1,1,0)))</f>
        <v>2</v>
      </c>
      <c r="M17" s="27">
        <f>B17+E17</f>
        <v>10</v>
      </c>
      <c r="N17" s="27">
        <f>C17+F17+I17</f>
        <v>2</v>
      </c>
      <c r="O17" s="27"/>
      <c r="P17" s="42" t="str">
        <f>AE15</f>
        <v>Isaac Joseph Zammit / Monique Attard</v>
      </c>
      <c r="Q17" s="43">
        <v>7.0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13</v>
      </c>
      <c r="AC17" s="27">
        <f>R17+U17+X17</f>
        <v>2</v>
      </c>
      <c r="AD17" s="27"/>
      <c r="AE17" s="103" t="str">
        <f>Players!B50&amp; " / " &amp;Players!C50</f>
        <v>Daniele Privitera / Anabel Borg</v>
      </c>
      <c r="AF17" s="48">
        <f>Y19+J23+Y15+J27</f>
        <v>4</v>
      </c>
      <c r="AG17" s="48">
        <f t="shared" ref="AG17:AI17" si="5">AA19+L23+AA15+L27</f>
        <v>2</v>
      </c>
      <c r="AH17" s="48">
        <f t="shared" si="5"/>
        <v>33</v>
      </c>
      <c r="AI17" s="49">
        <f t="shared" si="5"/>
        <v>2</v>
      </c>
      <c r="AJ17" s="33"/>
      <c r="AK17" s="33"/>
      <c r="AL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27"/>
    </row>
    <row r="19" ht="13.5" customHeight="1">
      <c r="A19" s="57" t="str">
        <f>AE13</f>
        <v>Isaac Baldacchino / Janice Galea</v>
      </c>
      <c r="B19" s="43">
        <v>1.0</v>
      </c>
      <c r="C19" s="58">
        <f>IF(B19&gt;B17,1,0)</f>
        <v>0</v>
      </c>
      <c r="D19" s="59"/>
      <c r="E19" s="43">
        <v>6.0</v>
      </c>
      <c r="F19" s="58">
        <f>IF(E19&gt;E17,1,0)</f>
        <v>1</v>
      </c>
      <c r="G19" s="59"/>
      <c r="H19" s="43">
        <v>5.0</v>
      </c>
      <c r="I19" s="27">
        <f>IF(H19&gt;H17,1,0)</f>
        <v>0</v>
      </c>
      <c r="J19" s="27">
        <f>IF(B19="",0,1)</f>
        <v>1</v>
      </c>
      <c r="K19" s="27">
        <f>IF(C19+F19=2,3,IF(C19+F19=1,1,0))</f>
        <v>1</v>
      </c>
      <c r="L19" s="27">
        <f>IF(K19=3,3,IF(I19+K19=2,2,IF(K19=1,1,0)))</f>
        <v>1</v>
      </c>
      <c r="M19" s="27">
        <f>B19+E19</f>
        <v>7</v>
      </c>
      <c r="N19" s="27">
        <f>C19+F19+I19</f>
        <v>1</v>
      </c>
      <c r="O19" s="27"/>
      <c r="P19" s="57" t="str">
        <f>AE17</f>
        <v>Daniele Privitera / Anabel Borg</v>
      </c>
      <c r="Q19" s="43">
        <v>6.0</v>
      </c>
      <c r="R19" s="58">
        <f>IF(Q19&gt;Q17,1,0)</f>
        <v>0</v>
      </c>
      <c r="S19" s="59"/>
      <c r="T19" s="43">
        <v>3.0</v>
      </c>
      <c r="U19" s="58">
        <f>IF(T19&gt;T17,1,0)</f>
        <v>0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9</v>
      </c>
      <c r="AC19" s="27">
        <f>R19+U19+X19</f>
        <v>0</v>
      </c>
      <c r="AD19" s="27"/>
      <c r="AE19" s="100" t="s">
        <v>138</v>
      </c>
      <c r="AF19" s="30"/>
      <c r="AG19" s="30"/>
      <c r="AH19" s="30"/>
      <c r="AI19" s="8"/>
      <c r="AJ19" s="27"/>
      <c r="AK19" s="33"/>
      <c r="AL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05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65" t="s">
        <v>139</v>
      </c>
      <c r="AF20" s="30"/>
      <c r="AG20" s="30"/>
      <c r="AH20" s="30"/>
      <c r="AI20" s="8"/>
      <c r="AJ20" s="27"/>
      <c r="AK20" s="27"/>
      <c r="AL20" s="27"/>
    </row>
    <row r="21" ht="13.5" customHeight="1">
      <c r="A21" s="42" t="str">
        <f>AE11</f>
        <v>Dunstan Vella / Tiziana Spiteri</v>
      </c>
      <c r="B21" s="43">
        <v>6.0</v>
      </c>
      <c r="C21" s="44">
        <f>IF(B21&gt;B23,1,0)</f>
        <v>0</v>
      </c>
      <c r="D21" s="45"/>
      <c r="E21" s="43">
        <v>6.0</v>
      </c>
      <c r="F21" s="44">
        <f>IF(E21&gt;E23,1,0)</f>
        <v>1</v>
      </c>
      <c r="G21" s="45"/>
      <c r="H21" s="43">
        <v>2.0</v>
      </c>
      <c r="I21" s="27">
        <f>IF(H21&gt;H23,1,0)</f>
        <v>0</v>
      </c>
      <c r="J21" s="27">
        <f>IF(B21="",0,1)</f>
        <v>1</v>
      </c>
      <c r="K21" s="27">
        <f>IF(C21+F21=2,3,IF(C21+F21=1,1,0))</f>
        <v>1</v>
      </c>
      <c r="L21" s="27">
        <f>IF(K21=3,3,IF(I21+K21=2,2,IF(K21=1,1,0)))</f>
        <v>1</v>
      </c>
      <c r="M21" s="27">
        <f>B21+E21</f>
        <v>12</v>
      </c>
      <c r="N21" s="27">
        <f>C21+F21+I21</f>
        <v>1</v>
      </c>
      <c r="O21" s="27"/>
      <c r="P21" s="42" t="str">
        <f>AE11</f>
        <v>Dunstan Vella / Tiziana Spiteri</v>
      </c>
      <c r="Q21" s="43">
        <v>7.0</v>
      </c>
      <c r="R21" s="44">
        <f>IF(Q21&gt;Q23,1,0)</f>
        <v>1</v>
      </c>
      <c r="S21" s="45"/>
      <c r="T21" s="43">
        <v>6.0</v>
      </c>
      <c r="U21" s="44">
        <f>IF(T21&gt;T23,1,0)</f>
        <v>1</v>
      </c>
      <c r="V21" s="45"/>
      <c r="W21" s="46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13</v>
      </c>
      <c r="AC21" s="27">
        <f>R21+U21+X21</f>
        <v>2</v>
      </c>
      <c r="AD21" s="27"/>
      <c r="AJ21" s="27"/>
      <c r="AK21" s="27"/>
      <c r="AL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/>
      <c r="W22" s="51"/>
      <c r="X22" s="52"/>
      <c r="Y22" s="27"/>
      <c r="Z22" s="27"/>
      <c r="AA22" s="27"/>
      <c r="AB22" s="27"/>
      <c r="AC22" s="27"/>
      <c r="AD22" s="27"/>
      <c r="AJ22" s="27"/>
      <c r="AK22" s="27"/>
      <c r="AL22" s="27"/>
    </row>
    <row r="23" ht="13.5" customHeight="1">
      <c r="A23" s="57" t="str">
        <f>AE17</f>
        <v>Daniele Privitera / Anabel Borg</v>
      </c>
      <c r="B23" s="43">
        <v>7.0</v>
      </c>
      <c r="C23" s="58">
        <f>IF(B23&gt;B21,1,0)</f>
        <v>1</v>
      </c>
      <c r="D23" s="59"/>
      <c r="E23" s="43">
        <v>2.0</v>
      </c>
      <c r="F23" s="58">
        <f>IF(E23&gt;E21,1,0)</f>
        <v>0</v>
      </c>
      <c r="G23" s="59"/>
      <c r="H23" s="43">
        <v>10.0</v>
      </c>
      <c r="I23" s="27">
        <f>IF(H23&gt;H21,1,0)</f>
        <v>1</v>
      </c>
      <c r="J23" s="27">
        <f>IF(B23="",0,1)</f>
        <v>1</v>
      </c>
      <c r="K23" s="27">
        <f>IF(C23+F23=2,3,IF(C23+F23=1,1,0))</f>
        <v>1</v>
      </c>
      <c r="L23" s="27">
        <f>IF(K23=3,3,IF(I23+K23=2,2,IF(K23=1,1,0)))</f>
        <v>2</v>
      </c>
      <c r="M23" s="27">
        <f>B23+E23</f>
        <v>9</v>
      </c>
      <c r="N23" s="27">
        <f>C23+F23+I23</f>
        <v>2</v>
      </c>
      <c r="O23" s="27"/>
      <c r="P23" s="57" t="str">
        <f>AE15</f>
        <v>Isaac Joseph Zammit / Monique Attard</v>
      </c>
      <c r="Q23" s="43">
        <v>5.0</v>
      </c>
      <c r="R23" s="58">
        <f>IF(Q23&gt;Q21,1,0)</f>
        <v>0</v>
      </c>
      <c r="S23" s="59"/>
      <c r="T23" s="43">
        <v>3.0</v>
      </c>
      <c r="U23" s="58">
        <f>IF(T23&gt;T21,1,0)</f>
        <v>0</v>
      </c>
      <c r="V23" s="59"/>
      <c r="W23" s="46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8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ht="13.5" customHeight="1">
      <c r="A25" s="42" t="str">
        <f>AE13</f>
        <v>Isaac Baldacchino / Janice Galea</v>
      </c>
      <c r="B25" s="43">
        <v>6.0</v>
      </c>
      <c r="C25" s="44"/>
      <c r="D25" s="45"/>
      <c r="E25" s="43">
        <v>6.0</v>
      </c>
      <c r="F25" s="44">
        <f>IF(E25&gt;E27,1,0)</f>
        <v>1</v>
      </c>
      <c r="G25" s="45"/>
      <c r="H25" s="46"/>
      <c r="I25" s="27">
        <f>IF(H25&gt;H27,1,0)</f>
        <v>0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1</v>
      </c>
      <c r="M25" s="27">
        <f>B25+E25</f>
        <v>12</v>
      </c>
      <c r="N25" s="27">
        <f>C25+F25+I25</f>
        <v>1</v>
      </c>
      <c r="O25" s="27"/>
      <c r="P25" s="42" t="str">
        <f>AE13</f>
        <v>Isaac Baldacchino / Janice Galea</v>
      </c>
      <c r="Q25" s="43">
        <v>6.0</v>
      </c>
      <c r="R25" s="44">
        <f>IF(Q25&gt;Q27,1,0)</f>
        <v>1</v>
      </c>
      <c r="S25" s="45"/>
      <c r="T25" s="43">
        <v>4.0</v>
      </c>
      <c r="U25" s="44">
        <f>IF(T25&gt;T27,1,0)</f>
        <v>0</v>
      </c>
      <c r="V25" s="45"/>
      <c r="W25" s="43">
        <v>11.0</v>
      </c>
      <c r="X25" s="27">
        <f>IF(W25&gt;W27,1,0)</f>
        <v>1</v>
      </c>
      <c r="Y25" s="27">
        <f>IF(Q25="",0,1)</f>
        <v>1</v>
      </c>
      <c r="Z25" s="27">
        <f>IF(R25+U25=2,3,IF(R25+U25=1,1,0))</f>
        <v>1</v>
      </c>
      <c r="AA25" s="27">
        <f>IF(Z25=3,3,IF(X25+Z25=2,2,IF(Z25=1,1,0)))</f>
        <v>2</v>
      </c>
      <c r="AB25" s="27">
        <f>Q25+T25</f>
        <v>10</v>
      </c>
      <c r="AC25" s="27">
        <f>R25+U25+X25</f>
        <v>2</v>
      </c>
      <c r="AD25" s="91"/>
      <c r="AE25" s="27"/>
      <c r="AF25" s="27"/>
      <c r="AG25" s="27"/>
      <c r="AH25" s="27"/>
      <c r="AI25" s="27"/>
      <c r="AJ25" s="27"/>
      <c r="AK25" s="27"/>
      <c r="AL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52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ht="13.5" customHeight="1">
      <c r="A27" s="57" t="str">
        <f>AE17</f>
        <v>Daniele Privitera / Anabel Borg</v>
      </c>
      <c r="B27" s="43">
        <v>3.0</v>
      </c>
      <c r="C27" s="58"/>
      <c r="D27" s="59"/>
      <c r="E27" s="43">
        <v>4.0</v>
      </c>
      <c r="F27" s="58">
        <f>IF(E27&gt;E25,1,0)</f>
        <v>0</v>
      </c>
      <c r="G27" s="59"/>
      <c r="H27" s="46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7</v>
      </c>
      <c r="N27" s="27">
        <f>C27+F27+I27</f>
        <v>0</v>
      </c>
      <c r="O27" s="27"/>
      <c r="P27" s="57" t="str">
        <f>AE15</f>
        <v>Isaac Joseph Zammit / Monique Attard</v>
      </c>
      <c r="Q27" s="43">
        <v>4.0</v>
      </c>
      <c r="R27" s="58">
        <f>IF(Q27&gt;Q25,1,0)</f>
        <v>0</v>
      </c>
      <c r="S27" s="59"/>
      <c r="T27" s="43">
        <v>6.0</v>
      </c>
      <c r="U27" s="58">
        <f>IF(T27&gt;T25,1,0)</f>
        <v>1</v>
      </c>
      <c r="V27" s="59"/>
      <c r="W27" s="43">
        <v>9.0</v>
      </c>
      <c r="X27" s="27">
        <f>IF(W27&gt;W25,1,0)</f>
        <v>0</v>
      </c>
      <c r="Y27" s="27">
        <f>IF(Q27="",0,1)</f>
        <v>1</v>
      </c>
      <c r="Z27" s="27">
        <f>IF(R27+U27=2,3,IF(R27+U27=1,1,0))</f>
        <v>1</v>
      </c>
      <c r="AA27" s="27">
        <f>IF(Z27=3,3,IF(X27+Z27=2,2,IF(Z27=1,1,0)))</f>
        <v>1</v>
      </c>
      <c r="AB27" s="27">
        <f>Q27+T27</f>
        <v>10</v>
      </c>
      <c r="AC27" s="27">
        <f>R27+U27+X27</f>
        <v>1</v>
      </c>
      <c r="AD27" s="27"/>
      <c r="AE27" s="27"/>
      <c r="AF27" s="27"/>
      <c r="AG27" s="27"/>
      <c r="AH27" s="27"/>
      <c r="AI27" s="27"/>
      <c r="AJ27" s="27"/>
      <c r="AK27" s="27"/>
      <c r="AL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</row>
    <row r="29" ht="13.5" customHeight="1">
      <c r="A29" s="27"/>
      <c r="B29" s="33"/>
      <c r="C29" s="27"/>
      <c r="D29" s="33"/>
      <c r="E29" s="33"/>
      <c r="F29" s="27"/>
      <c r="G29" s="33"/>
      <c r="H29" s="33"/>
      <c r="I29" s="27"/>
      <c r="J29" s="27"/>
      <c r="K29" s="27"/>
      <c r="L29" s="27"/>
      <c r="M29" s="27"/>
      <c r="N29" s="27"/>
      <c r="O29" s="27"/>
      <c r="P29" s="27"/>
      <c r="Q29" s="33"/>
      <c r="R29" s="27"/>
      <c r="S29" s="33"/>
      <c r="T29" s="33"/>
      <c r="U29" s="27"/>
      <c r="V29" s="33"/>
      <c r="W29" s="33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ht="13.5" customHeight="1">
      <c r="A30" s="27"/>
      <c r="I30" s="52"/>
      <c r="J30" s="27"/>
      <c r="K30" s="27"/>
      <c r="L30" s="27"/>
      <c r="M30" s="27"/>
      <c r="N30" s="27"/>
      <c r="O30" s="27"/>
      <c r="P30" s="27"/>
      <c r="X30" s="52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66"/>
      <c r="AL30" s="27"/>
    </row>
    <row r="31" ht="13.5" customHeight="1">
      <c r="A31" s="92" t="s">
        <v>67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6"/>
      <c r="AJ31" s="27"/>
      <c r="AK31" s="27"/>
      <c r="AL31" s="27"/>
    </row>
    <row r="32" ht="13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ht="15.75" customHeight="1">
      <c r="A33" s="93" t="s">
        <v>101</v>
      </c>
      <c r="B33" s="94" t="s">
        <v>102</v>
      </c>
      <c r="C33" s="30"/>
      <c r="D33" s="30"/>
      <c r="E33" s="8"/>
      <c r="F33" s="95"/>
      <c r="G33" s="96"/>
      <c r="H33" s="93" t="s">
        <v>103</v>
      </c>
      <c r="I33" s="27"/>
      <c r="J33" s="27"/>
      <c r="K33" s="27"/>
      <c r="L33" s="27"/>
      <c r="M33" s="33"/>
      <c r="N33" s="33"/>
      <c r="O33" s="33"/>
      <c r="P33" s="93" t="s">
        <v>101</v>
      </c>
      <c r="Q33" s="94" t="s">
        <v>102</v>
      </c>
      <c r="R33" s="30"/>
      <c r="S33" s="30"/>
      <c r="T33" s="8"/>
      <c r="U33" s="95"/>
      <c r="V33" s="96"/>
      <c r="W33" s="93" t="s">
        <v>103</v>
      </c>
      <c r="X33" s="27"/>
      <c r="Y33" s="33"/>
      <c r="Z33" s="33"/>
      <c r="AA33" s="33"/>
      <c r="AB33" s="33"/>
      <c r="AC33" s="33"/>
      <c r="AD33" s="33"/>
      <c r="AE33" s="93" t="s">
        <v>104</v>
      </c>
      <c r="AF33" s="93" t="s">
        <v>105</v>
      </c>
      <c r="AG33" s="93" t="s">
        <v>106</v>
      </c>
      <c r="AH33" s="93" t="s">
        <v>107</v>
      </c>
      <c r="AI33" s="93" t="s">
        <v>108</v>
      </c>
      <c r="AJ33" s="33"/>
      <c r="AK33" s="33"/>
      <c r="AL33" s="27"/>
    </row>
    <row r="34" ht="15.75" hidden="1" customHeight="1">
      <c r="A34" s="27"/>
      <c r="B34" s="35" t="s">
        <v>109</v>
      </c>
      <c r="C34" s="35" t="s">
        <v>110</v>
      </c>
      <c r="D34" s="35"/>
      <c r="E34" s="35" t="s">
        <v>109</v>
      </c>
      <c r="F34" s="35" t="s">
        <v>111</v>
      </c>
      <c r="G34" s="35"/>
      <c r="H34" s="35" t="s">
        <v>109</v>
      </c>
      <c r="I34" s="35" t="s">
        <v>112</v>
      </c>
      <c r="J34" s="35" t="s">
        <v>113</v>
      </c>
      <c r="K34" s="35" t="s">
        <v>114</v>
      </c>
      <c r="L34" s="35" t="s">
        <v>115</v>
      </c>
      <c r="M34" s="35" t="s">
        <v>116</v>
      </c>
      <c r="N34" s="35" t="s">
        <v>117</v>
      </c>
      <c r="O34" s="27"/>
      <c r="P34" s="27"/>
      <c r="Q34" s="35" t="s">
        <v>109</v>
      </c>
      <c r="R34" s="35" t="s">
        <v>110</v>
      </c>
      <c r="S34" s="35"/>
      <c r="T34" s="35" t="s">
        <v>109</v>
      </c>
      <c r="U34" s="35" t="s">
        <v>111</v>
      </c>
      <c r="V34" s="35"/>
      <c r="W34" s="35" t="s">
        <v>109</v>
      </c>
      <c r="X34" s="35" t="s">
        <v>112</v>
      </c>
      <c r="Y34" s="35" t="s">
        <v>113</v>
      </c>
      <c r="Z34" s="35" t="s">
        <v>114</v>
      </c>
      <c r="AA34" s="35" t="s">
        <v>115</v>
      </c>
      <c r="AB34" s="35" t="s">
        <v>116</v>
      </c>
      <c r="AC34" s="35" t="s">
        <v>117</v>
      </c>
      <c r="AD34" s="27"/>
      <c r="AE34" s="33"/>
      <c r="AF34" s="33"/>
      <c r="AG34" s="33"/>
      <c r="AH34" s="33"/>
      <c r="AI34" s="33"/>
      <c r="AJ34" s="35" t="s">
        <v>118</v>
      </c>
      <c r="AK34" s="36" t="s">
        <v>120</v>
      </c>
      <c r="AL34" s="37" t="s">
        <v>121</v>
      </c>
    </row>
    <row r="35" ht="13.5" customHeight="1">
      <c r="A35" s="42" t="str">
        <f>AE35</f>
        <v>Cory Greenland / Sabrina Xuereb</v>
      </c>
      <c r="B35" s="43">
        <v>6.0</v>
      </c>
      <c r="C35" s="44">
        <f>IF(B35&gt;B37,1,0)</f>
        <v>1</v>
      </c>
      <c r="D35" s="45"/>
      <c r="E35" s="43">
        <v>6.0</v>
      </c>
      <c r="F35" s="44">
        <f>IF(E35&gt;E37,1,0)</f>
        <v>1</v>
      </c>
      <c r="G35" s="45"/>
      <c r="H35" s="46"/>
      <c r="I35" s="27">
        <f>IF(H35&gt;H37,1,0)</f>
        <v>0</v>
      </c>
      <c r="J35" s="27">
        <f>IF(B35="",0,1)</f>
        <v>1</v>
      </c>
      <c r="K35" s="27">
        <f>IF(C35+F35=2,3,IF(C35+F35=1,1,0))</f>
        <v>3</v>
      </c>
      <c r="L35" s="27">
        <f>IF(K35=3,3,IF(I35+K35=2,2,IF(K35=1,1,0)))</f>
        <v>3</v>
      </c>
      <c r="M35" s="27">
        <f>B35+E35</f>
        <v>12</v>
      </c>
      <c r="N35" s="27">
        <f>C35+F35+I35</f>
        <v>2</v>
      </c>
      <c r="O35" s="27"/>
      <c r="P35" s="42" t="str">
        <f>AE35</f>
        <v>Cory Greenland / Sabrina Xuereb</v>
      </c>
      <c r="Q35" s="43">
        <v>6.0</v>
      </c>
      <c r="R35" s="44">
        <f>IF(Q35&gt;Q37,1,0)</f>
        <v>1</v>
      </c>
      <c r="S35" s="45"/>
      <c r="T35" s="43">
        <v>6.0</v>
      </c>
      <c r="U35" s="44">
        <f>IF(T35&gt;T37,1,0)</f>
        <v>1</v>
      </c>
      <c r="V35" s="45"/>
      <c r="W35" s="46"/>
      <c r="X35" s="27">
        <f>IF(W35&gt;W37,1,0)</f>
        <v>0</v>
      </c>
      <c r="Y35" s="27">
        <f>IF(Q35="",0,1)</f>
        <v>1</v>
      </c>
      <c r="Z35" s="27">
        <f>IF(R35+U35=2,3,IF(R35+U35=1,1,0))</f>
        <v>3</v>
      </c>
      <c r="AA35" s="27">
        <f>IF(Z35=3,3,IF(X35+Z35=2,2,IF(Z35=1,1,0)))</f>
        <v>3</v>
      </c>
      <c r="AB35" s="27">
        <f>Q35+T35</f>
        <v>12</v>
      </c>
      <c r="AC35" s="27">
        <f>R35+U35+X35</f>
        <v>2</v>
      </c>
      <c r="AD35" s="27"/>
      <c r="AE35" s="97" t="str">
        <f>Players!F46&amp; " / " &amp;Players!G46</f>
        <v>Cory Greenland / Sabrina Xuereb</v>
      </c>
      <c r="AF35" s="48">
        <f>J35+Y35+J39+Y39</f>
        <v>4</v>
      </c>
      <c r="AG35" s="48">
        <f t="shared" ref="AG35:AI35" si="6">L35+AA35+L39+AA39</f>
        <v>12</v>
      </c>
      <c r="AH35" s="48">
        <f t="shared" si="6"/>
        <v>49</v>
      </c>
      <c r="AI35" s="49">
        <f t="shared" si="6"/>
        <v>8</v>
      </c>
      <c r="AJ35" s="27"/>
      <c r="AK35" s="27"/>
      <c r="AL35" s="27"/>
    </row>
    <row r="36" ht="13.5" customHeight="1">
      <c r="A36" s="53" t="s">
        <v>123</v>
      </c>
      <c r="H36" s="51"/>
      <c r="I36" s="52"/>
      <c r="J36" s="27"/>
      <c r="K36" s="27"/>
      <c r="L36" s="27"/>
      <c r="M36" s="27"/>
      <c r="N36" s="27"/>
      <c r="O36" s="27"/>
      <c r="P36" s="53" t="s">
        <v>123</v>
      </c>
      <c r="W36" s="51"/>
      <c r="X36" s="52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33"/>
      <c r="AL36" s="27"/>
    </row>
    <row r="37" ht="13.5" customHeight="1">
      <c r="A37" s="57" t="str">
        <f>AE37</f>
        <v>Steve Gambin / Suzanne Gambin</v>
      </c>
      <c r="B37" s="43">
        <v>2.0</v>
      </c>
      <c r="C37" s="58">
        <f>IF(B37&gt;B35,1,0)</f>
        <v>0</v>
      </c>
      <c r="D37" s="59"/>
      <c r="E37" s="43">
        <v>3.0</v>
      </c>
      <c r="F37" s="58">
        <f>IF(E37&gt;E35,1,0)</f>
        <v>0</v>
      </c>
      <c r="G37" s="59"/>
      <c r="H37" s="46"/>
      <c r="I37" s="27">
        <f>IF(H37&gt;H35,1,0)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5</v>
      </c>
      <c r="N37" s="27">
        <f>C37+F37+I37</f>
        <v>0</v>
      </c>
      <c r="O37" s="27"/>
      <c r="P37" s="57" t="str">
        <f>AE39</f>
        <v>Justin Scicluna / Leanne Sammut</v>
      </c>
      <c r="Q37" s="43">
        <v>0.0</v>
      </c>
      <c r="R37" s="58">
        <f>IF(Q37&gt;Q35,1,0)</f>
        <v>0</v>
      </c>
      <c r="S37" s="59"/>
      <c r="T37" s="43">
        <v>2.0</v>
      </c>
      <c r="U37" s="58">
        <f>IF(T37&gt;T35,1,0)</f>
        <v>0</v>
      </c>
      <c r="V37" s="59"/>
      <c r="W37" s="46"/>
      <c r="X37" s="27">
        <f>IF(W37&gt;W35,1,0)</f>
        <v>0</v>
      </c>
      <c r="Y37" s="27">
        <f>IF(Q37="",0,1)</f>
        <v>1</v>
      </c>
      <c r="Z37" s="27">
        <f>IF(R37+U37=2,3,IF(R37+U37=1,1,0))</f>
        <v>0</v>
      </c>
      <c r="AA37" s="27">
        <f>IF(Z37=3,3,IF(X37+Z37=2,2,IF(Z37=1,1,0)))</f>
        <v>0</v>
      </c>
      <c r="AB37" s="27">
        <f>Q37+T37</f>
        <v>2</v>
      </c>
      <c r="AC37" s="27">
        <f>R37+U37+X37</f>
        <v>0</v>
      </c>
      <c r="AD37" s="27"/>
      <c r="AE37" s="97" t="str">
        <f>Players!F47&amp; " / " &amp;Players!G47</f>
        <v>Steve Gambin / Suzanne Gambin</v>
      </c>
      <c r="AF37" s="48">
        <f>J37+J47+Y47+J43</f>
        <v>4</v>
      </c>
      <c r="AG37" s="48">
        <f t="shared" ref="AG37:AI37" si="7">L37+L47+AA47+L43</f>
        <v>4</v>
      </c>
      <c r="AH37" s="48">
        <f t="shared" si="7"/>
        <v>33</v>
      </c>
      <c r="AI37" s="49">
        <f t="shared" si="7"/>
        <v>3</v>
      </c>
      <c r="AJ37" s="33"/>
      <c r="AK37" s="33"/>
      <c r="AL37" s="27"/>
    </row>
    <row r="38" ht="13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33"/>
      <c r="AG38" s="33"/>
      <c r="AH38" s="33"/>
      <c r="AI38" s="33"/>
      <c r="AJ38" s="33"/>
      <c r="AK38" s="33"/>
      <c r="AL38" s="27"/>
    </row>
    <row r="39" ht="13.5" customHeight="1">
      <c r="A39" s="42" t="str">
        <f>AE35</f>
        <v>Cory Greenland / Sabrina Xuereb</v>
      </c>
      <c r="B39" s="43">
        <v>6.0</v>
      </c>
      <c r="C39" s="44">
        <f>IF(B39&gt;B41,1,0)</f>
        <v>1</v>
      </c>
      <c r="D39" s="45"/>
      <c r="E39" s="43">
        <v>6.0</v>
      </c>
      <c r="F39" s="44">
        <f>IF(E39&gt;E41,1,0)</f>
        <v>1</v>
      </c>
      <c r="G39" s="45"/>
      <c r="H39" s="46"/>
      <c r="I39" s="27">
        <f>IF(H39&gt;H41,1,0)</f>
        <v>0</v>
      </c>
      <c r="J39" s="27">
        <f>IF(B39="",0,1)</f>
        <v>1</v>
      </c>
      <c r="K39" s="27">
        <f>IF(C39+F39=2,3,IF(C39+F39=1,1,0))</f>
        <v>3</v>
      </c>
      <c r="L39" s="27">
        <f>IF(K39=3,3,IF(I39+K39=2,2,IF(K39=1,1,0)))</f>
        <v>3</v>
      </c>
      <c r="M39" s="27">
        <f>B39+E39</f>
        <v>12</v>
      </c>
      <c r="N39" s="27">
        <f>C39+F39+I39</f>
        <v>2</v>
      </c>
      <c r="O39" s="27"/>
      <c r="P39" s="42" t="str">
        <f>AE35</f>
        <v>Cory Greenland / Sabrina Xuereb</v>
      </c>
      <c r="Q39" s="43">
        <v>7.0</v>
      </c>
      <c r="R39" s="44">
        <f>IF(Q39&gt;Q41,1,0)</f>
        <v>1</v>
      </c>
      <c r="S39" s="45"/>
      <c r="T39" s="43">
        <v>6.0</v>
      </c>
      <c r="U39" s="44">
        <f>IF(T39&gt;T41,1,0)</f>
        <v>1</v>
      </c>
      <c r="V39" s="45"/>
      <c r="W39" s="46"/>
      <c r="X39" s="27">
        <f>IF(W39&gt;W41,1,0)</f>
        <v>0</v>
      </c>
      <c r="Y39" s="27">
        <f>IF(Q39="",0,1)</f>
        <v>1</v>
      </c>
      <c r="Z39" s="27">
        <f>IF(R39+U39=2,3,IF(R39+U39=1,1,0))</f>
        <v>3</v>
      </c>
      <c r="AA39" s="27">
        <f>IF(Z39=3,3,IF(X39+Z39=2,2,IF(Z39=1,1,0)))</f>
        <v>3</v>
      </c>
      <c r="AB39" s="27">
        <f>Q39+T39</f>
        <v>13</v>
      </c>
      <c r="AC39" s="27">
        <f>R39+U39+X39</f>
        <v>2</v>
      </c>
      <c r="AD39" s="27"/>
      <c r="AE39" s="97" t="str">
        <f>Players!F48&amp; " / " &amp;Players!G48</f>
        <v>Justin Scicluna / Leanne Sammut</v>
      </c>
      <c r="AF39" s="48">
        <f>Y51+Y37+J51+J45</f>
        <v>4</v>
      </c>
      <c r="AG39" s="48">
        <f t="shared" ref="AG39:AI39" si="8">AA51+AA37+L51+L45</f>
        <v>1</v>
      </c>
      <c r="AH39" s="48">
        <f t="shared" si="8"/>
        <v>20</v>
      </c>
      <c r="AI39" s="49">
        <f t="shared" si="8"/>
        <v>1</v>
      </c>
      <c r="AJ39" s="33"/>
      <c r="AK39" s="33"/>
      <c r="AL39" s="27"/>
    </row>
    <row r="40" ht="13.5" customHeight="1">
      <c r="A40" s="53" t="s">
        <v>123</v>
      </c>
      <c r="H40" s="51"/>
      <c r="I40" s="52"/>
      <c r="J40" s="27"/>
      <c r="K40" s="27"/>
      <c r="L40" s="27"/>
      <c r="M40" s="27"/>
      <c r="N40" s="27"/>
      <c r="O40" s="27"/>
      <c r="P40" s="53" t="s">
        <v>123</v>
      </c>
      <c r="W40" s="51"/>
      <c r="X40" s="52"/>
      <c r="Y40" s="27"/>
      <c r="Z40" s="27"/>
      <c r="AA40" s="27"/>
      <c r="AB40" s="27"/>
      <c r="AC40" s="27"/>
      <c r="AD40" s="27"/>
      <c r="AE40" s="27"/>
      <c r="AF40" s="33"/>
      <c r="AG40" s="33"/>
      <c r="AH40" s="33"/>
      <c r="AI40" s="33"/>
      <c r="AJ40" s="33"/>
      <c r="AK40" s="33"/>
      <c r="AL40" s="27"/>
    </row>
    <row r="41" ht="13.5" customHeight="1">
      <c r="A41" s="57" t="str">
        <f>AE41</f>
        <v>Redent Scicluna / Ceridwen Scerri</v>
      </c>
      <c r="B41" s="43">
        <v>2.0</v>
      </c>
      <c r="C41" s="58">
        <f>IF(B41&gt;B39,1,0)</f>
        <v>0</v>
      </c>
      <c r="D41" s="59"/>
      <c r="E41" s="43">
        <v>3.0</v>
      </c>
      <c r="F41" s="58">
        <f>IF(E41&gt;E39,1,0)</f>
        <v>0</v>
      </c>
      <c r="G41" s="59"/>
      <c r="H41" s="46"/>
      <c r="I41" s="27">
        <f>IF(H41&gt;H39,1,0)</f>
        <v>0</v>
      </c>
      <c r="J41" s="27">
        <f>IF(B41="",0,1)</f>
        <v>1</v>
      </c>
      <c r="K41" s="27">
        <f>IF(C41+F41=2,3,IF(C41+F41=1,1,0))</f>
        <v>0</v>
      </c>
      <c r="L41" s="27">
        <f>IF(K41=3,3,IF(I41+K41=2,2,IF(K41=1,1,0)))</f>
        <v>0</v>
      </c>
      <c r="M41" s="27">
        <f>B41+E41</f>
        <v>5</v>
      </c>
      <c r="N41" s="27">
        <f>C41+F41+I41</f>
        <v>0</v>
      </c>
      <c r="O41" s="27"/>
      <c r="P41" s="57" t="str">
        <f>AE43</f>
        <v>David Camilleri / Daphne Vella</v>
      </c>
      <c r="Q41" s="43">
        <v>6.0</v>
      </c>
      <c r="R41" s="58">
        <f>IF(Q41&gt;Q39,1,0)</f>
        <v>0</v>
      </c>
      <c r="S41" s="59"/>
      <c r="T41" s="43">
        <v>2.0</v>
      </c>
      <c r="U41" s="58">
        <f>IF(T41&gt;T39,1,0)</f>
        <v>0</v>
      </c>
      <c r="V41" s="59"/>
      <c r="W41" s="46"/>
      <c r="X41" s="27">
        <f>IF(W41&gt;W39,1,0)</f>
        <v>0</v>
      </c>
      <c r="Y41" s="27">
        <f>IF(Q41="",0,1)</f>
        <v>1</v>
      </c>
      <c r="Z41" s="27">
        <f>IF(R41+U41=2,3,IF(R41+U41=1,1,0))</f>
        <v>0</v>
      </c>
      <c r="AA41" s="27">
        <f>IF(Z41=3,3,IF(X41+Z41=2,2,IF(Z41=1,1,0)))</f>
        <v>0</v>
      </c>
      <c r="AB41" s="27">
        <f>Q41+T41</f>
        <v>8</v>
      </c>
      <c r="AC41" s="27">
        <f>R41+U41+X41</f>
        <v>0</v>
      </c>
      <c r="AD41" s="27"/>
      <c r="AE41" s="97" t="str">
        <f>Players!F49&amp; " / " &amp;Players!G49</f>
        <v>Redent Scicluna / Ceridwen Scerri</v>
      </c>
      <c r="AF41" s="48">
        <f>Y53+Y43+J41+Y49</f>
        <v>4</v>
      </c>
      <c r="AG41" s="48">
        <f t="shared" ref="AG41:AI41" si="9">AA53+AA43+L41+AA49</f>
        <v>7</v>
      </c>
      <c r="AH41" s="48">
        <f t="shared" si="9"/>
        <v>40</v>
      </c>
      <c r="AI41" s="49">
        <f t="shared" si="9"/>
        <v>6</v>
      </c>
      <c r="AJ41" s="33"/>
      <c r="AK41" s="33"/>
      <c r="AL41" s="27"/>
    </row>
    <row r="42" ht="13.5" customHeight="1">
      <c r="A42" s="27"/>
      <c r="B42" s="33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33"/>
      <c r="AG42" s="33"/>
      <c r="AH42" s="33"/>
      <c r="AI42" s="33"/>
      <c r="AJ42" s="33"/>
      <c r="AK42" s="33"/>
      <c r="AL42" s="27"/>
    </row>
    <row r="43" ht="13.5" customHeight="1">
      <c r="A43" s="42" t="str">
        <f>AE37</f>
        <v>Steve Gambin / Suzanne Gambin</v>
      </c>
      <c r="B43" s="43">
        <v>6.0</v>
      </c>
      <c r="C43" s="44">
        <f>IF(B43&gt;B45,1,0)</f>
        <v>1</v>
      </c>
      <c r="D43" s="45"/>
      <c r="E43" s="43">
        <v>6.0</v>
      </c>
      <c r="F43" s="44">
        <f>IF(E43&gt;E45,1,0)</f>
        <v>1</v>
      </c>
      <c r="G43" s="45"/>
      <c r="H43" s="46"/>
      <c r="I43" s="27">
        <f>IF(H43&gt;H45,1,0)</f>
        <v>0</v>
      </c>
      <c r="J43" s="27">
        <f>IF(B43="",0,1)</f>
        <v>1</v>
      </c>
      <c r="K43" s="27">
        <f>IF(C43+F43=2,3,IF(C43+F43=1,1,0))</f>
        <v>3</v>
      </c>
      <c r="L43" s="27">
        <f>IF(K43=3,3,IF(I43+K43=2,2,IF(K43=1,1,0)))</f>
        <v>3</v>
      </c>
      <c r="M43" s="27">
        <f>B43+E43</f>
        <v>12</v>
      </c>
      <c r="N43" s="27">
        <f>C43+F43+I43</f>
        <v>2</v>
      </c>
      <c r="O43" s="27"/>
      <c r="P43" s="42" t="str">
        <f>AE41</f>
        <v>Redent Scicluna / Ceridwen Scerri</v>
      </c>
      <c r="Q43" s="43">
        <v>7.0</v>
      </c>
      <c r="R43" s="44">
        <f>IF(Q43&gt;Q45,1,0)</f>
        <v>1</v>
      </c>
      <c r="S43" s="45"/>
      <c r="T43" s="43">
        <v>6.0</v>
      </c>
      <c r="U43" s="44">
        <f>IF(T43&gt;T45,1,0)</f>
        <v>1</v>
      </c>
      <c r="V43" s="45"/>
      <c r="W43" s="46"/>
      <c r="X43" s="27">
        <f>IF(W43&gt;W45,1,0)</f>
        <v>0</v>
      </c>
      <c r="Y43" s="27">
        <f>IF(Q43="",0,1)</f>
        <v>1</v>
      </c>
      <c r="Z43" s="27">
        <f>IF(R43+U43=2,3,IF(R43+U43=1,1,0))</f>
        <v>3</v>
      </c>
      <c r="AA43" s="27">
        <f>IF(Z43=3,3,IF(X43+Z43=2,2,IF(Z43=1,1,0)))</f>
        <v>3</v>
      </c>
      <c r="AB43" s="27">
        <f>Q43+T43</f>
        <v>13</v>
      </c>
      <c r="AC43" s="27">
        <f>R43+U43+X43</f>
        <v>2</v>
      </c>
      <c r="AD43" s="27"/>
      <c r="AE43" s="97" t="str">
        <f>Players!F50&amp; " / " &amp;Players!G50</f>
        <v>David Camilleri / Daphne Vella</v>
      </c>
      <c r="AF43" s="48">
        <f>Y45+J49+Y41+J53</f>
        <v>4</v>
      </c>
      <c r="AG43" s="48">
        <f t="shared" ref="AG43:AI43" si="10">AA45+L49+AA41+L53</f>
        <v>6</v>
      </c>
      <c r="AH43" s="48">
        <f t="shared" si="10"/>
        <v>39</v>
      </c>
      <c r="AI43" s="49">
        <f t="shared" si="10"/>
        <v>4</v>
      </c>
      <c r="AJ43" s="33"/>
      <c r="AK43" s="33"/>
      <c r="AL43" s="27"/>
    </row>
    <row r="44" ht="13.5" customHeight="1">
      <c r="A44" s="53" t="s">
        <v>123</v>
      </c>
      <c r="H44" s="51"/>
      <c r="I44" s="52"/>
      <c r="J44" s="27"/>
      <c r="K44" s="27"/>
      <c r="L44" s="27"/>
      <c r="M44" s="27"/>
      <c r="N44" s="27"/>
      <c r="O44" s="27"/>
      <c r="P44" s="53" t="s">
        <v>123</v>
      </c>
      <c r="W44" s="51"/>
      <c r="X44" s="52"/>
      <c r="Y44" s="27"/>
      <c r="Z44" s="27"/>
      <c r="AA44" s="27"/>
      <c r="AB44" s="27"/>
      <c r="AC44" s="27"/>
      <c r="AD44" s="27"/>
      <c r="AE44" s="27"/>
      <c r="AF44" s="33"/>
      <c r="AG44" s="33"/>
      <c r="AH44" s="33"/>
      <c r="AI44" s="33"/>
      <c r="AJ44" s="33"/>
      <c r="AK44" s="33"/>
      <c r="AL44" s="27"/>
    </row>
    <row r="45" ht="13.5" customHeight="1">
      <c r="A45" s="57" t="str">
        <f>AE39</f>
        <v>Justin Scicluna / Leanne Sammut</v>
      </c>
      <c r="B45" s="43">
        <v>3.0</v>
      </c>
      <c r="C45" s="58">
        <f>IF(B45&gt;B43,1,0)</f>
        <v>0</v>
      </c>
      <c r="D45" s="59"/>
      <c r="E45" s="43">
        <v>3.0</v>
      </c>
      <c r="F45" s="58">
        <f>IF(E45&gt;E43,1,0)</f>
        <v>0</v>
      </c>
      <c r="G45" s="59"/>
      <c r="H45" s="46"/>
      <c r="I45" s="27">
        <f>IF(H45&gt;H43,1,0)</f>
        <v>0</v>
      </c>
      <c r="J45" s="27">
        <f>IF(B45="",0,1)</f>
        <v>1</v>
      </c>
      <c r="K45" s="27">
        <f>IF(C45+F45=2,3,IF(C45+F45=1,1,0))</f>
        <v>0</v>
      </c>
      <c r="L45" s="27">
        <f>IF(K45=3,3,IF(I45+K45=2,2,IF(K45=1,1,0)))</f>
        <v>0</v>
      </c>
      <c r="M45" s="27">
        <f>B45+E45</f>
        <v>6</v>
      </c>
      <c r="N45" s="27">
        <f>C45+F45+I45</f>
        <v>0</v>
      </c>
      <c r="O45" s="27"/>
      <c r="P45" s="57" t="str">
        <f>AE43</f>
        <v>David Camilleri / Daphne Vella</v>
      </c>
      <c r="Q45" s="43">
        <v>6.0</v>
      </c>
      <c r="R45" s="58">
        <f>IF(Q45&gt;Q43,1,0)</f>
        <v>0</v>
      </c>
      <c r="S45" s="59"/>
      <c r="T45" s="43">
        <v>1.0</v>
      </c>
      <c r="U45" s="58">
        <f>IF(T45&gt;T43,1,0)</f>
        <v>0</v>
      </c>
      <c r="V45" s="59"/>
      <c r="W45" s="46"/>
      <c r="X45" s="27">
        <f>IF(W45&gt;W43,1,0)</f>
        <v>0</v>
      </c>
      <c r="Y45" s="27">
        <f>IF(Q45="",0,1)</f>
        <v>1</v>
      </c>
      <c r="Z45" s="27">
        <f>IF(R45+U45=2,3,IF(R45+U45=1,1,0))</f>
        <v>0</v>
      </c>
      <c r="AA45" s="27">
        <f>IF(Z45=3,3,IF(X45+Z45=2,2,IF(Z45=1,1,0)))</f>
        <v>0</v>
      </c>
      <c r="AB45" s="27">
        <f>Q45+T45</f>
        <v>7</v>
      </c>
      <c r="AC45" s="27">
        <f>R45+U45+X45</f>
        <v>0</v>
      </c>
      <c r="AD45" s="27"/>
      <c r="AE45" s="94" t="s">
        <v>140</v>
      </c>
      <c r="AF45" s="30"/>
      <c r="AG45" s="30"/>
      <c r="AH45" s="30"/>
      <c r="AI45" s="8"/>
      <c r="AJ45" s="27"/>
      <c r="AK45" s="33"/>
      <c r="AL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65" t="s">
        <v>141</v>
      </c>
      <c r="AF46" s="30"/>
      <c r="AG46" s="30"/>
      <c r="AH46" s="30"/>
      <c r="AI46" s="8"/>
      <c r="AJ46" s="27"/>
      <c r="AK46" s="27"/>
      <c r="AL46" s="27"/>
    </row>
    <row r="47" ht="13.5" customHeight="1">
      <c r="A47" s="42" t="str">
        <f>AE37</f>
        <v>Steve Gambin / Suzanne Gambin</v>
      </c>
      <c r="B47" s="43">
        <v>4.0</v>
      </c>
      <c r="C47" s="44">
        <f>IF(B47&gt;B49,1,0)</f>
        <v>0</v>
      </c>
      <c r="D47" s="45"/>
      <c r="E47" s="43">
        <v>4.0</v>
      </c>
      <c r="F47" s="44">
        <f>IF(E47&gt;E49,1,0)</f>
        <v>0</v>
      </c>
      <c r="G47" s="45"/>
      <c r="H47" s="46"/>
      <c r="I47" s="27">
        <f>IF(H47&gt;H49,1,0)</f>
        <v>0</v>
      </c>
      <c r="J47" s="27">
        <f>IF(B47="",0,1)</f>
        <v>1</v>
      </c>
      <c r="K47" s="27">
        <f>IF(C47+F47=2,3,IF(C47+F47=1,1,0))</f>
        <v>0</v>
      </c>
      <c r="L47" s="27">
        <f>IF(K47=3,3,IF(I47+K47=2,2,IF(K47=1,1,0)))</f>
        <v>0</v>
      </c>
      <c r="M47" s="27">
        <f>B47+E47</f>
        <v>8</v>
      </c>
      <c r="N47" s="27">
        <f>C47+F47+I47</f>
        <v>0</v>
      </c>
      <c r="O47" s="27"/>
      <c r="P47" s="42" t="str">
        <f>AE37</f>
        <v>Steve Gambin / Suzanne Gambin</v>
      </c>
      <c r="Q47" s="43">
        <v>2.0</v>
      </c>
      <c r="R47" s="44">
        <f>IF(Q47&gt;Q49,1,0)</f>
        <v>0</v>
      </c>
      <c r="S47" s="45"/>
      <c r="T47" s="43">
        <v>6.0</v>
      </c>
      <c r="U47" s="44">
        <f>IF(T47&gt;T49,1,0)</f>
        <v>1</v>
      </c>
      <c r="V47" s="45"/>
      <c r="W47" s="43">
        <v>4.0</v>
      </c>
      <c r="X47" s="27">
        <f>IF(W47&gt;W49,1,0)</f>
        <v>0</v>
      </c>
      <c r="Y47" s="27">
        <f>IF(Q47="",0,1)</f>
        <v>1</v>
      </c>
      <c r="Z47" s="27">
        <f>IF(R47+U47=2,3,IF(R47+U47=1,1,0))</f>
        <v>1</v>
      </c>
      <c r="AA47" s="27">
        <f>IF(Z47=3,3,IF(X47+Z47=2,2,IF(Z47=1,1,0)))</f>
        <v>1</v>
      </c>
      <c r="AB47" s="27">
        <f>Q47+T47</f>
        <v>8</v>
      </c>
      <c r="AC47" s="27">
        <f>R47+U47+X47</f>
        <v>1</v>
      </c>
      <c r="AD47" s="27"/>
      <c r="AJ47" s="27"/>
      <c r="AK47" s="27"/>
      <c r="AL47" s="27"/>
    </row>
    <row r="48" ht="13.5" customHeight="1">
      <c r="A48" s="53" t="s">
        <v>123</v>
      </c>
      <c r="H48" s="51"/>
      <c r="I48" s="52"/>
      <c r="J48" s="27"/>
      <c r="K48" s="27"/>
      <c r="L48" s="27"/>
      <c r="M48" s="27"/>
      <c r="N48" s="27"/>
      <c r="O48" s="27"/>
      <c r="P48" s="53" t="s">
        <v>123</v>
      </c>
      <c r="W48" s="51"/>
      <c r="X48" s="52"/>
      <c r="Y48" s="27"/>
      <c r="Z48" s="27"/>
      <c r="AA48" s="27"/>
      <c r="AB48" s="27"/>
      <c r="AC48" s="27"/>
      <c r="AD48" s="27"/>
      <c r="AJ48" s="27"/>
      <c r="AK48" s="27"/>
      <c r="AL48" s="27"/>
    </row>
    <row r="49" ht="13.5" customHeight="1">
      <c r="A49" s="57" t="str">
        <f>AE43</f>
        <v>David Camilleri / Daphne Vella</v>
      </c>
      <c r="B49" s="43">
        <v>6.0</v>
      </c>
      <c r="C49" s="58">
        <f>IF(B49&gt;B47,1,0)</f>
        <v>1</v>
      </c>
      <c r="D49" s="59"/>
      <c r="E49" s="43">
        <v>6.0</v>
      </c>
      <c r="F49" s="58">
        <f>IF(E49&gt;E47,1,0)</f>
        <v>1</v>
      </c>
      <c r="G49" s="59"/>
      <c r="H49" s="46"/>
      <c r="I49" s="27">
        <f>IF(H49&gt;H47,1,0)</f>
        <v>0</v>
      </c>
      <c r="J49" s="27">
        <f>IF(B49="",0,1)</f>
        <v>1</v>
      </c>
      <c r="K49" s="27">
        <f>IF(C49+F49=2,3,IF(C49+F49=1,1,0))</f>
        <v>3</v>
      </c>
      <c r="L49" s="27">
        <f>IF(K49=3,3,IF(I49+K49=2,2,IF(K49=1,1,0)))</f>
        <v>3</v>
      </c>
      <c r="M49" s="27">
        <f>B49+E49</f>
        <v>12</v>
      </c>
      <c r="N49" s="27">
        <f>C49+F49+I49</f>
        <v>2</v>
      </c>
      <c r="O49" s="27"/>
      <c r="P49" s="57" t="str">
        <f>AE41</f>
        <v>Redent Scicluna / Ceridwen Scerri</v>
      </c>
      <c r="Q49" s="43">
        <v>6.0</v>
      </c>
      <c r="R49" s="58">
        <f>IF(Q49&gt;Q47,1,0)</f>
        <v>1</v>
      </c>
      <c r="S49" s="59"/>
      <c r="T49" s="43">
        <v>4.0</v>
      </c>
      <c r="U49" s="58">
        <f>IF(T49&gt;T47,1,0)</f>
        <v>0</v>
      </c>
      <c r="V49" s="59"/>
      <c r="W49" s="43">
        <v>10.0</v>
      </c>
      <c r="X49" s="27">
        <f>IF(W49&gt;W47,1,0)</f>
        <v>1</v>
      </c>
      <c r="Y49" s="27">
        <f>IF(Q49="",0,1)</f>
        <v>1</v>
      </c>
      <c r="Z49" s="27">
        <f>IF(R49+U49=2,3,IF(R49+U49=1,1,0))</f>
        <v>1</v>
      </c>
      <c r="AA49" s="27">
        <f>IF(Z49=3,3,IF(X49+Z49=2,2,IF(Z49=1,1,0)))</f>
        <v>2</v>
      </c>
      <c r="AB49" s="27">
        <f>Q49+T49</f>
        <v>10</v>
      </c>
      <c r="AC49" s="27">
        <f>R49+U49+X49</f>
        <v>2</v>
      </c>
      <c r="AD49" s="27"/>
      <c r="AE49" s="27"/>
      <c r="AF49" s="27"/>
      <c r="AG49" s="27"/>
      <c r="AH49" s="27"/>
      <c r="AI49" s="27"/>
      <c r="AJ49" s="27"/>
      <c r="AK49" s="27"/>
      <c r="AL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ht="13.5" customHeight="1">
      <c r="A51" s="42" t="str">
        <f>AE39</f>
        <v>Justin Scicluna / Leanne Sammut</v>
      </c>
      <c r="B51" s="43">
        <v>4.0</v>
      </c>
      <c r="C51" s="44">
        <f>IF(B51&gt;B53,1,0)</f>
        <v>0</v>
      </c>
      <c r="D51" s="45"/>
      <c r="E51" s="43">
        <v>1.0</v>
      </c>
      <c r="F51" s="44">
        <f>IF(E51&gt;E53,1,0)</f>
        <v>0</v>
      </c>
      <c r="G51" s="45"/>
      <c r="H51" s="46"/>
      <c r="I51" s="27">
        <f>IF(H51&gt;H53,1,0)</f>
        <v>0</v>
      </c>
      <c r="J51" s="27">
        <f>IF(B51="",0,1)</f>
        <v>1</v>
      </c>
      <c r="K51" s="27">
        <f>IF(C51+F51=2,3,IF(C51+F51=1,1,0))</f>
        <v>0</v>
      </c>
      <c r="L51" s="27">
        <f>IF(K51=3,3,IF(I51+K51=2,2,IF(K51=1,1,0)))</f>
        <v>0</v>
      </c>
      <c r="M51" s="27">
        <f>B51+E51</f>
        <v>5</v>
      </c>
      <c r="N51" s="27">
        <f>C51+F51+I51</f>
        <v>0</v>
      </c>
      <c r="O51" s="27"/>
      <c r="P51" s="42" t="str">
        <f>AE39</f>
        <v>Justin Scicluna / Leanne Sammut</v>
      </c>
      <c r="Q51" s="43">
        <v>7.0</v>
      </c>
      <c r="R51" s="44">
        <f>IF(Q51&gt;Q53,1,0)</f>
        <v>1</v>
      </c>
      <c r="S51" s="45"/>
      <c r="T51" s="43">
        <v>0.0</v>
      </c>
      <c r="U51" s="44">
        <f>IF(T51&gt;T53,1,0)</f>
        <v>0</v>
      </c>
      <c r="V51" s="45"/>
      <c r="W51" s="43">
        <v>3.0</v>
      </c>
      <c r="X51" s="27">
        <f>IF(W51&gt;W53,1,0)</f>
        <v>0</v>
      </c>
      <c r="Y51" s="27">
        <f>IF(Q51="",0,1)</f>
        <v>1</v>
      </c>
      <c r="Z51" s="27">
        <f>IF(R51+U51=2,3,IF(R51+U51=1,1,0))</f>
        <v>1</v>
      </c>
      <c r="AA51" s="27">
        <f>IF(Z51=3,3,IF(X51+Z51=2,2,IF(Z51=1,1,0)))</f>
        <v>1</v>
      </c>
      <c r="AB51" s="27">
        <f>Q51+T51</f>
        <v>7</v>
      </c>
      <c r="AC51" s="27">
        <f>R51+U51+X51</f>
        <v>1</v>
      </c>
      <c r="AD51" s="27"/>
      <c r="AE51" s="27"/>
      <c r="AF51" s="27"/>
      <c r="AG51" s="27"/>
      <c r="AH51" s="27"/>
      <c r="AI51" s="27"/>
      <c r="AJ51" s="27"/>
      <c r="AK51" s="27"/>
      <c r="AL51" s="27"/>
    </row>
    <row r="52" ht="13.5" customHeight="1">
      <c r="A52" s="53" t="s">
        <v>123</v>
      </c>
      <c r="H52" s="51"/>
      <c r="I52" s="52"/>
      <c r="J52" s="27"/>
      <c r="K52" s="27"/>
      <c r="L52" s="27"/>
      <c r="M52" s="27"/>
      <c r="N52" s="27"/>
      <c r="O52" s="27"/>
      <c r="P52" s="53" t="s">
        <v>123</v>
      </c>
      <c r="W52" s="51"/>
      <c r="X52" s="52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ht="13.5" customHeight="1">
      <c r="A53" s="57" t="str">
        <f>AE43</f>
        <v>David Camilleri / Daphne Vella</v>
      </c>
      <c r="B53" s="43">
        <v>6.0</v>
      </c>
      <c r="C53" s="58">
        <f>IF(B53&gt;B51,1,0)</f>
        <v>1</v>
      </c>
      <c r="D53" s="59"/>
      <c r="E53" s="43">
        <v>6.0</v>
      </c>
      <c r="F53" s="58">
        <f>IF(E53&gt;E51,1,0)</f>
        <v>1</v>
      </c>
      <c r="G53" s="59"/>
      <c r="H53" s="46"/>
      <c r="I53" s="27">
        <f>IF(H53&gt;H51,1,0)</f>
        <v>0</v>
      </c>
      <c r="J53" s="27">
        <f>IF(B53="",0,1)</f>
        <v>1</v>
      </c>
      <c r="K53" s="27">
        <f>IF(C53+F53=2,3,IF(C53+F53=1,1,0))</f>
        <v>3</v>
      </c>
      <c r="L53" s="27">
        <f>IF(K53=3,3,IF(I53+K53=2,2,IF(K53=1,1,0)))</f>
        <v>3</v>
      </c>
      <c r="M53" s="27">
        <f>B53+E53</f>
        <v>12</v>
      </c>
      <c r="N53" s="27">
        <f>C53+F53+I53</f>
        <v>2</v>
      </c>
      <c r="O53" s="27"/>
      <c r="P53" s="57" t="str">
        <f>AE41</f>
        <v>Redent Scicluna / Ceridwen Scerri</v>
      </c>
      <c r="Q53" s="43">
        <v>6.0</v>
      </c>
      <c r="R53" s="58">
        <f>IF(Q53&gt;Q51,1,0)</f>
        <v>0</v>
      </c>
      <c r="S53" s="59"/>
      <c r="T53" s="43">
        <v>6.0</v>
      </c>
      <c r="U53" s="58">
        <f>IF(T53&gt;T51,1,0)</f>
        <v>1</v>
      </c>
      <c r="V53" s="59"/>
      <c r="W53" s="43">
        <v>10.0</v>
      </c>
      <c r="X53" s="27">
        <f>IF(W53&gt;W51,1,0)</f>
        <v>1</v>
      </c>
      <c r="Y53" s="27">
        <f>IF(Q53="",0,1)</f>
        <v>1</v>
      </c>
      <c r="Z53" s="27">
        <f>IF(R53+U53=2,3,IF(R53+U53=1,1,0))</f>
        <v>1</v>
      </c>
      <c r="AA53" s="27">
        <f>IF(Z53=3,3,IF(X53+Z53=2,2,IF(Z53=1,1,0)))</f>
        <v>2</v>
      </c>
      <c r="AB53" s="27">
        <f>Q53+T53</f>
        <v>12</v>
      </c>
      <c r="AC53" s="27">
        <f>R53+U53+X53</f>
        <v>2</v>
      </c>
      <c r="AD53" s="27"/>
      <c r="AE53" s="27"/>
      <c r="AF53" s="27"/>
      <c r="AG53" s="27"/>
      <c r="AH53" s="27"/>
      <c r="AI53" s="27"/>
      <c r="AJ53" s="27"/>
      <c r="AK53" s="27"/>
      <c r="AL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33"/>
      <c r="AI54" s="27"/>
      <c r="AJ54" s="27"/>
      <c r="AK54" s="27"/>
      <c r="AL54" s="27"/>
    </row>
    <row r="55" ht="13.5" customHeight="1">
      <c r="A55" s="27"/>
      <c r="B55" s="33"/>
      <c r="C55" s="27"/>
      <c r="D55" s="33"/>
      <c r="E55" s="33"/>
      <c r="F55" s="27"/>
      <c r="G55" s="33"/>
      <c r="H55" s="33"/>
      <c r="I55" s="27"/>
      <c r="J55" s="27"/>
      <c r="K55" s="27"/>
      <c r="L55" s="27"/>
      <c r="M55" s="27"/>
      <c r="N55" s="27"/>
      <c r="O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ht="13.5" customHeight="1">
      <c r="A56" s="27"/>
      <c r="I56" s="52"/>
      <c r="J56" s="27"/>
      <c r="K56" s="27"/>
      <c r="L56" s="27"/>
      <c r="M56" s="27"/>
      <c r="N56" s="27"/>
      <c r="O56" s="27"/>
      <c r="AD56" s="27"/>
      <c r="AE56" s="27"/>
      <c r="AF56" s="27"/>
      <c r="AG56" s="27"/>
      <c r="AH56" s="27"/>
      <c r="AI56" s="27"/>
      <c r="AJ56" s="27"/>
      <c r="AK56" s="66"/>
      <c r="AL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106" t="s">
        <v>142</v>
      </c>
      <c r="Q58" s="30"/>
      <c r="R58" s="30"/>
      <c r="S58" s="30"/>
      <c r="T58" s="30"/>
      <c r="U58" s="30"/>
      <c r="V58" s="30"/>
      <c r="W58" s="10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ht="30.0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108" t="s">
        <v>101</v>
      </c>
      <c r="Q60" s="106" t="s">
        <v>102</v>
      </c>
      <c r="R60" s="30"/>
      <c r="S60" s="30"/>
      <c r="T60" s="8"/>
      <c r="U60" s="109"/>
      <c r="V60" s="32"/>
      <c r="W60" s="108" t="s">
        <v>103</v>
      </c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ht="15.75" hidden="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35" t="s">
        <v>109</v>
      </c>
      <c r="R61" s="35" t="s">
        <v>110</v>
      </c>
      <c r="S61" s="35"/>
      <c r="T61" s="35" t="s">
        <v>109</v>
      </c>
      <c r="U61" s="35" t="s">
        <v>111</v>
      </c>
      <c r="V61" s="35"/>
      <c r="W61" s="35" t="s">
        <v>109</v>
      </c>
      <c r="X61" s="35" t="s">
        <v>112</v>
      </c>
      <c r="Y61" s="35" t="s">
        <v>113</v>
      </c>
      <c r="Z61" s="35" t="s">
        <v>114</v>
      </c>
      <c r="AA61" s="35" t="s">
        <v>115</v>
      </c>
      <c r="AB61" s="35" t="s">
        <v>116</v>
      </c>
      <c r="AC61" s="35" t="s">
        <v>117</v>
      </c>
      <c r="AD61" s="27"/>
      <c r="AE61" s="27"/>
      <c r="AF61" s="27"/>
      <c r="AG61" s="27"/>
      <c r="AH61" s="27"/>
      <c r="AI61" s="27"/>
      <c r="AJ61" s="27"/>
      <c r="AK61" s="27"/>
      <c r="AL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42" t="str">
        <f>AE20</f>
        <v>Daye Scicluna/Alida Borg</v>
      </c>
      <c r="Q62" s="43">
        <v>7.0</v>
      </c>
      <c r="R62" s="44">
        <f>IF(Q62&gt;Q64,1,0)</f>
        <v>1</v>
      </c>
      <c r="S62" s="45"/>
      <c r="T62" s="43">
        <v>3.0</v>
      </c>
      <c r="U62" s="44">
        <f>IF(T62&gt;T64,1,0)</f>
        <v>0</v>
      </c>
      <c r="V62" s="45"/>
      <c r="W62" s="43">
        <v>7.0</v>
      </c>
      <c r="X62" s="27">
        <f>IF(W62&gt;W64,1,0)</f>
        <v>0</v>
      </c>
      <c r="Y62" s="27">
        <f>IF(Q62="",0,1)</f>
        <v>1</v>
      </c>
      <c r="Z62" s="27">
        <f>IF(R62+U62=2,3,IF(R62+U62=1,1,0))</f>
        <v>1</v>
      </c>
      <c r="AA62" s="27">
        <f>IF(Z62=3,3,IF(X62+Z62=2,2,IF(Z62=1,1,0)))</f>
        <v>1</v>
      </c>
      <c r="AB62" s="27">
        <f>Q62+T62</f>
        <v>10</v>
      </c>
      <c r="AC62" s="27">
        <f>R62+U62+X62</f>
        <v>1</v>
      </c>
      <c r="AD62" s="27"/>
      <c r="AE62" s="27"/>
      <c r="AF62" s="27"/>
      <c r="AG62" s="27"/>
      <c r="AH62" s="27"/>
      <c r="AI62" s="27"/>
      <c r="AJ62" s="27"/>
      <c r="AK62" s="27"/>
      <c r="AL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53" t="s">
        <v>123</v>
      </c>
      <c r="W63" s="51"/>
      <c r="X63" s="52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57" t="str">
        <f>AE46</f>
        <v>Cory Greenland/Sabrina Xuereb</v>
      </c>
      <c r="Q64" s="43">
        <v>6.0</v>
      </c>
      <c r="R64" s="58">
        <f>IF(Q64&gt;Q62,1,0)</f>
        <v>0</v>
      </c>
      <c r="S64" s="59"/>
      <c r="T64" s="43">
        <v>6.0</v>
      </c>
      <c r="U64" s="58">
        <f>IF(T64&gt;T62,1,0)</f>
        <v>1</v>
      </c>
      <c r="V64" s="59"/>
      <c r="W64" s="43">
        <v>10.0</v>
      </c>
      <c r="X64" s="27">
        <f>IF(W64&gt;W62,1,0)</f>
        <v>1</v>
      </c>
      <c r="Y64" s="27">
        <f>IF(Q64="",0,1)</f>
        <v>1</v>
      </c>
      <c r="Z64" s="27">
        <f>IF(R64+U64=2,3,IF(R64+U64=1,1,0))</f>
        <v>1</v>
      </c>
      <c r="AA64" s="27">
        <f>IF(Z64=3,3,IF(X64+Z64=2,2,IF(Z64=1,1,0)))</f>
        <v>2</v>
      </c>
      <c r="AB64" s="27">
        <f>Q64+T64</f>
        <v>12</v>
      </c>
      <c r="AC64" s="27">
        <f>R64+U64+X64</f>
        <v>2</v>
      </c>
      <c r="AD64" s="27"/>
      <c r="AE64" s="27"/>
      <c r="AF64" s="27"/>
      <c r="AG64" s="27"/>
      <c r="AH64" s="27"/>
      <c r="AI64" s="27"/>
      <c r="AJ64" s="27"/>
      <c r="AK64" s="27"/>
      <c r="AL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106" t="s">
        <v>125</v>
      </c>
      <c r="Q66" s="30"/>
      <c r="R66" s="30"/>
      <c r="S66" s="30"/>
      <c r="T66" s="30"/>
      <c r="U66" s="30"/>
      <c r="V66" s="30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110" t="str">
        <f>IF(AA62&gt;AA64,P62,P64)</f>
        <v>Cory Greenland/Sabrina Xuereb</v>
      </c>
      <c r="Q67" s="111"/>
      <c r="R67" s="111"/>
      <c r="S67" s="111"/>
      <c r="T67" s="111"/>
      <c r="U67" s="111"/>
      <c r="V67" s="111"/>
      <c r="W67" s="112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106" t="s">
        <v>127</v>
      </c>
      <c r="Q70" s="30"/>
      <c r="R70" s="30"/>
      <c r="S70" s="30"/>
      <c r="T70" s="30"/>
      <c r="U70" s="30"/>
      <c r="V70" s="30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110" t="str">
        <f>IF(AA62&lt;AA64,P62,P64)</f>
        <v>Daye Scicluna/Alida Borg</v>
      </c>
      <c r="Q71" s="111"/>
      <c r="R71" s="111"/>
      <c r="S71" s="111"/>
      <c r="T71" s="111"/>
      <c r="U71" s="111"/>
      <c r="V71" s="111"/>
      <c r="W71" s="112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33"/>
      <c r="R87" s="33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A22:H22"/>
    <mergeCell ref="P22:W22"/>
    <mergeCell ref="A26:H26"/>
    <mergeCell ref="P26:W26"/>
    <mergeCell ref="A30:H30"/>
    <mergeCell ref="P30:W30"/>
    <mergeCell ref="A31:AI31"/>
    <mergeCell ref="B33:E33"/>
    <mergeCell ref="Q33:T33"/>
    <mergeCell ref="A36:H36"/>
    <mergeCell ref="P36:W36"/>
    <mergeCell ref="A40:H40"/>
    <mergeCell ref="P40:W40"/>
    <mergeCell ref="P44:W44"/>
    <mergeCell ref="AE45:AI45"/>
    <mergeCell ref="AE46:AI46"/>
    <mergeCell ref="P48:W48"/>
    <mergeCell ref="P63:W63"/>
    <mergeCell ref="P66:W66"/>
    <mergeCell ref="P67:W67"/>
    <mergeCell ref="P70:W70"/>
    <mergeCell ref="P71:W71"/>
    <mergeCell ref="A44:H44"/>
    <mergeCell ref="A48:H48"/>
    <mergeCell ref="A52:H52"/>
    <mergeCell ref="P52:W52"/>
    <mergeCell ref="A56:H56"/>
    <mergeCell ref="P58:W58"/>
    <mergeCell ref="Q60:T60"/>
  </mergeCells>
  <printOptions/>
  <pageMargins bottom="0.75" footer="0.0" header="0.0" left="0.25" right="0.25" top="0.75"/>
  <pageSetup paperSize="9" scale="62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5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2" width="7.38"/>
    <col customWidth="1" hidden="1" min="13" max="13" width="8.0"/>
    <col customWidth="1" hidden="1" min="14" max="14" width="6.13"/>
    <col customWidth="1" min="15" max="15" width="5.5"/>
    <col customWidth="1" min="16" max="16" width="51.1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6.88"/>
    <col customWidth="1" hidden="1" min="28" max="28" width="8.0"/>
    <col customWidth="1" hidden="1" min="29" max="29" width="6.13"/>
    <col customWidth="1" min="30" max="30" width="5.63"/>
    <col customWidth="1" min="31" max="31" width="51.38"/>
    <col customWidth="1" min="32" max="32" width="11.38"/>
    <col customWidth="1" min="33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113" t="s">
        <v>88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>
      <c r="A7" s="114" t="s">
        <v>101</v>
      </c>
      <c r="B7" s="115" t="s">
        <v>102</v>
      </c>
      <c r="C7" s="30"/>
      <c r="D7" s="30"/>
      <c r="E7" s="8"/>
      <c r="F7" s="116"/>
      <c r="G7" s="32"/>
      <c r="H7" s="114" t="s">
        <v>103</v>
      </c>
      <c r="I7" s="27"/>
      <c r="J7" s="27"/>
      <c r="K7" s="27"/>
      <c r="L7" s="27"/>
      <c r="M7" s="33"/>
      <c r="N7" s="33"/>
      <c r="O7" s="27"/>
      <c r="P7" s="114" t="s">
        <v>101</v>
      </c>
      <c r="Q7" s="115" t="s">
        <v>102</v>
      </c>
      <c r="R7" s="30"/>
      <c r="S7" s="30"/>
      <c r="T7" s="8"/>
      <c r="U7" s="116"/>
      <c r="V7" s="32"/>
      <c r="W7" s="114" t="s">
        <v>103</v>
      </c>
      <c r="X7" s="27"/>
      <c r="Y7" s="33"/>
      <c r="Z7" s="33"/>
      <c r="AA7" s="33"/>
      <c r="AB7" s="33"/>
      <c r="AC7" s="33"/>
      <c r="AD7" s="27"/>
      <c r="AE7" s="114" t="s">
        <v>104</v>
      </c>
      <c r="AF7" s="114" t="s">
        <v>105</v>
      </c>
      <c r="AG7" s="114" t="s">
        <v>106</v>
      </c>
      <c r="AH7" s="114" t="s">
        <v>107</v>
      </c>
      <c r="AI7" s="114" t="s">
        <v>108</v>
      </c>
      <c r="AJ7" s="33"/>
      <c r="AK7" s="33"/>
      <c r="AL7" s="33"/>
      <c r="AM7" s="27"/>
      <c r="AN7" s="27"/>
    </row>
    <row r="8" hidden="1">
      <c r="A8" s="27"/>
      <c r="B8" s="35" t="s">
        <v>109</v>
      </c>
      <c r="C8" s="35" t="s">
        <v>110</v>
      </c>
      <c r="D8" s="35"/>
      <c r="E8" s="35" t="s">
        <v>109</v>
      </c>
      <c r="F8" s="35" t="s">
        <v>111</v>
      </c>
      <c r="G8" s="35"/>
      <c r="H8" s="35" t="s">
        <v>109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 t="s">
        <v>117</v>
      </c>
      <c r="O8" s="27"/>
      <c r="P8" s="27"/>
      <c r="Q8" s="35" t="s">
        <v>109</v>
      </c>
      <c r="R8" s="35" t="s">
        <v>110</v>
      </c>
      <c r="S8" s="35"/>
      <c r="T8" s="35" t="s">
        <v>109</v>
      </c>
      <c r="U8" s="35" t="s">
        <v>111</v>
      </c>
      <c r="V8" s="35"/>
      <c r="W8" s="35" t="s">
        <v>109</v>
      </c>
      <c r="X8" s="35" t="s">
        <v>112</v>
      </c>
      <c r="Y8" s="35" t="s">
        <v>113</v>
      </c>
      <c r="Z8" s="35" t="s">
        <v>114</v>
      </c>
      <c r="AA8" s="35" t="s">
        <v>115</v>
      </c>
      <c r="AB8" s="35" t="s">
        <v>116</v>
      </c>
      <c r="AC8" s="35" t="s">
        <v>117</v>
      </c>
      <c r="AD8" s="27"/>
      <c r="AE8" s="33"/>
      <c r="AF8" s="33"/>
      <c r="AG8" s="33"/>
      <c r="AH8" s="33"/>
      <c r="AI8" s="33"/>
      <c r="AJ8" s="35" t="s">
        <v>118</v>
      </c>
      <c r="AK8" s="35" t="s">
        <v>119</v>
      </c>
      <c r="AL8" s="36" t="s">
        <v>120</v>
      </c>
      <c r="AM8" s="37" t="s">
        <v>121</v>
      </c>
      <c r="AN8" s="37" t="s">
        <v>122</v>
      </c>
    </row>
    <row r="9" ht="13.5" customHeight="1">
      <c r="A9" s="42" t="str">
        <f>AE9</f>
        <v>Michael Bugeja / Francesca Mamo</v>
      </c>
      <c r="B9" s="43">
        <v>6.0</v>
      </c>
      <c r="C9" s="44">
        <f>IF(B9&gt;B11,1,0)</f>
        <v>1</v>
      </c>
      <c r="D9" s="45"/>
      <c r="E9" s="43">
        <v>2.0</v>
      </c>
      <c r="F9" s="44">
        <f>IF(E9&gt;E11,1,0)</f>
        <v>0</v>
      </c>
      <c r="G9" s="45"/>
      <c r="H9" s="43">
        <v>10.0</v>
      </c>
      <c r="I9" s="27">
        <f>IF(H9&gt;H11,1,0)</f>
        <v>1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2</v>
      </c>
      <c r="M9" s="27">
        <f>B9+E9</f>
        <v>8</v>
      </c>
      <c r="N9" s="27">
        <f>C9+F9+I9</f>
        <v>2</v>
      </c>
      <c r="O9" s="27"/>
      <c r="P9" s="42" t="str">
        <f>AE9</f>
        <v>Michael Bugeja / Francesca Mamo</v>
      </c>
      <c r="Q9" s="43">
        <v>0.0</v>
      </c>
      <c r="R9" s="44">
        <f>IF(Q9&gt;Q11,1,0)</f>
        <v>0</v>
      </c>
      <c r="S9" s="45"/>
      <c r="T9" s="43">
        <v>0.0</v>
      </c>
      <c r="U9" s="44">
        <f>IF(T9&gt;T11,1,0)</f>
        <v>0</v>
      </c>
      <c r="V9" s="45"/>
      <c r="W9" s="46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0</v>
      </c>
      <c r="AC9" s="27">
        <f>R9+U9+X9</f>
        <v>0</v>
      </c>
      <c r="AD9" s="27"/>
      <c r="AE9" s="117" t="str">
        <f>Players!B53&amp; " / " &amp;Players!C53</f>
        <v>Michael Bugeja / Francesca Mamo</v>
      </c>
      <c r="AF9" s="48">
        <f>J9+J13+Y9+J17+Y29</f>
        <v>5</v>
      </c>
      <c r="AG9" s="48">
        <f t="shared" ref="AG9:AI9" si="1">L9+L13+AA9+L17+AA29</f>
        <v>5</v>
      </c>
      <c r="AH9" s="48">
        <f t="shared" si="1"/>
        <v>31</v>
      </c>
      <c r="AI9" s="48">
        <f t="shared" si="1"/>
        <v>4</v>
      </c>
      <c r="AJ9" s="27"/>
      <c r="AK9" s="27"/>
      <c r="AL9" s="27"/>
      <c r="AM9" s="27"/>
      <c r="AN9" s="27"/>
    </row>
    <row r="10" ht="13.5" customHeight="1">
      <c r="A10" s="53" t="s">
        <v>123</v>
      </c>
      <c r="H10" s="51"/>
      <c r="I10" s="52"/>
      <c r="J10" s="27"/>
      <c r="K10" s="27"/>
      <c r="L10" s="27"/>
      <c r="M10" s="27"/>
      <c r="N10" s="27"/>
      <c r="O10" s="27"/>
      <c r="P10" s="53" t="s">
        <v>123</v>
      </c>
      <c r="W10" s="51"/>
      <c r="X10" s="52"/>
      <c r="Y10" s="27"/>
      <c r="Z10" s="27"/>
      <c r="AA10" s="27"/>
      <c r="AB10" s="27"/>
      <c r="AC10" s="27"/>
      <c r="AD10" s="63" t="s">
        <v>143</v>
      </c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3.5" customHeight="1">
      <c r="A11" s="57" t="str">
        <f>AE11</f>
        <v>Kevin Sciberras  / Sharleen Sciberras</v>
      </c>
      <c r="B11" s="43">
        <v>4.0</v>
      </c>
      <c r="C11" s="58">
        <f>IF(B11&gt;B9,1,0)</f>
        <v>0</v>
      </c>
      <c r="D11" s="59"/>
      <c r="E11" s="43">
        <v>6.0</v>
      </c>
      <c r="F11" s="58">
        <f>IF(E11&gt;E9,1,0)</f>
        <v>1</v>
      </c>
      <c r="G11" s="59"/>
      <c r="H11" s="43">
        <v>5.0</v>
      </c>
      <c r="I11" s="27">
        <f>IF(H11&gt;H9,1,0)</f>
        <v>0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1</v>
      </c>
      <c r="M11" s="27">
        <f>B11+E11</f>
        <v>10</v>
      </c>
      <c r="N11" s="27">
        <f>C11+F11+I11</f>
        <v>1</v>
      </c>
      <c r="O11" s="27"/>
      <c r="P11" s="57" t="str">
        <f>AE17</f>
        <v>Jurgen Farrugia / Abigail Farrugia</v>
      </c>
      <c r="Q11" s="43">
        <v>6.0</v>
      </c>
      <c r="R11" s="58">
        <f>IF(Q11&gt;Q9,1,0)</f>
        <v>1</v>
      </c>
      <c r="S11" s="59"/>
      <c r="T11" s="43">
        <v>0.0</v>
      </c>
      <c r="U11" s="58">
        <f>IF(T11&gt;T9,1,0)</f>
        <v>0</v>
      </c>
      <c r="V11" s="59"/>
      <c r="W11" s="46"/>
      <c r="X11" s="27">
        <f>IF(W11&gt;W9,1,0)</f>
        <v>0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1</v>
      </c>
      <c r="AB11" s="27">
        <f>Q11+T11</f>
        <v>6</v>
      </c>
      <c r="AC11" s="27">
        <f>R11+U11+X11</f>
        <v>1</v>
      </c>
      <c r="AD11" s="27"/>
      <c r="AE11" s="117" t="str">
        <f>Players!B54&amp; " / " &amp;Players!C54</f>
        <v>Kevin Sciberras  / Sharleen Sciberras</v>
      </c>
      <c r="AF11" s="48">
        <f>J11+J21+J25+Y25+Y21</f>
        <v>5</v>
      </c>
      <c r="AG11" s="48">
        <f t="shared" ref="AG11:AI11" si="2">L11+L21+L25+AA21+AA25</f>
        <v>4</v>
      </c>
      <c r="AH11" s="48">
        <f t="shared" si="2"/>
        <v>39</v>
      </c>
      <c r="AI11" s="48">
        <f t="shared" si="2"/>
        <v>3</v>
      </c>
      <c r="AJ11" s="33"/>
      <c r="AK11" s="33"/>
      <c r="AL11" s="33"/>
      <c r="AM11" s="27"/>
      <c r="AN11" s="27"/>
    </row>
    <row r="12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3.5" customHeight="1">
      <c r="A13" s="42" t="str">
        <f>AE9</f>
        <v>Michael Bugeja / Francesca Mamo</v>
      </c>
      <c r="B13" s="43">
        <v>5.0</v>
      </c>
      <c r="C13" s="44">
        <f>IF(B13&gt;B15,1,0)</f>
        <v>0</v>
      </c>
      <c r="D13" s="45"/>
      <c r="E13" s="43">
        <v>3.0</v>
      </c>
      <c r="F13" s="44">
        <f>IF(E13&gt;E15,1,0)</f>
        <v>0</v>
      </c>
      <c r="G13" s="45"/>
      <c r="H13" s="46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8</v>
      </c>
      <c r="N13" s="27">
        <f>C13+F13+I13</f>
        <v>0</v>
      </c>
      <c r="O13" s="27"/>
      <c r="P13" s="42" t="str">
        <f>AE15</f>
        <v>Liam Vella / Martina Murdocco</v>
      </c>
      <c r="Q13" s="43">
        <v>7.0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13</v>
      </c>
      <c r="AC13" s="27">
        <f>R13+U13+X13</f>
        <v>2</v>
      </c>
      <c r="AD13" s="27"/>
      <c r="AE13" s="117" t="str">
        <f>Players!B55&amp; " / " &amp;Players!C55</f>
        <v>Clayton Saliba Hersey / Frances Saliba Hersey</v>
      </c>
      <c r="AF13" s="48">
        <f>J23+J34+J38+J44+Y31</f>
        <v>5</v>
      </c>
      <c r="AG13" s="48">
        <f>L23+L34+L38+L44+AA31</f>
        <v>3</v>
      </c>
      <c r="AH13" s="48">
        <f>M34+M23+M44+M38+AB31</f>
        <v>28</v>
      </c>
      <c r="AI13" s="48">
        <f>N23+N34+N38+N44+AC31</f>
        <v>2</v>
      </c>
      <c r="AJ13" s="33"/>
      <c r="AK13" s="33"/>
      <c r="AL13" s="33"/>
      <c r="AM13" s="27"/>
      <c r="AN13" s="27"/>
    </row>
    <row r="14" ht="13.5" customHeight="1">
      <c r="A14" s="53" t="s">
        <v>123</v>
      </c>
      <c r="H14" s="51"/>
      <c r="I14" s="52"/>
      <c r="J14" s="27"/>
      <c r="K14" s="27"/>
      <c r="L14" s="27"/>
      <c r="M14" s="27"/>
      <c r="N14" s="27"/>
      <c r="O14" s="27"/>
      <c r="P14" s="53" t="s">
        <v>123</v>
      </c>
      <c r="W14" s="51"/>
      <c r="X14" s="52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3.5" customHeight="1">
      <c r="A15" s="57" t="str">
        <f>AE15</f>
        <v>Liam Vella / Martina Murdocco</v>
      </c>
      <c r="B15" s="43">
        <v>7.0</v>
      </c>
      <c r="C15" s="58">
        <f>IF(B15&gt;B13,1,0)</f>
        <v>1</v>
      </c>
      <c r="D15" s="59"/>
      <c r="E15" s="43">
        <v>6.0</v>
      </c>
      <c r="F15" s="58">
        <f>IF(E15&gt;E13,1,0)</f>
        <v>1</v>
      </c>
      <c r="G15" s="59"/>
      <c r="H15" s="46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13</v>
      </c>
      <c r="N15" s="27">
        <f>C15+F15+I15</f>
        <v>2</v>
      </c>
      <c r="O15" s="27"/>
      <c r="P15" s="57" t="str">
        <f>AE17</f>
        <v>Jurgen Farrugia / Abigail Farrugia</v>
      </c>
      <c r="Q15" s="43">
        <v>6.0</v>
      </c>
      <c r="R15" s="58">
        <f>IF(Q15&gt;Q13,1,0)</f>
        <v>0</v>
      </c>
      <c r="S15" s="59"/>
      <c r="T15" s="43">
        <v>2.0</v>
      </c>
      <c r="U15" s="58">
        <f>IF(T15&gt;T13,1,0)</f>
        <v>0</v>
      </c>
      <c r="V15" s="59"/>
      <c r="W15" s="46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8</v>
      </c>
      <c r="AC15" s="27">
        <f>R15+U15+X15</f>
        <v>0</v>
      </c>
      <c r="AD15" s="27"/>
      <c r="AE15" s="117" t="str">
        <f>Players!B56&amp; " / " &amp;Players!C56</f>
        <v>Liam Vella / Martina Murdocco</v>
      </c>
      <c r="AF15" s="48">
        <f>J15+J29+J42+Y13+Y23</f>
        <v>5</v>
      </c>
      <c r="AG15" s="48">
        <f t="shared" ref="AG15:AI15" si="3">L15+L29+L42+AA13+AA23</f>
        <v>13</v>
      </c>
      <c r="AH15" s="48">
        <f t="shared" si="3"/>
        <v>59</v>
      </c>
      <c r="AI15" s="48">
        <f t="shared" si="3"/>
        <v>9</v>
      </c>
      <c r="AJ15" s="33"/>
      <c r="AK15" s="33"/>
      <c r="AL15" s="33"/>
      <c r="AM15" s="27"/>
      <c r="AN15" s="27"/>
    </row>
    <row r="16" ht="13.5" customHeight="1">
      <c r="A16" s="27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3"/>
      <c r="AG16" s="33"/>
      <c r="AH16" s="33"/>
      <c r="AI16" s="33"/>
      <c r="AJ16" s="33"/>
      <c r="AK16" s="33"/>
      <c r="AL16" s="33"/>
      <c r="AM16" s="27"/>
      <c r="AN16" s="27"/>
    </row>
    <row r="17" ht="13.5" customHeight="1">
      <c r="A17" s="42" t="str">
        <f>AE9</f>
        <v>Michael Bugeja / Francesca Mamo</v>
      </c>
      <c r="B17" s="43">
        <v>3.0</v>
      </c>
      <c r="C17" s="44">
        <f>IF(B17&gt;B19,1,0)</f>
        <v>0</v>
      </c>
      <c r="D17" s="45"/>
      <c r="E17" s="43">
        <v>0.0</v>
      </c>
      <c r="F17" s="44">
        <f>IF(E17&gt;E19,1,0)</f>
        <v>0</v>
      </c>
      <c r="G17" s="45"/>
      <c r="H17" s="46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3</v>
      </c>
      <c r="N17" s="27">
        <f>C17+F17+I17</f>
        <v>0</v>
      </c>
      <c r="O17" s="27"/>
      <c r="P17" s="42" t="str">
        <f>AE17</f>
        <v>Jurgen Farrugia / Abigail Farrugia</v>
      </c>
      <c r="Q17" s="43">
        <v>1.0</v>
      </c>
      <c r="R17" s="44">
        <f>IF(Q17&gt;Q19,1,0)</f>
        <v>0</v>
      </c>
      <c r="S17" s="45"/>
      <c r="T17" s="43">
        <v>3.0</v>
      </c>
      <c r="U17" s="44">
        <f>IF(T17&gt;T19,1,0)</f>
        <v>0</v>
      </c>
      <c r="V17" s="45"/>
      <c r="W17" s="46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4</v>
      </c>
      <c r="AC17" s="27">
        <f>R17+U17+X17</f>
        <v>0</v>
      </c>
      <c r="AD17" s="27"/>
      <c r="AE17" s="117" t="str">
        <f>Players!B57&amp; " / " &amp;Players!C57</f>
        <v>Jurgen Farrugia / Abigail Farrugia</v>
      </c>
      <c r="AF17" s="48">
        <f>J27+J36+Y11+Y15+Y17</f>
        <v>5</v>
      </c>
      <c r="AG17" s="48">
        <f t="shared" ref="AG17:AI17" si="4">L27+L36+AA11+AA15+AA17</f>
        <v>4</v>
      </c>
      <c r="AH17" s="48">
        <f t="shared" si="4"/>
        <v>34</v>
      </c>
      <c r="AI17" s="48">
        <f t="shared" si="4"/>
        <v>3</v>
      </c>
      <c r="AJ17" s="33"/>
      <c r="AK17" s="33"/>
      <c r="AL17" s="33"/>
      <c r="AM17" s="27"/>
      <c r="AN17" s="27"/>
    </row>
    <row r="18" ht="13.5" customHeight="1">
      <c r="A18" s="53" t="s">
        <v>123</v>
      </c>
      <c r="H18" s="51"/>
      <c r="I18" s="52"/>
      <c r="J18" s="27"/>
      <c r="K18" s="27"/>
      <c r="L18" s="27"/>
      <c r="M18" s="27"/>
      <c r="N18" s="27"/>
      <c r="O18" s="27"/>
      <c r="P18" s="53" t="s">
        <v>123</v>
      </c>
      <c r="W18" s="51"/>
      <c r="X18" s="52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  <c r="AJ18" s="33"/>
      <c r="AK18" s="33"/>
      <c r="AL18" s="33"/>
      <c r="AM18" s="27"/>
      <c r="AN18" s="27"/>
    </row>
    <row r="19" ht="13.5" customHeight="1">
      <c r="A19" s="57" t="str">
        <f>AE19</f>
        <v>Gabriel Gauci / Tiffany Fenech</v>
      </c>
      <c r="B19" s="43">
        <v>6.0</v>
      </c>
      <c r="C19" s="58">
        <f>IF(B19&gt;B17,1,0)</f>
        <v>1</v>
      </c>
      <c r="D19" s="59"/>
      <c r="E19" s="43">
        <v>6.0</v>
      </c>
      <c r="F19" s="58">
        <f>IF(E19&gt;E17,1,0)</f>
        <v>1</v>
      </c>
      <c r="G19" s="59"/>
      <c r="H19" s="46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7" t="str">
        <f>AE19</f>
        <v>Gabriel Gauci / Tiffany Fenech</v>
      </c>
      <c r="Q19" s="43">
        <v>6.0</v>
      </c>
      <c r="R19" s="58">
        <f>IF(Q19&gt;Q17,1,0)</f>
        <v>1</v>
      </c>
      <c r="S19" s="59"/>
      <c r="T19" s="43">
        <v>6.0</v>
      </c>
      <c r="U19" s="58">
        <f>IF(T19&gt;T17,1,0)</f>
        <v>1</v>
      </c>
      <c r="V19" s="59"/>
      <c r="W19" s="46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117" t="str">
        <f>Players!B58&amp; " / " &amp;Players!C58</f>
        <v>Gabriel Gauci / Tiffany Fenech</v>
      </c>
      <c r="AF19" s="48">
        <f>J19+J31+J40+Y19+Y27</f>
        <v>5</v>
      </c>
      <c r="AG19" s="48">
        <f t="shared" ref="AG19:AI19" si="5">L19+L31+L40+AA19+AA27</f>
        <v>14</v>
      </c>
      <c r="AH19" s="48">
        <f t="shared" si="5"/>
        <v>61</v>
      </c>
      <c r="AI19" s="48">
        <f t="shared" si="5"/>
        <v>10</v>
      </c>
      <c r="AJ19" s="27"/>
      <c r="AK19" s="33"/>
      <c r="AL19" s="33"/>
      <c r="AM19" s="27"/>
      <c r="AN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3"/>
      <c r="AL20" s="27"/>
      <c r="AM20" s="27"/>
      <c r="AN20" s="27"/>
    </row>
    <row r="21" ht="13.5" customHeight="1">
      <c r="A21" s="42" t="str">
        <f>AE11</f>
        <v>Kevin Sciberras  / Sharleen Sciberras</v>
      </c>
      <c r="B21" s="43">
        <v>3.0</v>
      </c>
      <c r="C21" s="44">
        <f>IF(B21&gt;B23,1,0)</f>
        <v>0</v>
      </c>
      <c r="D21" s="45"/>
      <c r="E21" s="43">
        <v>2.0</v>
      </c>
      <c r="F21" s="44">
        <f>IF(E21&gt;E23,1,0)</f>
        <v>0</v>
      </c>
      <c r="G21" s="45"/>
      <c r="H21" s="46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5</v>
      </c>
      <c r="N21" s="27">
        <f>C21+F21+I21</f>
        <v>0</v>
      </c>
      <c r="O21" s="27"/>
      <c r="P21" s="42" t="str">
        <f>AE11</f>
        <v>Kevin Sciberras  / Sharleen Sciberras</v>
      </c>
      <c r="Q21" s="43">
        <v>1.0</v>
      </c>
      <c r="R21" s="44">
        <f>IF(Q21&gt;Q23,1,0)</f>
        <v>0</v>
      </c>
      <c r="S21" s="45"/>
      <c r="T21" s="43">
        <v>3.0</v>
      </c>
      <c r="U21" s="44">
        <f>IF(T21&gt;T23,1,0)</f>
        <v>0</v>
      </c>
      <c r="V21" s="45"/>
      <c r="W21" s="46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4</v>
      </c>
      <c r="AC21" s="27">
        <f>R21+U21+X21</f>
        <v>0</v>
      </c>
      <c r="AD21" s="27"/>
      <c r="AE21" s="115" t="s">
        <v>125</v>
      </c>
      <c r="AF21" s="30"/>
      <c r="AG21" s="30"/>
      <c r="AH21" s="30"/>
      <c r="AI21" s="8"/>
      <c r="AJ21" s="27"/>
      <c r="AK21" s="27"/>
      <c r="AL21" s="27"/>
      <c r="AM21" s="27"/>
      <c r="AN21" s="27"/>
    </row>
    <row r="22" ht="13.5" customHeight="1">
      <c r="A22" s="53" t="s">
        <v>123</v>
      </c>
      <c r="H22" s="51"/>
      <c r="I22" s="52"/>
      <c r="J22" s="27"/>
      <c r="K22" s="27"/>
      <c r="L22" s="27"/>
      <c r="M22" s="27"/>
      <c r="N22" s="27"/>
      <c r="O22" s="27"/>
      <c r="P22" s="53" t="s">
        <v>123</v>
      </c>
      <c r="W22" s="51"/>
      <c r="X22" s="52"/>
      <c r="Y22" s="27"/>
      <c r="Z22" s="27"/>
      <c r="AA22" s="27"/>
      <c r="AB22" s="27"/>
      <c r="AC22" s="27"/>
      <c r="AD22" s="27"/>
      <c r="AE22" s="65" t="s">
        <v>144</v>
      </c>
      <c r="AF22" s="30"/>
      <c r="AG22" s="30"/>
      <c r="AH22" s="30"/>
      <c r="AI22" s="8"/>
      <c r="AJ22" s="27"/>
      <c r="AK22" s="33"/>
      <c r="AL22" s="27"/>
      <c r="AM22" s="27"/>
      <c r="AN22" s="27"/>
    </row>
    <row r="23" ht="13.5" customHeight="1">
      <c r="A23" s="57" t="str">
        <f>AE13</f>
        <v>Clayton Saliba Hersey / Frances Saliba Hersey</v>
      </c>
      <c r="B23" s="43">
        <v>6.0</v>
      </c>
      <c r="C23" s="58">
        <f>IF(B23&gt;B21,1,0)</f>
        <v>1</v>
      </c>
      <c r="D23" s="59"/>
      <c r="E23" s="43">
        <v>6.0</v>
      </c>
      <c r="F23" s="58">
        <f>IF(E23&gt;E21,1,0)</f>
        <v>1</v>
      </c>
      <c r="G23" s="59"/>
      <c r="H23" s="46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7" t="str">
        <f>AE15</f>
        <v>Liam Vella / Martina Murdocco</v>
      </c>
      <c r="Q23" s="43">
        <v>6.0</v>
      </c>
      <c r="R23" s="58">
        <f>IF(Q23&gt;Q21,1,0)</f>
        <v>1</v>
      </c>
      <c r="S23" s="59"/>
      <c r="T23" s="43">
        <v>6.0</v>
      </c>
      <c r="U23" s="58">
        <f>IF(T23&gt;T21,1,0)</f>
        <v>1</v>
      </c>
      <c r="V23" s="59"/>
      <c r="W23" s="46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3.5" customHeight="1">
      <c r="A25" s="42" t="str">
        <f>AE11</f>
        <v>Kevin Sciberras  / Sharleen Sciberras</v>
      </c>
      <c r="B25" s="43">
        <v>6.0</v>
      </c>
      <c r="C25" s="44">
        <f>IF(B25&gt;B27,1,0)</f>
        <v>1</v>
      </c>
      <c r="D25" s="45"/>
      <c r="E25" s="43">
        <v>6.0</v>
      </c>
      <c r="F25" s="44">
        <f>IF(E25&gt;E27,1,0)</f>
        <v>1</v>
      </c>
      <c r="G25" s="45"/>
      <c r="H25" s="46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12</v>
      </c>
      <c r="N25" s="27">
        <f>C25+F25+I25</f>
        <v>2</v>
      </c>
      <c r="O25" s="27"/>
      <c r="P25" s="42" t="str">
        <f>AE11</f>
        <v>Kevin Sciberras  / Sharleen Sciberras</v>
      </c>
      <c r="Q25" s="43">
        <v>5.0</v>
      </c>
      <c r="R25" s="44">
        <f>IF(Q25&gt;Q27,1,0)</f>
        <v>0</v>
      </c>
      <c r="S25" s="45"/>
      <c r="T25" s="43">
        <v>3.0</v>
      </c>
      <c r="U25" s="44">
        <f>IF(T25&gt;T27,1,0)</f>
        <v>0</v>
      </c>
      <c r="V25" s="45"/>
      <c r="W25" s="46"/>
      <c r="X25" s="27">
        <f>IF(W25&gt;W27,1,0)</f>
        <v>0</v>
      </c>
      <c r="Y25" s="27">
        <f>IF(Q25="",0,1)</f>
        <v>1</v>
      </c>
      <c r="Z25" s="27">
        <f>IF(R25+U25=2,3,IF(R25+U25=1,1,0))</f>
        <v>0</v>
      </c>
      <c r="AA25" s="27">
        <f>IF(Z25=3,3,IF(X25+Z25=2,2,IF(Z25=1,1,0)))</f>
        <v>0</v>
      </c>
      <c r="AB25" s="27">
        <f>Q25+T25</f>
        <v>8</v>
      </c>
      <c r="AC25" s="27">
        <f>R25+U25+X25</f>
        <v>0</v>
      </c>
      <c r="AD25" s="27"/>
      <c r="AE25" s="115" t="s">
        <v>127</v>
      </c>
      <c r="AF25" s="30"/>
      <c r="AG25" s="30"/>
      <c r="AH25" s="30"/>
      <c r="AI25" s="8"/>
      <c r="AJ25" s="27"/>
      <c r="AK25" s="27"/>
      <c r="AL25" s="27"/>
      <c r="AM25" s="27"/>
      <c r="AN25" s="27"/>
    </row>
    <row r="26" ht="13.5" customHeight="1">
      <c r="A26" s="53" t="s">
        <v>123</v>
      </c>
      <c r="H26" s="51"/>
      <c r="I26" s="52"/>
      <c r="J26" s="27"/>
      <c r="K26" s="27"/>
      <c r="L26" s="27"/>
      <c r="M26" s="27"/>
      <c r="N26" s="27"/>
      <c r="O26" s="27"/>
      <c r="P26" s="53" t="s">
        <v>123</v>
      </c>
      <c r="W26" s="51"/>
      <c r="X26" s="52"/>
      <c r="Y26" s="27"/>
      <c r="Z26" s="27"/>
      <c r="AA26" s="27"/>
      <c r="AB26" s="27"/>
      <c r="AC26" s="27"/>
      <c r="AD26" s="27"/>
      <c r="AE26" s="65" t="s">
        <v>145</v>
      </c>
      <c r="AF26" s="30"/>
      <c r="AG26" s="30"/>
      <c r="AH26" s="30"/>
      <c r="AI26" s="8"/>
      <c r="AJ26" s="27"/>
      <c r="AK26" s="27"/>
      <c r="AL26" s="27"/>
      <c r="AM26" s="27"/>
      <c r="AN26" s="27"/>
    </row>
    <row r="27" ht="13.5" customHeight="1">
      <c r="A27" s="57" t="str">
        <f>AE17</f>
        <v>Jurgen Farrugia / Abigail Farrugia</v>
      </c>
      <c r="B27" s="43">
        <v>0.0</v>
      </c>
      <c r="C27" s="58">
        <f>IF(B27&gt;B25,1,0)</f>
        <v>0</v>
      </c>
      <c r="D27" s="59"/>
      <c r="E27" s="43">
        <v>3.0</v>
      </c>
      <c r="F27" s="58">
        <f>IF(E27&gt;E25,1,0)</f>
        <v>0</v>
      </c>
      <c r="G27" s="59"/>
      <c r="H27" s="46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3</v>
      </c>
      <c r="N27" s="27">
        <f>C27+F27+I27</f>
        <v>0</v>
      </c>
      <c r="O27" s="27"/>
      <c r="P27" s="57" t="str">
        <f>AE19</f>
        <v>Gabriel Gauci / Tiffany Fenech</v>
      </c>
      <c r="Q27" s="43">
        <v>7.0</v>
      </c>
      <c r="R27" s="58">
        <f>IF(Q27&gt;Q25,1,0)</f>
        <v>1</v>
      </c>
      <c r="S27" s="59"/>
      <c r="T27" s="43">
        <v>6.0</v>
      </c>
      <c r="U27" s="58">
        <f>IF(T27&gt;T25,1,0)</f>
        <v>1</v>
      </c>
      <c r="V27" s="59"/>
      <c r="W27" s="46"/>
      <c r="X27" s="27">
        <f>IF(W27&gt;W25,1,0)</f>
        <v>0</v>
      </c>
      <c r="Y27" s="27">
        <f>IF(Q27="",0,1)</f>
        <v>1</v>
      </c>
      <c r="Z27" s="27">
        <f>IF(R27+U27=2,3,IF(R27+U27=1,1,0))</f>
        <v>3</v>
      </c>
      <c r="AA27" s="27">
        <f>IF(Z27=3,3,IF(X27+Z27=2,2,IF(Z27=1,1,0)))</f>
        <v>3</v>
      </c>
      <c r="AB27" s="27">
        <f>Q27+T27</f>
        <v>13</v>
      </c>
      <c r="AC27" s="27">
        <f>R27+U27+X27</f>
        <v>2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  <c r="AJ28" s="27"/>
      <c r="AK28" s="27"/>
      <c r="AL28" s="27"/>
      <c r="AM28" s="27"/>
      <c r="AN28" s="27"/>
    </row>
    <row r="29" ht="13.5" customHeight="1">
      <c r="A29" s="42" t="str">
        <f>AE15</f>
        <v>Liam Vella / Martina Murdocco</v>
      </c>
      <c r="B29" s="43">
        <v>2.0</v>
      </c>
      <c r="C29" s="44">
        <f>IF(B29&gt;B31,1,0)</f>
        <v>0</v>
      </c>
      <c r="D29" s="45"/>
      <c r="E29" s="43">
        <v>7.0</v>
      </c>
      <c r="F29" s="44">
        <f>IF(E29&gt;E31,1,0)</f>
        <v>1</v>
      </c>
      <c r="G29" s="45"/>
      <c r="H29" s="43">
        <v>5.0</v>
      </c>
      <c r="I29" s="27">
        <f>IF(H29&gt;H31,1,0)</f>
        <v>0</v>
      </c>
      <c r="J29" s="27">
        <f>IF(B29="",0,1)</f>
        <v>1</v>
      </c>
      <c r="K29" s="27">
        <f>IF(C29+F29=2,3,IF(C29+F29=1,1,0))</f>
        <v>1</v>
      </c>
      <c r="L29" s="27">
        <f>IF(K29=3,3,IF(I29+K29=2,2,IF(K29=1,1,0)))</f>
        <v>1</v>
      </c>
      <c r="M29" s="27">
        <f>B29+E29</f>
        <v>9</v>
      </c>
      <c r="N29" s="27">
        <f>C29+F29+I29</f>
        <v>1</v>
      </c>
      <c r="O29" s="27"/>
      <c r="P29" s="42" t="str">
        <f>AE9</f>
        <v>Michael Bugeja / Francesca Mamo</v>
      </c>
      <c r="Q29" s="43">
        <v>6.0</v>
      </c>
      <c r="R29" s="44">
        <f>IF(Q29&gt;Q31,1,0)</f>
        <v>1</v>
      </c>
      <c r="S29" s="45"/>
      <c r="T29" s="43">
        <v>6.0</v>
      </c>
      <c r="U29" s="44">
        <f>IF(T29&gt;T31,1,0)</f>
        <v>1</v>
      </c>
      <c r="V29" s="45"/>
      <c r="W29" s="46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12</v>
      </c>
      <c r="AC29" s="27">
        <f>R29+U29+X29</f>
        <v>2</v>
      </c>
      <c r="AD29" s="63" t="s">
        <v>146</v>
      </c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3.5" customHeight="1">
      <c r="A30" s="53" t="s">
        <v>123</v>
      </c>
      <c r="H30" s="51"/>
      <c r="I30" s="52"/>
      <c r="J30" s="27"/>
      <c r="K30" s="27"/>
      <c r="L30" s="27"/>
      <c r="M30" s="27"/>
      <c r="N30" s="27"/>
      <c r="O30" s="105"/>
      <c r="P30" s="53" t="s">
        <v>123</v>
      </c>
      <c r="W30" s="51"/>
      <c r="X30" s="52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6"/>
      <c r="AM30" s="27"/>
      <c r="AN30" s="27"/>
    </row>
    <row r="31" ht="13.5" customHeight="1">
      <c r="A31" s="57" t="str">
        <f>AE19</f>
        <v>Gabriel Gauci / Tiffany Fenech</v>
      </c>
      <c r="B31" s="43">
        <v>6.0</v>
      </c>
      <c r="C31" s="58">
        <f>IF(B31&gt;B29,1,0)</f>
        <v>1</v>
      </c>
      <c r="D31" s="59"/>
      <c r="E31" s="43">
        <v>6.0</v>
      </c>
      <c r="F31" s="58">
        <f>IF(E31&gt;E29,1,0)</f>
        <v>0</v>
      </c>
      <c r="G31" s="59"/>
      <c r="H31" s="43">
        <v>10.0</v>
      </c>
      <c r="I31" s="27">
        <f>IF(H31&gt;H29,1,0)</f>
        <v>1</v>
      </c>
      <c r="J31" s="27">
        <f>IF(B31="",0,1)</f>
        <v>1</v>
      </c>
      <c r="K31" s="27">
        <f>IF(C31+F31=2,3,IF(C31+F31=1,1,0))</f>
        <v>1</v>
      </c>
      <c r="L31" s="27">
        <f>IF(K31=3,3,IF(I31+K31=2,2,IF(K31=1,1,0)))</f>
        <v>2</v>
      </c>
      <c r="M31" s="27">
        <f>B31+E31</f>
        <v>12</v>
      </c>
      <c r="N31" s="27">
        <f>C31+F31+I31</f>
        <v>2</v>
      </c>
      <c r="O31" s="27"/>
      <c r="P31" s="57" t="str">
        <f>AE13</f>
        <v>Clayton Saliba Hersey / Frances Saliba Hersey</v>
      </c>
      <c r="Q31" s="43">
        <v>0.0</v>
      </c>
      <c r="R31" s="58">
        <f>IF(Q31&gt;Q29,1,0)</f>
        <v>0</v>
      </c>
      <c r="S31" s="59"/>
      <c r="T31" s="43">
        <v>0.0</v>
      </c>
      <c r="U31" s="58">
        <f>IF(T31&gt;T29,1,0)</f>
        <v>0</v>
      </c>
      <c r="V31" s="59"/>
      <c r="W31" s="46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0</v>
      </c>
      <c r="AC31" s="27">
        <f>R31+U31+X31</f>
        <v>0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3"/>
    </row>
    <row r="32" ht="13.5" customHeight="1">
      <c r="A32" s="27"/>
      <c r="B32" s="27"/>
      <c r="C32" s="27"/>
      <c r="D32" s="27"/>
      <c r="E32" s="33"/>
      <c r="F32" s="27"/>
      <c r="G32" s="27"/>
      <c r="H32" s="33"/>
      <c r="I32" s="27"/>
      <c r="J32" s="33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3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66"/>
      <c r="AM32" s="27"/>
      <c r="AN32" s="27"/>
    </row>
    <row r="33" ht="15.75" hidden="1" customHeight="1">
      <c r="A33" s="27"/>
      <c r="B33" s="35" t="s">
        <v>109</v>
      </c>
      <c r="C33" s="35" t="s">
        <v>110</v>
      </c>
      <c r="D33" s="35"/>
      <c r="E33" s="35" t="s">
        <v>109</v>
      </c>
      <c r="F33" s="35" t="s">
        <v>111</v>
      </c>
      <c r="G33" s="35"/>
      <c r="H33" s="35" t="s">
        <v>109</v>
      </c>
      <c r="I33" s="35" t="s">
        <v>112</v>
      </c>
      <c r="J33" s="35" t="s">
        <v>113</v>
      </c>
      <c r="K33" s="35" t="s">
        <v>114</v>
      </c>
      <c r="L33" s="35" t="s">
        <v>115</v>
      </c>
      <c r="M33" s="35" t="s">
        <v>116</v>
      </c>
      <c r="N33" s="35" t="s">
        <v>117</v>
      </c>
      <c r="O33" s="27"/>
      <c r="P33" s="27"/>
      <c r="Q33" s="35" t="s">
        <v>109</v>
      </c>
      <c r="R33" s="35" t="s">
        <v>110</v>
      </c>
      <c r="S33" s="35"/>
      <c r="T33" s="35" t="s">
        <v>109</v>
      </c>
      <c r="U33" s="35" t="s">
        <v>111</v>
      </c>
      <c r="V33" s="35"/>
      <c r="W33" s="35" t="s">
        <v>109</v>
      </c>
      <c r="X33" s="35" t="s">
        <v>112</v>
      </c>
      <c r="Y33" s="35" t="s">
        <v>113</v>
      </c>
      <c r="Z33" s="35" t="s">
        <v>114</v>
      </c>
      <c r="AA33" s="35" t="s">
        <v>115</v>
      </c>
      <c r="AB33" s="35" t="s">
        <v>116</v>
      </c>
      <c r="AC33" s="35" t="s">
        <v>117</v>
      </c>
      <c r="AD33" s="27"/>
      <c r="AE33" s="27"/>
      <c r="AF33" s="27"/>
      <c r="AG33" s="27"/>
      <c r="AH33" s="33"/>
      <c r="AI33" s="27"/>
      <c r="AJ33" s="27"/>
      <c r="AK33" s="33"/>
      <c r="AL33" s="27"/>
      <c r="AM33" s="27"/>
      <c r="AN33" s="27"/>
    </row>
    <row r="34" ht="13.5" customHeight="1">
      <c r="A34" s="42" t="str">
        <f>AE13</f>
        <v>Clayton Saliba Hersey / Frances Saliba Hersey</v>
      </c>
      <c r="B34" s="43">
        <v>5.0</v>
      </c>
      <c r="C34" s="44">
        <f>IF(B34&gt;B36,1,0)</f>
        <v>0</v>
      </c>
      <c r="D34" s="45"/>
      <c r="E34" s="43">
        <v>0.0</v>
      </c>
      <c r="F34" s="44">
        <f>IF(E34&gt;E36,1,0)</f>
        <v>0</v>
      </c>
      <c r="G34" s="45"/>
      <c r="H34" s="46"/>
      <c r="I34" s="27">
        <f>IF(H34&gt;H36,1,0)</f>
        <v>0</v>
      </c>
      <c r="J34" s="27">
        <f>IF(B34="",0,1)</f>
        <v>1</v>
      </c>
      <c r="K34" s="27">
        <f>IF(C34+F34=2,3,IF(C34+F34=1,1,0))</f>
        <v>0</v>
      </c>
      <c r="L34" s="27">
        <f>IF(K34=3,3,IF(I34+K34=2,2,IF(K34=1,1,0)))</f>
        <v>0</v>
      </c>
      <c r="M34" s="27">
        <f>B34+E34</f>
        <v>5</v>
      </c>
      <c r="N34" s="27">
        <f>C34+F34+I34</f>
        <v>0</v>
      </c>
      <c r="O34" s="27"/>
      <c r="AD34" s="27"/>
      <c r="AE34" s="27"/>
      <c r="AF34" s="27"/>
      <c r="AG34" s="27"/>
      <c r="AH34" s="27"/>
      <c r="AI34" s="27"/>
      <c r="AJ34" s="27"/>
      <c r="AK34" s="33"/>
      <c r="AL34" s="27"/>
      <c r="AM34" s="27"/>
      <c r="AN34" s="27"/>
    </row>
    <row r="35" ht="13.5" customHeight="1">
      <c r="A35" s="53" t="s">
        <v>123</v>
      </c>
      <c r="H35" s="51"/>
      <c r="I35" s="52"/>
      <c r="J35" s="27"/>
      <c r="K35" s="27"/>
      <c r="L35" s="27"/>
      <c r="M35" s="27"/>
      <c r="N35" s="27"/>
      <c r="O35" s="27"/>
      <c r="AD35" s="27"/>
      <c r="AE35" s="27"/>
      <c r="AF35" s="27"/>
      <c r="AG35" s="27"/>
      <c r="AH35" s="27"/>
      <c r="AI35" s="27"/>
      <c r="AJ35" s="70"/>
      <c r="AK35" s="27"/>
      <c r="AL35" s="27"/>
      <c r="AM35" s="27"/>
      <c r="AN35" s="27"/>
    </row>
    <row r="36" ht="13.5" customHeight="1">
      <c r="A36" s="57" t="str">
        <f>AE17</f>
        <v>Jurgen Farrugia / Abigail Farrugia</v>
      </c>
      <c r="B36" s="43">
        <v>7.0</v>
      </c>
      <c r="C36" s="58">
        <f>IF(B36&gt;B34,1,0)</f>
        <v>1</v>
      </c>
      <c r="D36" s="59"/>
      <c r="E36" s="43">
        <v>6.0</v>
      </c>
      <c r="F36" s="58">
        <f>IF(E36&gt;E34,1,0)</f>
        <v>1</v>
      </c>
      <c r="G36" s="59"/>
      <c r="H36" s="46"/>
      <c r="I36" s="27">
        <f>IF(H36&gt;H34,1,0)</f>
        <v>0</v>
      </c>
      <c r="J36" s="27">
        <f>IF(B36="",0,1)</f>
        <v>1</v>
      </c>
      <c r="K36" s="27">
        <f>IF(C36+F36=2,3,IF(C36+F36=1,1,0))</f>
        <v>3</v>
      </c>
      <c r="L36" s="27">
        <f>IF(K36=3,3,IF(I36+K36=2,2,IF(K36=1,1,0)))</f>
        <v>3</v>
      </c>
      <c r="M36" s="27">
        <f>B36+E36</f>
        <v>13</v>
      </c>
      <c r="N36" s="27">
        <f>C36+F36+I36</f>
        <v>2</v>
      </c>
      <c r="O36" s="27"/>
      <c r="P36" s="105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3.5" customHeight="1">
      <c r="A37" s="27"/>
      <c r="B37" s="33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3.5" customHeight="1">
      <c r="A38" s="42" t="str">
        <f>AE13</f>
        <v>Clayton Saliba Hersey / Frances Saliba Hersey</v>
      </c>
      <c r="B38" s="43">
        <v>4.0</v>
      </c>
      <c r="C38" s="44">
        <f>IF(B38&gt;B40,1,0)</f>
        <v>0</v>
      </c>
      <c r="D38" s="45"/>
      <c r="E38" s="43">
        <v>4.0</v>
      </c>
      <c r="F38" s="44">
        <f>IF(E38&gt;E40,1,0)</f>
        <v>0</v>
      </c>
      <c r="G38" s="45"/>
      <c r="H38" s="46"/>
      <c r="I38" s="27">
        <f>IF(H38&gt;H40,1,0)</f>
        <v>0</v>
      </c>
      <c r="J38" s="27">
        <f>IF(B38="",0,1)</f>
        <v>1</v>
      </c>
      <c r="K38" s="27">
        <f>IF(C38+F38=2,3,IF(C38+F38=1,1,0))</f>
        <v>0</v>
      </c>
      <c r="L38" s="27">
        <f>IF(K38=3,3,IF(I38+K38=2,2,IF(K38=1,1,0)))</f>
        <v>0</v>
      </c>
      <c r="M38" s="27">
        <f>B38+E38</f>
        <v>8</v>
      </c>
      <c r="N38" s="27">
        <f>C38+F38+I38</f>
        <v>0</v>
      </c>
      <c r="O38" s="27"/>
      <c r="P38" s="27"/>
      <c r="Q38" s="33"/>
      <c r="R38" s="27"/>
      <c r="S38" s="33"/>
      <c r="T38" s="33"/>
      <c r="U38" s="27"/>
      <c r="V38" s="33"/>
      <c r="W38" s="33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3.5" customHeight="1">
      <c r="A39" s="53" t="s">
        <v>123</v>
      </c>
      <c r="H39" s="51"/>
      <c r="I39" s="52"/>
      <c r="J39" s="27"/>
      <c r="K39" s="27"/>
      <c r="L39" s="27"/>
      <c r="M39" s="27"/>
      <c r="N39" s="27"/>
      <c r="O39" s="27"/>
      <c r="P39" s="27"/>
      <c r="X39" s="52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70"/>
      <c r="AK39" s="27"/>
      <c r="AL39" s="27"/>
      <c r="AM39" s="27"/>
      <c r="AN39" s="27"/>
    </row>
    <row r="40" ht="13.5" customHeight="1">
      <c r="A40" s="57" t="str">
        <f>AE19</f>
        <v>Gabriel Gauci / Tiffany Fenech</v>
      </c>
      <c r="B40" s="43">
        <v>6.0</v>
      </c>
      <c r="C40" s="58">
        <f>IF(B40&gt;B38,1,0)</f>
        <v>1</v>
      </c>
      <c r="D40" s="59"/>
      <c r="E40" s="43">
        <v>6.0</v>
      </c>
      <c r="F40" s="58">
        <f>IF(E40&gt;E38,1,0)</f>
        <v>1</v>
      </c>
      <c r="G40" s="59"/>
      <c r="H40" s="46"/>
      <c r="I40" s="27">
        <f>IF(H40&gt;H38,1,0)</f>
        <v>0</v>
      </c>
      <c r="J40" s="27">
        <f>IF(B40="",0,1)</f>
        <v>1</v>
      </c>
      <c r="K40" s="27">
        <f>IF(C40+F40=2,3,IF(C40+F40=1,1,0))</f>
        <v>3</v>
      </c>
      <c r="L40" s="27">
        <f>IF(K40=3,3,IF(I40+K40=2,2,IF(K40=1,1,0)))</f>
        <v>3</v>
      </c>
      <c r="M40" s="27">
        <f>B40+E40</f>
        <v>12</v>
      </c>
      <c r="N40" s="27">
        <f>C40+F40+I40</f>
        <v>2</v>
      </c>
      <c r="O40" s="27"/>
      <c r="P40" s="27"/>
      <c r="Q40" s="33"/>
      <c r="R40" s="27"/>
      <c r="S40" s="33"/>
      <c r="T40" s="33"/>
      <c r="U40" s="27"/>
      <c r="V40" s="33"/>
      <c r="W40" s="33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3.5" customHeight="1">
      <c r="A41" s="27"/>
      <c r="B41" s="27"/>
      <c r="C41" s="27"/>
      <c r="D41" s="27"/>
      <c r="E41" s="27"/>
      <c r="F41" s="27"/>
      <c r="G41" s="27"/>
      <c r="H41" s="63" t="s">
        <v>147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3.5" customHeight="1">
      <c r="A42" s="42" t="str">
        <f>AE15</f>
        <v>Liam Vella / Martina Murdocco</v>
      </c>
      <c r="B42" s="43">
        <v>6.0</v>
      </c>
      <c r="C42" s="44">
        <f>IF(B42&gt;B44,1,0)</f>
        <v>1</v>
      </c>
      <c r="D42" s="45"/>
      <c r="E42" s="43">
        <v>6.0</v>
      </c>
      <c r="F42" s="44">
        <f>IF(E42&gt;E44,1,0)</f>
        <v>1</v>
      </c>
      <c r="G42" s="45"/>
      <c r="H42" s="46"/>
      <c r="I42" s="27">
        <f>IF(H42&gt;H44,1,0)</f>
        <v>0</v>
      </c>
      <c r="J42" s="27">
        <f>IF(B42="",0,1)</f>
        <v>1</v>
      </c>
      <c r="K42" s="27">
        <f>IF(C42+F42=2,3,IF(C42+F42=1,1,0))</f>
        <v>3</v>
      </c>
      <c r="L42" s="27">
        <f>IF(K42=3,3,IF(I42+K42=2,2,IF(K42=1,1,0)))</f>
        <v>3</v>
      </c>
      <c r="M42" s="27">
        <f>B42+E42</f>
        <v>12</v>
      </c>
      <c r="N42" s="27">
        <f>C42+F42+I42</f>
        <v>2</v>
      </c>
      <c r="O42" s="27"/>
      <c r="P42" s="27"/>
      <c r="Q42" s="33"/>
      <c r="R42" s="27"/>
      <c r="S42" s="33"/>
      <c r="T42" s="33"/>
      <c r="U42" s="27"/>
      <c r="V42" s="33"/>
      <c r="W42" s="33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3.5" customHeight="1">
      <c r="A43" s="53" t="s">
        <v>123</v>
      </c>
      <c r="H43" s="51"/>
      <c r="I43" s="52"/>
      <c r="J43" s="27"/>
      <c r="K43" s="27"/>
      <c r="L43" s="27"/>
      <c r="M43" s="27"/>
      <c r="N43" s="27"/>
      <c r="O43" s="27"/>
      <c r="P43" s="27"/>
      <c r="X43" s="52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3.5" customHeight="1">
      <c r="A44" s="57" t="str">
        <f>AE13</f>
        <v>Clayton Saliba Hersey / Frances Saliba Hersey</v>
      </c>
      <c r="B44" s="43">
        <v>3.0</v>
      </c>
      <c r="C44" s="58">
        <f>IF(B44&gt;B42,1,0)</f>
        <v>0</v>
      </c>
      <c r="D44" s="59"/>
      <c r="E44" s="43">
        <v>0.0</v>
      </c>
      <c r="F44" s="58">
        <f>IF(E44&gt;E42,1,0)</f>
        <v>0</v>
      </c>
      <c r="G44" s="59"/>
      <c r="H44" s="46"/>
      <c r="I44" s="27">
        <f>IF(H44&gt;H42,1,0)</f>
        <v>0</v>
      </c>
      <c r="J44" s="27">
        <f>IF(B44="",0,1)</f>
        <v>1</v>
      </c>
      <c r="K44" s="27">
        <f>IF(C44+F44=2,3,IF(C44+F44=1,1,0))</f>
        <v>0</v>
      </c>
      <c r="L44" s="27">
        <f>IF(K44=3,3,IF(I44+K44=2,2,IF(K44=1,1,0)))</f>
        <v>0</v>
      </c>
      <c r="M44" s="27">
        <f>B44+E44</f>
        <v>3</v>
      </c>
      <c r="N44" s="27">
        <f>C44+F44+I44</f>
        <v>0</v>
      </c>
      <c r="O44" s="27"/>
      <c r="P44" s="27"/>
      <c r="Q44" s="33"/>
      <c r="R44" s="27"/>
      <c r="S44" s="33"/>
      <c r="T44" s="33"/>
      <c r="U44" s="27"/>
      <c r="V44" s="33"/>
      <c r="W44" s="33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70"/>
      <c r="AK44" s="27"/>
      <c r="AL44" s="33"/>
      <c r="AM44" s="27"/>
      <c r="AN44" s="27"/>
    </row>
    <row r="45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3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70"/>
      <c r="AK49" s="27"/>
      <c r="AL49" s="27"/>
      <c r="AM49" s="27"/>
      <c r="AN49" s="33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33"/>
      <c r="AI53" s="27"/>
      <c r="AJ53" s="27"/>
      <c r="AK53" s="33"/>
      <c r="AL53" s="27"/>
      <c r="AM53" s="27"/>
      <c r="AN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33"/>
      <c r="R103" s="33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5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5:H35"/>
    <mergeCell ref="A39:H39"/>
    <mergeCell ref="A43:H43"/>
    <mergeCell ref="AE25:AI25"/>
    <mergeCell ref="AE26:AI26"/>
    <mergeCell ref="P30:W30"/>
    <mergeCell ref="P39:W39"/>
    <mergeCell ref="P43:W43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2025-09-30T13:54:16Z</dcterms:created>
  <dc:creator>Grace Barbara</dc:creator>
</cp:coreProperties>
</file>