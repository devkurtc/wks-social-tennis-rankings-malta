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 Men" sheetId="1" r:id="rId4"/>
    <sheet state="visible" name="Men Div 1" sheetId="2" r:id="rId5"/>
    <sheet state="visible" name="Men Div 2" sheetId="3" r:id="rId6"/>
    <sheet state="visible" name="Men Div 3" sheetId="4" r:id="rId7"/>
    <sheet state="visible" name="Men Div 4" sheetId="5" r:id="rId8"/>
    <sheet state="visible" name="Players Ladies" sheetId="6" r:id="rId9"/>
    <sheet state="visible" name="Lad Div 1" sheetId="7" r:id="rId10"/>
    <sheet state="visible" name="Lad Div 2" sheetId="8" r:id="rId11"/>
    <sheet state="visible" name="Lad Div 3" sheetId="9" r:id="rId12"/>
  </sheets>
  <definedNames/>
  <calcPr/>
  <extLst>
    <ext uri="GoogleSheetsCustomDataVersion2">
      <go:sheetsCustomData xmlns:go="http://customooxmlschemas.google.com/" r:id="rId13" roundtripDataChecksum="GI6i7Cx2VXyVl9WxwFfdtvQx3TyXPvKdrxaZ++N9eCs="/>
    </ext>
  </extLst>
</workbook>
</file>

<file path=xl/sharedStrings.xml><?xml version="1.0" encoding="utf-8"?>
<sst xmlns="http://schemas.openxmlformats.org/spreadsheetml/2006/main" count="667" uniqueCount="110">
  <si>
    <t>VITTORIOSA LAWN TENNIS CLUB</t>
  </si>
  <si>
    <t>Sports Experience Chosen Doubles 2025</t>
  </si>
  <si>
    <t>Men Division 1 - Group A</t>
  </si>
  <si>
    <t>Duncan D'Alessandro/Clayton Zammit Cesare</t>
  </si>
  <si>
    <t>Mark Gatt/Manuel Bonello</t>
  </si>
  <si>
    <t xml:space="preserve">                                  </t>
  </si>
  <si>
    <t>Gabriel Pace/Nikolai Belli</t>
  </si>
  <si>
    <t>Trevor Rutter/Jean Carl Azzopardi</t>
  </si>
  <si>
    <t>Matthew Mifsud/Melchior Farrugia</t>
  </si>
  <si>
    <t>Eric Roca/Roderick Spiteri</t>
  </si>
  <si>
    <t>Men Division 2 - Group A</t>
  </si>
  <si>
    <t>Fotis Evangelou/Kristen Cachia</t>
  </si>
  <si>
    <t>Willem Steenkamer/Javier Villoria</t>
  </si>
  <si>
    <t>Jonathan Vella/Clint Agius</t>
  </si>
  <si>
    <t>Jonathan Martinelli/Luigi Porto</t>
  </si>
  <si>
    <t>Ivan Cassar/Kurt Cassar</t>
  </si>
  <si>
    <t>Peter Khiev/Sam Zammit</t>
  </si>
  <si>
    <t>Men Division 3 - Group A</t>
  </si>
  <si>
    <t>Men Division 3 - Group B</t>
  </si>
  <si>
    <t>Roberto Murdocco/James Brincat</t>
  </si>
  <si>
    <t>Dunstan Vella/Cyril Lastimosa</t>
  </si>
  <si>
    <t>Neville Sciriha/Matthias Sciriha</t>
  </si>
  <si>
    <t>Manuel Mifsud/Julian Esposito</t>
  </si>
  <si>
    <t>Kenneth Farrugia/Juan Sammut</t>
  </si>
  <si>
    <t>David Camilleri/Joseph Zammit</t>
  </si>
  <si>
    <t>Simone Re/Ryan Ebejer</t>
  </si>
  <si>
    <t>Cory Greenland/Christan Xuereb</t>
  </si>
  <si>
    <t>Chris Vella/Matthew Micallef</t>
  </si>
  <si>
    <t>Aaron Micallef Piccione/Clinton Cutajar</t>
  </si>
  <si>
    <t>Men Division 4 - Group A</t>
  </si>
  <si>
    <t>Men Division 4 - Group B</t>
  </si>
  <si>
    <t>Steve Gambin/Luke Gambin</t>
  </si>
  <si>
    <t>Clifford Debono/Glenn Micallef</t>
  </si>
  <si>
    <t>JP Sciberras/Justin Scicluna</t>
  </si>
  <si>
    <t>Robert Attard/ Isaac Baldacchino</t>
  </si>
  <si>
    <t>Kevin Sciberras/Liam Vella</t>
  </si>
  <si>
    <t>Matthias Cremona/Oliver Brincat</t>
  </si>
  <si>
    <t>Conrad Treeby Ward/Mark Treeby Ward</t>
  </si>
  <si>
    <t>Braydon Galea/Gabriel Gauci</t>
  </si>
  <si>
    <t>Adam Green/Franco Montesin</t>
  </si>
  <si>
    <t>Jason Lee Evans/Sammy Ben Tamer</t>
  </si>
  <si>
    <t>VITTORIOSA LAWN TENNIS CLUB
Sports Experience Chosen Doubles 2025</t>
  </si>
  <si>
    <t xml:space="preserve">Men Division 1 </t>
  </si>
  <si>
    <t>Players</t>
  </si>
  <si>
    <t>Set Scores</t>
  </si>
  <si>
    <t>Tie</t>
  </si>
  <si>
    <t>Player</t>
  </si>
  <si>
    <t>Matches Played</t>
  </si>
  <si>
    <t>Points Overall</t>
  </si>
  <si>
    <t>Games Won</t>
  </si>
  <si>
    <t>Sets Won</t>
  </si>
  <si>
    <t>Score</t>
  </si>
  <si>
    <t>Set 1 Work</t>
  </si>
  <si>
    <t>Set 2 Work</t>
  </si>
  <si>
    <t>Tie Work</t>
  </si>
  <si>
    <t>Game Played</t>
  </si>
  <si>
    <t>Sets Points Work</t>
  </si>
  <si>
    <t>Sets &amp; Tie Points Work</t>
  </si>
  <si>
    <t>Games Wins Work</t>
  </si>
  <si>
    <t>Sets Wins Work</t>
  </si>
  <si>
    <t>Winner Working</t>
  </si>
  <si>
    <t>Total Games Work</t>
  </si>
  <si>
    <t>Winner</t>
  </si>
  <si>
    <t>vs.</t>
  </si>
  <si>
    <t>Division Winner</t>
  </si>
  <si>
    <t>Division Runner Up</t>
  </si>
  <si>
    <t xml:space="preserve">Men Division 2 </t>
  </si>
  <si>
    <t>vs</t>
  </si>
  <si>
    <t>Runner Up Working</t>
  </si>
  <si>
    <t>Runner Up</t>
  </si>
  <si>
    <t>Group A Winner</t>
  </si>
  <si>
    <t>Games</t>
  </si>
  <si>
    <t>Points</t>
  </si>
  <si>
    <t>Group B Winner</t>
  </si>
  <si>
    <t>Final</t>
  </si>
  <si>
    <t>Dunstan Vella</t>
  </si>
  <si>
    <t>Cyril Lastimosa</t>
  </si>
  <si>
    <t>Neville Sciriha</t>
  </si>
  <si>
    <t>Matthias Sciriha</t>
  </si>
  <si>
    <t>Divison Winner</t>
  </si>
  <si>
    <t>Divison Runner Up</t>
  </si>
  <si>
    <t>Ladies Division 1</t>
  </si>
  <si>
    <t>Renette Magro/Diane Fenech</t>
  </si>
  <si>
    <t>Alexia Spiteri Willets/Pamela Cohen</t>
  </si>
  <si>
    <t>Lucienne Meli Belizzi/Alison Muscat</t>
  </si>
  <si>
    <t>Martina Cuschieri/Elaine Grech</t>
  </si>
  <si>
    <t>Kim Fava/Annmarie Mangion</t>
  </si>
  <si>
    <t>Kirsty Mercieca/Christina Bonett</t>
  </si>
  <si>
    <t>Ladies Division 2 - Group A</t>
  </si>
  <si>
    <t>Kristina Briffa/Sarah Axiaq</t>
  </si>
  <si>
    <t>Mariska Steenkamer/Yanika Pace</t>
  </si>
  <si>
    <t>Giada Sciberras/Jade Sammut</t>
  </si>
  <si>
    <t>Francesca Sciortino/Julie Spiteri</t>
  </si>
  <si>
    <t>Brenda Baldacchino/Deborah Farrugia</t>
  </si>
  <si>
    <t>Katrina Grech/Dawn Azzopardi</t>
  </si>
  <si>
    <t>Ladies Division 3 - Group A</t>
  </si>
  <si>
    <t>Ladies Division 3 - Group B</t>
  </si>
  <si>
    <t>Nancy Wong/Jin Attard</t>
  </si>
  <si>
    <t>Rowena Caruana/Ceridwen Scerri</t>
  </si>
  <si>
    <t>Helga Azzopardi/Angele Pule'</t>
  </si>
  <si>
    <t>Ann Marie Attard/Christine Seychell</t>
  </si>
  <si>
    <t>Tiffany Fenech/Martina Murdocco</t>
  </si>
  <si>
    <t>Karolina Papiernak/Jennifer Roca</t>
  </si>
  <si>
    <t>Leanne Sammut/Daphne Vella</t>
  </si>
  <si>
    <t>Janice Galea/Tiziana Spiteri</t>
  </si>
  <si>
    <t>Mary Borg/Sharleen Sciberras</t>
  </si>
  <si>
    <t>Roberta Grixti/Francesca Mamo</t>
  </si>
  <si>
    <t>Jean Frendo/Antoinette Aquilina</t>
  </si>
  <si>
    <t>Maria Angela Gambin/Maria Ellul</t>
  </si>
  <si>
    <t xml:space="preserve">Ladies Division 2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</si>
</sst>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6">
    <font>
      <sz val="11.0"/>
      <color theme="1"/>
      <name val="Aptos narrow"/>
      <scheme val="minor"/>
    </font>
    <font>
      <b/>
      <sz val="20.0"/>
      <color theme="1"/>
      <name val="Calibri"/>
    </font>
    <font>
      <b/>
      <u/>
      <sz val="18.0"/>
      <color theme="1"/>
      <name val="Calibri"/>
    </font>
    <font>
      <sz val="10.0"/>
      <color theme="1"/>
      <name val="Arial"/>
    </font>
    <font>
      <sz val="11.0"/>
      <color theme="1"/>
      <name val="Aptos Narrow"/>
    </font>
    <font>
      <sz val="16.0"/>
      <color theme="1"/>
      <name val="Arial"/>
    </font>
    <font>
      <b/>
      <sz val="16.0"/>
      <color theme="1"/>
      <name val="Arial"/>
    </font>
    <font>
      <sz val="14.0"/>
      <color theme="1"/>
      <name val="Arial"/>
    </font>
    <font>
      <b/>
      <u/>
      <sz val="16.0"/>
      <color theme="1"/>
      <name val="Arial"/>
    </font>
    <font>
      <b/>
      <u/>
      <sz val="16.0"/>
      <color theme="1"/>
      <name val="Calibri"/>
    </font>
    <font>
      <b/>
      <u/>
      <sz val="14.0"/>
      <color theme="1"/>
      <name val="Arial"/>
    </font>
    <font/>
    <font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sz val="11.0"/>
      <color theme="1"/>
      <name val="Arial"/>
    </font>
    <font>
      <b/>
      <u/>
      <sz val="11.0"/>
      <color theme="1"/>
      <name val="Arial"/>
    </font>
    <font>
      <b/>
      <u/>
      <sz val="11.0"/>
      <color rgb="FF00FFFF"/>
      <name val="Arial"/>
    </font>
    <font>
      <color theme="1"/>
      <name val="Aptos narrow"/>
      <scheme val="minor"/>
    </font>
    <font>
      <b/>
      <u/>
      <sz val="11.0"/>
      <color theme="1"/>
      <name val="Arial"/>
    </font>
    <font>
      <u/>
      <color theme="1"/>
      <name val="Aptos narrow"/>
      <scheme val="minor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4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rgb="FF00FFFF"/>
      <name val="Arial"/>
    </font>
    <font>
      <b/>
      <u/>
      <sz val="11.0"/>
      <color rgb="FF00FFFF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sz val="11.0"/>
      <color rgb="FF000000"/>
      <name val="Calibri"/>
    </font>
    <font>
      <b/>
      <u/>
      <sz val="14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4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sz val="11.0"/>
      <color theme="1"/>
      <name val="Aptos narrow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4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4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sz val="9.0"/>
      <color rgb="FF000000"/>
      <name val="Calibri"/>
    </font>
    <font>
      <b/>
      <u/>
      <sz val="11.0"/>
      <color theme="1"/>
      <name val="Arial"/>
    </font>
    <font>
      <sz val="10.0"/>
      <color rgb="FF000000"/>
      <name val="Times New Roman"/>
    </font>
    <font>
      <b/>
      <u/>
      <sz val="14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4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4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4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66CC"/>
        <bgColor rgb="FF0066CC"/>
      </patternFill>
    </fill>
    <fill>
      <patternFill patternType="solid">
        <fgColor rgb="FFEAD1DC"/>
        <bgColor rgb="FFEAD1DC"/>
      </patternFill>
    </fill>
    <fill>
      <patternFill patternType="solid">
        <fgColor rgb="FFF1A983"/>
        <bgColor rgb="FFF1A983"/>
      </patternFill>
    </fill>
    <fill>
      <patternFill patternType="solid">
        <fgColor rgb="FF00FFCC"/>
        <bgColor rgb="FF00FFCC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B33C2"/>
        <bgColor rgb="FFFB33C2"/>
      </patternFill>
    </fill>
    <fill>
      <patternFill patternType="solid">
        <fgColor rgb="FF7F7F7F"/>
        <bgColor rgb="FF7F7F7F"/>
      </patternFill>
    </fill>
    <fill>
      <patternFill patternType="solid">
        <fgColor rgb="FFFF0000"/>
        <bgColor rgb="FFFF0000"/>
      </patternFill>
    </fill>
    <fill>
      <patternFill patternType="solid">
        <fgColor rgb="FF46826F"/>
        <bgColor rgb="FF46826F"/>
      </patternFill>
    </fill>
    <fill>
      <patternFill patternType="solid">
        <fgColor rgb="FFD86DCD"/>
        <bgColor rgb="FFD86DCD"/>
      </patternFill>
    </fill>
    <fill>
      <patternFill patternType="solid">
        <fgColor rgb="FFCC9900"/>
        <bgColor rgb="FFCC9900"/>
      </patternFill>
    </fill>
    <fill>
      <patternFill patternType="solid">
        <fgColor rgb="FF437D6B"/>
        <bgColor rgb="FF437D6B"/>
      </patternFill>
    </fill>
    <fill>
      <patternFill patternType="solid">
        <fgColor rgb="FFFFC000"/>
        <bgColor rgb="FFFFC000"/>
      </patternFill>
    </fill>
    <fill>
      <patternFill patternType="solid">
        <fgColor rgb="FFD76DCC"/>
        <bgColor rgb="FFD76DCC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/>
      <bottom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top" wrapText="1"/>
    </xf>
    <xf borderId="0" fillId="0" fontId="3" numFmtId="0" xfId="0" applyAlignment="1" applyFont="1">
      <alignment horizontal="center" vertical="center"/>
    </xf>
    <xf borderId="0" fillId="0" fontId="4" numFmtId="0" xfId="0" applyFont="1"/>
    <xf borderId="0" fillId="0" fontId="5" numFmtId="0" xfId="0" applyAlignment="1" applyFont="1">
      <alignment horizontal="center" vertical="center"/>
    </xf>
    <xf borderId="1" fillId="2" fontId="6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4" numFmtId="0" xfId="0" applyAlignment="1" applyFont="1">
      <alignment horizontal="center" shrinkToFit="0" wrapText="1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/>
    </xf>
    <xf borderId="0" fillId="0" fontId="5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2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/>
    </xf>
    <xf borderId="0" fillId="0" fontId="8" numFmtId="0" xfId="0" applyAlignment="1" applyFont="1">
      <alignment horizontal="center" vertical="center"/>
    </xf>
    <xf borderId="1" fillId="3" fontId="6" numFmtId="0" xfId="0" applyAlignment="1" applyBorder="1" applyFill="1" applyFont="1">
      <alignment horizontal="center" vertical="center"/>
    </xf>
    <xf borderId="1" fillId="0" fontId="7" numFmtId="0" xfId="0" applyAlignment="1" applyBorder="1" applyFont="1">
      <alignment horizontal="center" vertical="top"/>
    </xf>
    <xf borderId="1" fillId="4" fontId="6" numFmtId="0" xfId="0" applyAlignment="1" applyBorder="1" applyFill="1" applyFont="1">
      <alignment horizontal="center" vertical="center"/>
    </xf>
    <xf borderId="1" fillId="5" fontId="6" numFmtId="0" xfId="0" applyAlignment="1" applyBorder="1" applyFill="1" applyFont="1">
      <alignment horizontal="center" vertical="center"/>
    </xf>
    <xf borderId="1" fillId="0" fontId="7" numFmtId="0" xfId="0" applyBorder="1" applyFont="1"/>
    <xf borderId="0" fillId="0" fontId="7" numFmtId="0" xfId="0" applyAlignment="1" applyFont="1">
      <alignment horizontal="center" vertical="center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shrinkToFit="0" wrapText="1"/>
    </xf>
    <xf borderId="1" fillId="6" fontId="6" numFmtId="0" xfId="0" applyAlignment="1" applyBorder="1" applyFill="1" applyFont="1">
      <alignment horizontal="center" vertical="center"/>
    </xf>
    <xf borderId="1" fillId="7" fontId="6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3" fillId="2" fontId="10" numFmtId="0" xfId="0" applyAlignment="1" applyBorder="1" applyFont="1">
      <alignment horizontal="center" shrinkToFit="0" vertical="center" wrapText="1"/>
    </xf>
    <xf borderId="4" fillId="0" fontId="11" numFmtId="0" xfId="0" applyBorder="1" applyFont="1"/>
    <xf borderId="5" fillId="0" fontId="11" numFmtId="0" xfId="0" applyBorder="1" applyFont="1"/>
    <xf borderId="0" fillId="0" fontId="12" numFmtId="0" xfId="0" applyAlignment="1" applyFont="1">
      <alignment horizontal="center" shrinkToFit="0" vertical="center" wrapText="1"/>
    </xf>
    <xf borderId="1" fillId="2" fontId="13" numFmtId="0" xfId="0" applyAlignment="1" applyBorder="1" applyFont="1">
      <alignment horizontal="center" shrinkToFit="0" vertical="center" wrapText="1"/>
    </xf>
    <xf borderId="6" fillId="2" fontId="14" numFmtId="0" xfId="0" applyAlignment="1" applyBorder="1" applyFont="1">
      <alignment horizontal="center" shrinkToFit="0" vertical="center" wrapText="1"/>
    </xf>
    <xf borderId="7" fillId="0" fontId="11" numFmtId="0" xfId="0" applyBorder="1" applyFont="1"/>
    <xf borderId="8" fillId="0" fontId="11" numFmtId="0" xfId="0" applyBorder="1" applyFont="1"/>
    <xf borderId="9" fillId="8" fontId="12" numFmtId="0" xfId="0" applyAlignment="1" applyBorder="1" applyFill="1" applyFont="1">
      <alignment horizontal="center" shrinkToFit="0" vertical="center" wrapText="1"/>
    </xf>
    <xf borderId="2" fillId="0" fontId="15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9" fillId="2" fontId="12" numFmtId="0" xfId="0" applyAlignment="1" applyBorder="1" applyFont="1">
      <alignment horizontal="center" shrinkToFit="0" vertical="center" wrapText="1"/>
    </xf>
    <xf borderId="10" fillId="2" fontId="17" numFmtId="0" xfId="0" applyAlignment="1" applyBorder="1" applyFont="1">
      <alignment horizontal="center" shrinkToFit="0" vertical="center" wrapText="1"/>
    </xf>
    <xf borderId="11" fillId="9" fontId="18" numFmtId="0" xfId="0" applyAlignment="1" applyBorder="1" applyFill="1" applyFont="1">
      <alignment horizontal="center" shrinkToFit="0" vertical="center" wrapText="1"/>
    </xf>
    <xf borderId="0" fillId="0" fontId="19" numFmtId="0" xfId="0" applyFont="1"/>
    <xf borderId="12" fillId="0" fontId="12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3" fillId="0" fontId="12" numFmtId="0" xfId="0" applyAlignment="1" applyBorder="1" applyFont="1">
      <alignment horizontal="center" shrinkToFit="0" vertical="center" wrapText="1"/>
    </xf>
    <xf borderId="13" fillId="0" fontId="16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4" fillId="2" fontId="20" numFmtId="0" xfId="0" applyAlignment="1" applyBorder="1" applyFont="1">
      <alignment horizontal="center" shrinkToFit="0" vertical="center" wrapText="1"/>
    </xf>
    <xf borderId="7" fillId="0" fontId="16" numFmtId="0" xfId="0" applyAlignment="1" applyBorder="1" applyFont="1">
      <alignment horizontal="center" shrinkToFit="0" vertical="center" wrapText="1"/>
    </xf>
    <xf borderId="8" fillId="0" fontId="16" numFmtId="0" xfId="0" applyAlignment="1" applyBorder="1" applyFont="1">
      <alignment horizontal="center" shrinkToFit="0" vertical="center" wrapText="1"/>
    </xf>
    <xf borderId="15" fillId="0" fontId="12" numFmtId="0" xfId="0" applyAlignment="1" applyBorder="1" applyFont="1">
      <alignment horizontal="center" shrinkToFit="0" vertical="center" wrapText="1"/>
    </xf>
    <xf borderId="16" fillId="0" fontId="11" numFmtId="0" xfId="0" applyBorder="1" applyFont="1"/>
    <xf borderId="0" fillId="0" fontId="12" numFmtId="0" xfId="0" applyAlignment="1" applyFont="1">
      <alignment shrinkToFit="0" vertical="center" wrapText="1"/>
    </xf>
    <xf borderId="17" fillId="0" fontId="12" numFmtId="0" xfId="0" applyAlignment="1" applyBorder="1" applyFont="1">
      <alignment horizontal="center" shrinkToFit="0" vertical="center" wrapText="1"/>
    </xf>
    <xf borderId="18" fillId="0" fontId="12" numFmtId="0" xfId="0" applyAlignment="1" applyBorder="1" applyFont="1">
      <alignment horizontal="center" shrinkToFit="0" vertical="center" wrapText="1"/>
    </xf>
    <xf borderId="18" fillId="0" fontId="16" numFmtId="0" xfId="0" applyAlignment="1" applyBorder="1" applyFont="1">
      <alignment horizontal="center" shrinkToFit="0" vertical="center" wrapText="1"/>
    </xf>
    <xf borderId="19" fillId="10" fontId="16" numFmtId="0" xfId="0" applyAlignment="1" applyBorder="1" applyFill="1" applyFont="1">
      <alignment horizontal="center" shrinkToFit="0" vertical="center" wrapText="1"/>
    </xf>
    <xf borderId="0" fillId="0" fontId="21" numFmtId="0" xfId="0" applyFont="1"/>
    <xf borderId="6" fillId="0" fontId="22" numFmtId="0" xfId="0" applyAlignment="1" applyBorder="1" applyFont="1">
      <alignment horizontal="center" readingOrder="0" shrinkToFit="0" vertical="center" wrapText="1"/>
    </xf>
    <xf borderId="6" fillId="2" fontId="23" numFmtId="0" xfId="0" applyAlignment="1" applyBorder="1" applyFont="1">
      <alignment horizontal="center" readingOrder="0" shrinkToFit="0" vertical="center" wrapText="1"/>
    </xf>
    <xf borderId="0" fillId="0" fontId="24" numFmtId="0" xfId="0" applyAlignment="1" applyFont="1">
      <alignment horizontal="center" readingOrder="0" shrinkToFit="0" vertical="center" wrapText="1"/>
    </xf>
    <xf borderId="3" fillId="3" fontId="25" numFmtId="0" xfId="0" applyAlignment="1" applyBorder="1" applyFont="1">
      <alignment horizontal="center" shrinkToFit="0" vertical="center" wrapText="1"/>
    </xf>
    <xf borderId="1" fillId="3" fontId="26" numFmtId="0" xfId="0" applyAlignment="1" applyBorder="1" applyFont="1">
      <alignment horizontal="center" shrinkToFit="0" vertical="center" wrapText="1"/>
    </xf>
    <xf borderId="6" fillId="3" fontId="27" numFmtId="0" xfId="0" applyAlignment="1" applyBorder="1" applyFont="1">
      <alignment horizontal="center" shrinkToFit="0" vertical="center" wrapText="1"/>
    </xf>
    <xf borderId="19" fillId="9" fontId="28" numFmtId="0" xfId="0" applyAlignment="1" applyBorder="1" applyFont="1">
      <alignment horizontal="center" shrinkToFit="0" vertical="center" wrapText="1"/>
    </xf>
    <xf borderId="1" fillId="9" fontId="29" numFmtId="0" xfId="0" applyAlignment="1" applyBorder="1" applyFont="1">
      <alignment horizontal="center" shrinkToFit="0" vertical="center" wrapText="1"/>
    </xf>
    <xf borderId="14" fillId="3" fontId="30" numFmtId="0" xfId="0" applyAlignment="1" applyBorder="1" applyFont="1">
      <alignment horizontal="center" shrinkToFit="0" vertical="center" wrapText="1"/>
    </xf>
    <xf borderId="6" fillId="3" fontId="31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13" fillId="0" fontId="16" numFmtId="0" xfId="0" applyAlignment="1" applyBorder="1" applyFont="1">
      <alignment horizontal="center" readingOrder="0" shrinkToFit="0" vertical="center" wrapText="1"/>
    </xf>
    <xf borderId="1" fillId="0" fontId="32" numFmtId="0" xfId="0" applyAlignment="1" applyBorder="1" applyFont="1">
      <alignment horizontal="center" readingOrder="0" shrinkToFit="0" vertical="top" wrapText="0"/>
    </xf>
    <xf borderId="3" fillId="4" fontId="33" numFmtId="0" xfId="0" applyAlignment="1" applyBorder="1" applyFont="1">
      <alignment horizontal="center" shrinkToFit="0" vertical="center" wrapText="1"/>
    </xf>
    <xf borderId="1" fillId="4" fontId="34" numFmtId="0" xfId="0" applyAlignment="1" applyBorder="1" applyFont="1">
      <alignment horizontal="center" shrinkToFit="0" vertical="center" wrapText="1"/>
    </xf>
    <xf borderId="6" fillId="4" fontId="35" numFmtId="0" xfId="0" applyAlignment="1" applyBorder="1" applyFont="1">
      <alignment horizontal="center" shrinkToFit="0" vertical="center" wrapText="1"/>
    </xf>
    <xf borderId="14" fillId="4" fontId="36" numFmtId="0" xfId="0" applyAlignment="1" applyBorder="1" applyFont="1">
      <alignment horizontal="center" shrinkToFit="0" vertical="center" wrapText="1"/>
    </xf>
    <xf borderId="0" fillId="0" fontId="37" numFmtId="0" xfId="0" applyAlignment="1" applyFont="1">
      <alignment horizontal="center" shrinkToFit="0" vertical="center" wrapText="1"/>
    </xf>
    <xf borderId="3" fillId="5" fontId="38" numFmtId="0" xfId="0" applyAlignment="1" applyBorder="1" applyFont="1">
      <alignment horizontal="center" shrinkToFit="0" vertical="center" wrapText="1"/>
    </xf>
    <xf borderId="1" fillId="5" fontId="39" numFmtId="0" xfId="0" applyAlignment="1" applyBorder="1" applyFont="1">
      <alignment horizontal="center" shrinkToFit="0" vertical="center" wrapText="1"/>
    </xf>
    <xf borderId="6" fillId="5" fontId="40" numFmtId="0" xfId="0" applyAlignment="1" applyBorder="1" applyFont="1">
      <alignment horizontal="center" shrinkToFit="0" vertical="center" wrapText="1"/>
    </xf>
    <xf borderId="9" fillId="11" fontId="12" numFmtId="0" xfId="0" applyAlignment="1" applyBorder="1" applyFill="1" applyFont="1">
      <alignment horizontal="center" shrinkToFit="0" vertical="center" wrapText="1"/>
    </xf>
    <xf borderId="14" fillId="5" fontId="41" numFmtId="0" xfId="0" applyAlignment="1" applyBorder="1" applyFont="1">
      <alignment horizontal="center" shrinkToFit="0" vertical="center" wrapText="1"/>
    </xf>
    <xf borderId="9" fillId="12" fontId="42" numFmtId="0" xfId="0" applyBorder="1" applyFill="1" applyFont="1"/>
    <xf borderId="9" fillId="12" fontId="12" numFmtId="0" xfId="0" applyAlignment="1" applyBorder="1" applyFont="1">
      <alignment horizontal="center" shrinkToFit="0" vertical="center" wrapText="1"/>
    </xf>
    <xf borderId="20" fillId="12" fontId="12" numFmtId="0" xfId="0" applyAlignment="1" applyBorder="1" applyFont="1">
      <alignment horizontal="center" shrinkToFit="0" vertical="center" wrapText="1"/>
    </xf>
    <xf borderId="9" fillId="12" fontId="12" numFmtId="0" xfId="0" applyAlignment="1" applyBorder="1" applyFont="1">
      <alignment shrinkToFit="0" vertical="center" wrapText="1"/>
    </xf>
    <xf borderId="6" fillId="12" fontId="43" numFmtId="0" xfId="0" applyAlignment="1" applyBorder="1" applyFont="1">
      <alignment horizontal="center" shrinkToFit="0" vertical="center" wrapText="1"/>
    </xf>
    <xf borderId="21" fillId="0" fontId="11" numFmtId="0" xfId="0" applyBorder="1" applyFont="1"/>
    <xf borderId="1" fillId="12" fontId="44" numFmtId="0" xfId="0" applyAlignment="1" applyBorder="1" applyFont="1">
      <alignment horizontal="center" shrinkToFit="0" vertical="center" wrapText="1"/>
    </xf>
    <xf borderId="9" fillId="10" fontId="12" numFmtId="0" xfId="0" applyAlignment="1" applyBorder="1" applyFont="1">
      <alignment horizontal="center" shrinkToFit="0" vertical="center" wrapText="1"/>
    </xf>
    <xf borderId="10" fillId="10" fontId="45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12" fillId="0" fontId="12" numFmtId="0" xfId="0" applyAlignment="1" applyBorder="1" applyFont="1">
      <alignment horizontal="center" readingOrder="0" shrinkToFit="0" vertical="center" wrapText="1"/>
    </xf>
    <xf borderId="15" fillId="0" fontId="12" numFmtId="0" xfId="0" applyAlignment="1" applyBorder="1" applyFont="1">
      <alignment horizontal="center" readingOrder="0" shrinkToFit="0" vertical="center" wrapText="1"/>
    </xf>
    <xf borderId="22" fillId="0" fontId="16" numFmtId="0" xfId="0" applyAlignment="1" applyBorder="1" applyFont="1">
      <alignment horizontal="center" readingOrder="0" shrinkToFit="0" vertical="center" wrapText="1"/>
    </xf>
    <xf borderId="22" fillId="0" fontId="16" numFmtId="0" xfId="0" applyAlignment="1" applyBorder="1" applyFont="1">
      <alignment horizontal="center" shrinkToFit="0" vertical="center" wrapText="1"/>
    </xf>
    <xf borderId="17" fillId="0" fontId="46" numFmtId="0" xfId="0" applyAlignment="1" applyBorder="1" applyFont="1">
      <alignment horizontal="center" readingOrder="0" shrinkToFit="0" vertical="center" wrapText="1"/>
    </xf>
    <xf borderId="18" fillId="0" fontId="11" numFmtId="0" xfId="0" applyBorder="1" applyFont="1"/>
    <xf borderId="23" fillId="0" fontId="11" numFmtId="0" xfId="0" applyBorder="1" applyFont="1"/>
    <xf borderId="3" fillId="6" fontId="47" numFmtId="0" xfId="0" applyAlignment="1" applyBorder="1" applyFont="1">
      <alignment horizontal="center" shrinkToFit="0" vertical="center" wrapText="1"/>
    </xf>
    <xf borderId="1" fillId="6" fontId="48" numFmtId="0" xfId="0" applyAlignment="1" applyBorder="1" applyFont="1">
      <alignment horizontal="center" shrinkToFit="0" vertical="center" wrapText="1"/>
    </xf>
    <xf borderId="6" fillId="6" fontId="49" numFmtId="0" xfId="0" applyAlignment="1" applyBorder="1" applyFont="1">
      <alignment horizontal="center" shrinkToFit="0" vertical="center" wrapText="1"/>
    </xf>
    <xf borderId="14" fillId="6" fontId="50" numFmtId="0" xfId="0" applyAlignment="1" applyBorder="1" applyFont="1">
      <alignment horizontal="center" shrinkToFit="0" vertical="center" wrapText="1"/>
    </xf>
    <xf borderId="3" fillId="7" fontId="51" numFmtId="0" xfId="0" applyAlignment="1" applyBorder="1" applyFont="1">
      <alignment horizontal="center" shrinkToFit="0" vertical="center" wrapText="1"/>
    </xf>
    <xf borderId="1" fillId="7" fontId="52" numFmtId="0" xfId="0" applyAlignment="1" applyBorder="1" applyFont="1">
      <alignment horizontal="center" shrinkToFit="0" vertical="center" wrapText="1"/>
    </xf>
    <xf borderId="6" fillId="7" fontId="53" numFmtId="0" xfId="0" applyAlignment="1" applyBorder="1" applyFont="1">
      <alignment horizontal="center" shrinkToFit="0" vertical="center" wrapText="1"/>
    </xf>
    <xf borderId="14" fillId="7" fontId="54" numFmtId="0" xfId="0" applyAlignment="1" applyBorder="1" applyFont="1">
      <alignment horizontal="center" shrinkToFit="0" vertical="center" wrapText="1"/>
    </xf>
    <xf borderId="1" fillId="0" fontId="55" numFmtId="0" xfId="0" applyAlignment="1" applyBorder="1" applyFont="1">
      <alignment horizontal="center" readingOrder="0" shrinkToFit="0" vertical="top" wrapText="0"/>
    </xf>
    <xf borderId="17" fillId="0" fontId="56" numFmtId="0" xfId="0" applyAlignment="1" applyBorder="1" applyFont="1">
      <alignment horizontal="center" shrinkToFit="0" vertical="center" wrapText="1"/>
    </xf>
    <xf borderId="1" fillId="13" fontId="6" numFmtId="0" xfId="0" applyAlignment="1" applyBorder="1" applyFill="1" applyFont="1">
      <alignment horizontal="center" vertical="center"/>
    </xf>
    <xf borderId="1" fillId="13" fontId="7" numFmtId="0" xfId="0" applyAlignment="1" applyBorder="1" applyFont="1">
      <alignment horizontal="center"/>
    </xf>
    <xf borderId="1" fillId="14" fontId="6" numFmtId="0" xfId="0" applyAlignment="1" applyBorder="1" applyFill="1" applyFont="1">
      <alignment horizontal="center" vertical="center"/>
    </xf>
    <xf borderId="0" fillId="0" fontId="57" numFmtId="0" xfId="0" applyAlignment="1" applyFont="1">
      <alignment horizontal="left" shrinkToFit="0" wrapText="1"/>
    </xf>
    <xf borderId="1" fillId="15" fontId="6" numFmtId="0" xfId="0" applyAlignment="1" applyBorder="1" applyFill="1" applyFont="1">
      <alignment horizontal="center" vertical="center"/>
    </xf>
    <xf borderId="1" fillId="16" fontId="6" numFmtId="0" xfId="0" applyAlignment="1" applyBorder="1" applyFill="1" applyFont="1">
      <alignment horizontal="center" vertical="center"/>
    </xf>
    <xf borderId="3" fillId="13" fontId="58" numFmtId="0" xfId="0" applyAlignment="1" applyBorder="1" applyFont="1">
      <alignment horizontal="center" shrinkToFit="0" vertical="center" wrapText="1"/>
    </xf>
    <xf borderId="1" fillId="13" fontId="59" numFmtId="0" xfId="0" applyAlignment="1" applyBorder="1" applyFont="1">
      <alignment horizontal="center" shrinkToFit="0" vertical="center" wrapText="1"/>
    </xf>
    <xf borderId="6" fillId="13" fontId="60" numFmtId="0" xfId="0" applyAlignment="1" applyBorder="1" applyFont="1">
      <alignment horizontal="center" shrinkToFit="0" vertical="center" wrapText="1"/>
    </xf>
    <xf borderId="14" fillId="13" fontId="61" numFmtId="0" xfId="0" applyAlignment="1" applyBorder="1" applyFont="1">
      <alignment horizontal="center" shrinkToFit="0" vertical="center" wrapText="1"/>
    </xf>
    <xf borderId="12" fillId="13" fontId="12" numFmtId="0" xfId="0" applyAlignment="1" applyBorder="1" applyFont="1">
      <alignment horizontal="center" shrinkToFit="0" vertical="center" wrapText="1"/>
    </xf>
    <xf borderId="1" fillId="13" fontId="16" numFmtId="0" xfId="0" applyAlignment="1" applyBorder="1" applyFont="1">
      <alignment horizontal="center" shrinkToFit="0" vertical="center" wrapText="1"/>
    </xf>
    <xf borderId="13" fillId="13" fontId="12" numFmtId="0" xfId="0" applyAlignment="1" applyBorder="1" applyFont="1">
      <alignment horizontal="center" shrinkToFit="0" vertical="center" wrapText="1"/>
    </xf>
    <xf borderId="13" fillId="13" fontId="16" numFmtId="0" xfId="0" applyAlignment="1" applyBorder="1" applyFont="1">
      <alignment horizontal="center" shrinkToFit="0" vertical="center" wrapText="1"/>
    </xf>
    <xf borderId="15" fillId="13" fontId="12" numFmtId="0" xfId="0" applyAlignment="1" applyBorder="1" applyFont="1">
      <alignment horizontal="center" shrinkToFit="0" vertical="center" wrapText="1"/>
    </xf>
    <xf borderId="17" fillId="13" fontId="12" numFmtId="0" xfId="0" applyAlignment="1" applyBorder="1" applyFont="1">
      <alignment horizontal="center" shrinkToFit="0" vertical="center" wrapText="1"/>
    </xf>
    <xf borderId="18" fillId="13" fontId="12" numFmtId="0" xfId="0" applyAlignment="1" applyBorder="1" applyFont="1">
      <alignment horizontal="center" shrinkToFit="0" vertical="center" wrapText="1"/>
    </xf>
    <xf borderId="18" fillId="13" fontId="16" numFmtId="0" xfId="0" applyAlignment="1" applyBorder="1" applyFont="1">
      <alignment horizontal="center" shrinkToFit="0" vertical="center" wrapText="1"/>
    </xf>
    <xf borderId="7" fillId="13" fontId="16" numFmtId="0" xfId="0" applyAlignment="1" applyBorder="1" applyFont="1">
      <alignment horizontal="center" shrinkToFit="0" vertical="center" wrapText="1"/>
    </xf>
    <xf borderId="8" fillId="13" fontId="16" numFmtId="0" xfId="0" applyAlignment="1" applyBorder="1" applyFont="1">
      <alignment horizontal="center" shrinkToFit="0" vertical="center" wrapText="1"/>
    </xf>
    <xf borderId="6" fillId="13" fontId="62" numFmtId="0" xfId="0" applyAlignment="1" applyBorder="1" applyFont="1">
      <alignment horizontal="center" readingOrder="0" shrinkToFit="0" vertical="center" wrapText="1"/>
    </xf>
    <xf borderId="3" fillId="17" fontId="63" numFmtId="0" xfId="0" applyAlignment="1" applyBorder="1" applyFill="1" applyFont="1">
      <alignment horizontal="center" shrinkToFit="0" vertical="center" wrapText="1"/>
    </xf>
    <xf borderId="1" fillId="17" fontId="64" numFmtId="0" xfId="0" applyAlignment="1" applyBorder="1" applyFont="1">
      <alignment horizontal="center" shrinkToFit="0" vertical="center" wrapText="1"/>
    </xf>
    <xf borderId="6" fillId="17" fontId="65" numFmtId="0" xfId="0" applyAlignment="1" applyBorder="1" applyFont="1">
      <alignment horizontal="center" shrinkToFit="0" vertical="center" wrapText="1"/>
    </xf>
    <xf borderId="9" fillId="18" fontId="16" numFmtId="0" xfId="0" applyAlignment="1" applyBorder="1" applyFill="1" applyFont="1">
      <alignment horizontal="center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4" fillId="17" fontId="66" numFmtId="0" xfId="0" applyAlignment="1" applyBorder="1" applyFont="1">
      <alignment horizontal="center" shrinkToFit="0" vertical="center" wrapText="1"/>
    </xf>
    <xf borderId="6" fillId="17" fontId="67" numFmtId="0" xfId="0" applyAlignment="1" applyBorder="1" applyFont="1">
      <alignment horizontal="center" readingOrder="0" shrinkToFit="0" vertical="center" wrapText="1"/>
    </xf>
    <xf borderId="0" fillId="0" fontId="42" numFmtId="0" xfId="0" applyFont="1"/>
    <xf borderId="3" fillId="15" fontId="68" numFmtId="0" xfId="0" applyAlignment="1" applyBorder="1" applyFont="1">
      <alignment horizontal="center" shrinkToFit="0" vertical="center" wrapText="1"/>
    </xf>
    <xf borderId="1" fillId="19" fontId="69" numFmtId="0" xfId="0" applyAlignment="1" applyBorder="1" applyFill="1" applyFont="1">
      <alignment horizontal="center" shrinkToFit="0" vertical="center" wrapText="1"/>
    </xf>
    <xf borderId="6" fillId="19" fontId="70" numFmtId="0" xfId="0" applyAlignment="1" applyBorder="1" applyFont="1">
      <alignment horizontal="center" shrinkToFit="0" vertical="center" wrapText="1"/>
    </xf>
    <xf borderId="14" fillId="19" fontId="71" numFmtId="0" xfId="0" applyAlignment="1" applyBorder="1" applyFont="1">
      <alignment horizontal="center" shrinkToFit="0" vertical="center" wrapText="1"/>
    </xf>
    <xf borderId="3" fillId="16" fontId="72" numFmtId="0" xfId="0" applyAlignment="1" applyBorder="1" applyFont="1">
      <alignment horizontal="center" shrinkToFit="0" vertical="center" wrapText="1"/>
    </xf>
    <xf borderId="1" fillId="16" fontId="73" numFmtId="0" xfId="0" applyAlignment="1" applyBorder="1" applyFont="1">
      <alignment horizontal="center" shrinkToFit="0" vertical="center" wrapText="1"/>
    </xf>
    <xf borderId="6" fillId="16" fontId="74" numFmtId="0" xfId="0" applyAlignment="1" applyBorder="1" applyFont="1">
      <alignment horizontal="center" shrinkToFit="0" vertical="center" wrapText="1"/>
    </xf>
    <xf borderId="14" fillId="16" fontId="75" numFmtId="0" xfId="0" applyAlignment="1" applyBorder="1" applyFont="1">
      <alignment horizontal="center" shrinkToFit="0" vertical="center" wrapText="1"/>
    </xf>
    <xf borderId="0" fillId="0" fontId="32" numFmtId="0" xfId="0" applyAlignment="1" applyFont="1">
      <alignment horizontal="center" readingOrder="0" shrinkToFit="0" vertical="bottom" wrapText="0"/>
    </xf>
    <xf borderId="9" fillId="1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2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2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2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123825</xdr:rowOff>
    </xdr:from>
    <xdr:ext cx="1133475" cy="4095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0</xdr:row>
      <xdr:rowOff>57150</xdr:rowOff>
    </xdr:from>
    <xdr:ext cx="638175" cy="657225"/>
    <xdr:pic>
      <xdr:nvPicPr>
        <xdr:cNvPr descr="A logo of a tennis club&#10;&#10;Description automatically generated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57150</xdr:colOff>
      <xdr:row>0</xdr:row>
      <xdr:rowOff>0</xdr:rowOff>
    </xdr:from>
    <xdr:ext cx="1076325" cy="857250"/>
    <xdr:pic>
      <xdr:nvPicPr>
        <xdr:cNvPr descr="F:\Sports Experience Chosen Doubles 2022\37338445_348867138980118_577151030857302016_n.jpg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76200</xdr:rowOff>
    </xdr:from>
    <xdr:ext cx="638175" cy="657225"/>
    <xdr:pic>
      <xdr:nvPicPr>
        <xdr:cNvPr descr="A logo of a tennis club&#10;&#10;Description automatically generated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180975</xdr:colOff>
      <xdr:row>0</xdr:row>
      <xdr:rowOff>0</xdr:rowOff>
    </xdr:from>
    <xdr:ext cx="981075" cy="800100"/>
    <xdr:pic>
      <xdr:nvPicPr>
        <xdr:cNvPr descr="F:\Sports Experience Chosen Doubles 2022\37338445_348867138980118_577151030857302016_n.jpg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0</xdr:row>
      <xdr:rowOff>85725</xdr:rowOff>
    </xdr:from>
    <xdr:ext cx="638175" cy="657225"/>
    <xdr:pic>
      <xdr:nvPicPr>
        <xdr:cNvPr descr="A logo of a tennis club&#10;&#10;Description automatically generated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76200</xdr:colOff>
      <xdr:row>0</xdr:row>
      <xdr:rowOff>0</xdr:rowOff>
    </xdr:from>
    <xdr:ext cx="1066800" cy="762000"/>
    <xdr:pic>
      <xdr:nvPicPr>
        <xdr:cNvPr descr="F:\Sports Experience Chosen Doubles 2022\37338445_348867138980118_577151030857302016_n.jpg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0</xdr:row>
      <xdr:rowOff>66675</xdr:rowOff>
    </xdr:from>
    <xdr:ext cx="638175" cy="657225"/>
    <xdr:pic>
      <xdr:nvPicPr>
        <xdr:cNvPr descr="A logo of a tennis club&#10;&#10;Description automatically generated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32</xdr:col>
      <xdr:colOff>476250</xdr:colOff>
      <xdr:row>0</xdr:row>
      <xdr:rowOff>0</xdr:rowOff>
    </xdr:from>
    <xdr:ext cx="1266825" cy="790575"/>
    <xdr:pic>
      <xdr:nvPicPr>
        <xdr:cNvPr descr="F:\Sports Experience Chosen Doubles 2022\37338445_348867138980118_577151030857302016_n.jpg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0</xdr:row>
      <xdr:rowOff>66675</xdr:rowOff>
    </xdr:from>
    <xdr:ext cx="638175" cy="657225"/>
    <xdr:pic>
      <xdr:nvPicPr>
        <xdr:cNvPr descr="A logo of a tennis club&#10;&#10;Description automatically generated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123825</xdr:rowOff>
    </xdr:from>
    <xdr:ext cx="1133475" cy="4095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0</xdr:row>
      <xdr:rowOff>57150</xdr:rowOff>
    </xdr:from>
    <xdr:ext cx="638175" cy="657225"/>
    <xdr:pic>
      <xdr:nvPicPr>
        <xdr:cNvPr descr="A logo of a tennis club&#10;&#10;Description automatically generated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32</xdr:col>
      <xdr:colOff>342900</xdr:colOff>
      <xdr:row>0</xdr:row>
      <xdr:rowOff>28575</xdr:rowOff>
    </xdr:from>
    <xdr:ext cx="1114425" cy="819150"/>
    <xdr:pic>
      <xdr:nvPicPr>
        <xdr:cNvPr descr="F:\Sports Experience Chosen Doubles 2022\37338445_348867138980118_577151030857302016_n.jpg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0</xdr:row>
      <xdr:rowOff>66675</xdr:rowOff>
    </xdr:from>
    <xdr:ext cx="638175" cy="657225"/>
    <xdr:pic>
      <xdr:nvPicPr>
        <xdr:cNvPr descr="A logo of a tennis club&#10;&#10;Description automatically generated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47625</xdr:colOff>
      <xdr:row>0</xdr:row>
      <xdr:rowOff>0</xdr:rowOff>
    </xdr:from>
    <xdr:ext cx="981075" cy="781050"/>
    <xdr:pic>
      <xdr:nvPicPr>
        <xdr:cNvPr descr="F:\Sports Experience Chosen Doubles 2022\37338445_348867138980118_577151030857302016_n.jpg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0</xdr:row>
      <xdr:rowOff>114300</xdr:rowOff>
    </xdr:from>
    <xdr:ext cx="638175" cy="657225"/>
    <xdr:pic>
      <xdr:nvPicPr>
        <xdr:cNvPr descr="A logo of a tennis club&#10;&#10;Description automatically generated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32</xdr:col>
      <xdr:colOff>304800</xdr:colOff>
      <xdr:row>0</xdr:row>
      <xdr:rowOff>19050</xdr:rowOff>
    </xdr:from>
    <xdr:ext cx="1114425" cy="819150"/>
    <xdr:pic>
      <xdr:nvPicPr>
        <xdr:cNvPr descr="F:\Sports Experience Chosen Doubles 2022\37338445_348867138980118_577151030857302016_n.jpg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0</xdr:row>
      <xdr:rowOff>104775</xdr:rowOff>
    </xdr:from>
    <xdr:ext cx="638175" cy="657225"/>
    <xdr:pic>
      <xdr:nvPicPr>
        <xdr:cNvPr descr="A logo of a tennis club&#10;&#10;Description automatically generated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57.38"/>
    <col customWidth="1" min="3" max="3" width="9.13"/>
    <col customWidth="1" min="4" max="4" width="8.0"/>
    <col customWidth="1" min="5" max="5" width="58.13"/>
    <col customWidth="1" min="6" max="9" width="9.13"/>
  </cols>
  <sheetData>
    <row r="1" ht="21.0" customHeight="1">
      <c r="A1" s="1" t="s">
        <v>0</v>
      </c>
    </row>
    <row r="2" ht="30.0" customHeight="1">
      <c r="A2" s="2" t="s">
        <v>1</v>
      </c>
    </row>
    <row r="3" ht="9.75" customHeight="1">
      <c r="A3" s="3"/>
      <c r="B3" s="3"/>
      <c r="C3" s="3"/>
      <c r="D3" s="3"/>
      <c r="E3" s="3"/>
      <c r="F3" s="3"/>
      <c r="G3" s="3"/>
    </row>
    <row r="4" ht="9.75" customHeight="1">
      <c r="A4" s="3"/>
      <c r="B4" s="3"/>
      <c r="C4" s="3"/>
      <c r="D4" s="3"/>
      <c r="E4" s="3"/>
      <c r="F4" s="3"/>
      <c r="G4" s="3"/>
      <c r="H4" s="4"/>
      <c r="I4" s="4"/>
    </row>
    <row r="5" ht="21.0" customHeight="1">
      <c r="A5" s="5"/>
      <c r="B5" s="6" t="s">
        <v>2</v>
      </c>
      <c r="C5" s="3"/>
      <c r="D5" s="5"/>
      <c r="E5" s="7"/>
      <c r="F5" s="3"/>
      <c r="G5" s="8"/>
      <c r="H5" s="4"/>
      <c r="I5" s="4"/>
    </row>
    <row r="6" ht="21.0" customHeight="1">
      <c r="A6" s="9">
        <v>1.0</v>
      </c>
      <c r="B6" s="10" t="s">
        <v>3</v>
      </c>
      <c r="C6" s="3"/>
      <c r="D6" s="5"/>
      <c r="E6" s="11"/>
      <c r="F6" s="3"/>
      <c r="H6" s="12"/>
      <c r="I6" s="4"/>
    </row>
    <row r="7" ht="21.0" customHeight="1">
      <c r="A7" s="9">
        <v>2.0</v>
      </c>
      <c r="B7" s="10" t="s">
        <v>4</v>
      </c>
      <c r="C7" s="3"/>
      <c r="D7" s="5"/>
      <c r="E7" s="11"/>
      <c r="F7" s="3"/>
      <c r="G7" s="12" t="s">
        <v>5</v>
      </c>
    </row>
    <row r="8" ht="21.0" customHeight="1">
      <c r="A8" s="9">
        <v>3.0</v>
      </c>
      <c r="B8" s="10" t="s">
        <v>6</v>
      </c>
      <c r="C8" s="3"/>
      <c r="D8" s="5"/>
      <c r="E8" s="11"/>
      <c r="F8" s="3"/>
    </row>
    <row r="9" ht="21.0" customHeight="1">
      <c r="A9" s="9">
        <v>4.0</v>
      </c>
      <c r="B9" s="10" t="s">
        <v>7</v>
      </c>
      <c r="C9" s="3"/>
      <c r="D9" s="5"/>
      <c r="E9" s="11"/>
      <c r="F9" s="3"/>
    </row>
    <row r="10" ht="21.0" customHeight="1">
      <c r="A10" s="13">
        <v>5.0</v>
      </c>
      <c r="B10" s="14" t="s">
        <v>8</v>
      </c>
      <c r="C10" s="3"/>
      <c r="D10" s="5"/>
      <c r="E10" s="11"/>
      <c r="F10" s="3"/>
    </row>
    <row r="11" ht="21.0" customHeight="1">
      <c r="A11" s="9">
        <v>6.0</v>
      </c>
      <c r="B11" s="10" t="s">
        <v>9</v>
      </c>
      <c r="C11" s="3"/>
      <c r="D11" s="5"/>
      <c r="E11" s="11"/>
      <c r="F11" s="3"/>
    </row>
    <row r="12" ht="21.0" customHeight="1">
      <c r="A12" s="5"/>
      <c r="B12" s="15"/>
      <c r="C12" s="3"/>
      <c r="D12" s="3"/>
      <c r="E12" s="3"/>
      <c r="F12" s="3"/>
    </row>
    <row r="13" ht="21.0" customHeight="1">
      <c r="A13" s="5"/>
      <c r="B13" s="16" t="s">
        <v>10</v>
      </c>
      <c r="C13" s="3"/>
      <c r="D13" s="5"/>
      <c r="E13" s="7"/>
      <c r="F13" s="3"/>
      <c r="G13" s="12"/>
    </row>
    <row r="14" ht="21.0" customHeight="1">
      <c r="A14" s="9">
        <v>1.0</v>
      </c>
      <c r="B14" s="17" t="s">
        <v>11</v>
      </c>
      <c r="C14" s="3"/>
      <c r="D14" s="5"/>
      <c r="E14" s="11"/>
      <c r="F14" s="3"/>
    </row>
    <row r="15" ht="21.0" customHeight="1">
      <c r="A15" s="9">
        <v>2.0</v>
      </c>
      <c r="B15" s="10" t="s">
        <v>12</v>
      </c>
      <c r="C15" s="3"/>
      <c r="D15" s="5"/>
      <c r="E15" s="11"/>
      <c r="F15" s="3"/>
    </row>
    <row r="16" ht="21.0" customHeight="1">
      <c r="A16" s="9">
        <v>3.0</v>
      </c>
      <c r="B16" s="10" t="s">
        <v>13</v>
      </c>
      <c r="C16" s="3"/>
      <c r="D16" s="5"/>
      <c r="E16" s="11"/>
      <c r="F16" s="3"/>
      <c r="G16" s="3"/>
    </row>
    <row r="17" ht="21.0" customHeight="1">
      <c r="A17" s="9">
        <v>4.0</v>
      </c>
      <c r="B17" s="10" t="s">
        <v>14</v>
      </c>
      <c r="C17" s="3"/>
      <c r="D17" s="5"/>
      <c r="E17" s="11"/>
      <c r="F17" s="3"/>
      <c r="G17" s="3"/>
    </row>
    <row r="18" ht="21.0" customHeight="1">
      <c r="A18" s="9">
        <v>5.0</v>
      </c>
      <c r="B18" s="10" t="s">
        <v>15</v>
      </c>
      <c r="C18" s="3"/>
      <c r="D18" s="5"/>
      <c r="E18" s="11"/>
    </row>
    <row r="19" ht="21.0" customHeight="1">
      <c r="A19" s="9">
        <v>6.0</v>
      </c>
      <c r="B19" s="10" t="s">
        <v>16</v>
      </c>
      <c r="C19" s="3"/>
      <c r="D19" s="5"/>
      <c r="E19" s="11"/>
    </row>
    <row r="20" ht="21.0" customHeight="1">
      <c r="A20" s="5"/>
      <c r="B20" s="5"/>
      <c r="C20" s="3"/>
      <c r="D20" s="3"/>
      <c r="E20" s="3"/>
    </row>
    <row r="21" ht="21.0" customHeight="1">
      <c r="A21" s="5"/>
      <c r="B21" s="18" t="s">
        <v>17</v>
      </c>
      <c r="C21" s="12"/>
      <c r="D21" s="5"/>
      <c r="E21" s="19" t="s">
        <v>18</v>
      </c>
    </row>
    <row r="22" ht="21.0" customHeight="1">
      <c r="A22" s="20">
        <v>1.0</v>
      </c>
      <c r="B22" s="10" t="s">
        <v>19</v>
      </c>
      <c r="C22" s="21"/>
      <c r="D22" s="9">
        <v>1.0</v>
      </c>
      <c r="E22" s="10" t="s">
        <v>20</v>
      </c>
    </row>
    <row r="23" ht="21.0" customHeight="1">
      <c r="A23" s="20">
        <v>2.0</v>
      </c>
      <c r="B23" s="10" t="s">
        <v>21</v>
      </c>
      <c r="C23" s="21"/>
      <c r="D23" s="9">
        <v>2.0</v>
      </c>
      <c r="E23" s="10" t="s">
        <v>22</v>
      </c>
    </row>
    <row r="24" ht="21.0" customHeight="1">
      <c r="A24" s="20">
        <v>3.0</v>
      </c>
      <c r="B24" s="10" t="s">
        <v>23</v>
      </c>
      <c r="C24" s="21"/>
      <c r="D24" s="9">
        <v>3.0</v>
      </c>
      <c r="E24" s="22" t="s">
        <v>24</v>
      </c>
    </row>
    <row r="25" ht="21.0" customHeight="1">
      <c r="A25" s="20">
        <v>4.0</v>
      </c>
      <c r="B25" s="10" t="s">
        <v>25</v>
      </c>
      <c r="C25" s="21"/>
      <c r="D25" s="9">
        <v>4.0</v>
      </c>
      <c r="E25" s="10" t="s">
        <v>26</v>
      </c>
    </row>
    <row r="26" ht="21.0" customHeight="1">
      <c r="A26" s="20">
        <v>5.0</v>
      </c>
      <c r="B26" s="10" t="s">
        <v>27</v>
      </c>
      <c r="C26" s="21"/>
      <c r="D26" s="9">
        <v>5.0</v>
      </c>
      <c r="E26" s="23" t="s">
        <v>28</v>
      </c>
    </row>
    <row r="27" ht="21.0" customHeight="1">
      <c r="A27" s="5"/>
      <c r="B27" s="5"/>
      <c r="C27" s="3"/>
      <c r="D27" s="3"/>
      <c r="E27" s="3"/>
      <c r="G27" s="8"/>
    </row>
    <row r="28" ht="21.0" customHeight="1">
      <c r="A28" s="5"/>
      <c r="B28" s="24" t="s">
        <v>29</v>
      </c>
      <c r="C28" s="3"/>
      <c r="D28" s="5"/>
      <c r="E28" s="25" t="s">
        <v>30</v>
      </c>
    </row>
    <row r="29" ht="21.0" customHeight="1">
      <c r="A29" s="26">
        <v>1.0</v>
      </c>
      <c r="B29" s="10" t="s">
        <v>31</v>
      </c>
      <c r="C29" s="3"/>
      <c r="D29" s="26">
        <v>1.0</v>
      </c>
      <c r="E29" s="22" t="s">
        <v>32</v>
      </c>
    </row>
    <row r="30" ht="21.0" customHeight="1">
      <c r="A30" s="26">
        <v>2.0</v>
      </c>
      <c r="B30" s="10" t="s">
        <v>33</v>
      </c>
      <c r="C30" s="3"/>
      <c r="D30" s="26">
        <v>2.0</v>
      </c>
      <c r="E30" s="10" t="s">
        <v>34</v>
      </c>
    </row>
    <row r="31" ht="21.0" customHeight="1">
      <c r="A31" s="26">
        <v>3.0</v>
      </c>
      <c r="B31" s="10" t="s">
        <v>35</v>
      </c>
      <c r="C31" s="3"/>
      <c r="D31" s="26">
        <v>3.0</v>
      </c>
      <c r="E31" s="10" t="s">
        <v>36</v>
      </c>
    </row>
    <row r="32" ht="21.0" customHeight="1">
      <c r="A32" s="26">
        <v>4.0</v>
      </c>
      <c r="B32" s="10" t="s">
        <v>37</v>
      </c>
      <c r="C32" s="3"/>
      <c r="D32" s="26">
        <v>4.0</v>
      </c>
      <c r="E32" s="10" t="s">
        <v>38</v>
      </c>
    </row>
    <row r="33" ht="21.0" customHeight="1">
      <c r="A33" s="26">
        <v>5.0</v>
      </c>
      <c r="B33" s="10" t="s">
        <v>39</v>
      </c>
      <c r="C33" s="3"/>
      <c r="D33" s="26">
        <v>5.0</v>
      </c>
      <c r="E33" s="10" t="s">
        <v>40</v>
      </c>
    </row>
    <row r="34" ht="21.0" customHeight="1">
      <c r="A34" s="5"/>
      <c r="B34" s="5"/>
    </row>
    <row r="35" ht="21.0" customHeight="1">
      <c r="A35" s="5"/>
      <c r="B35" s="15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0.75" footer="0.0" header="0.0" left="0.25" right="0.25" top="0.75"/>
  <pageSetup paperSize="9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5"/>
    <col customWidth="1" min="2" max="2" width="7.0"/>
    <col customWidth="1" hidden="1" min="3" max="3" width="4.5"/>
    <col customWidth="1" min="4" max="4" width="1.63"/>
    <col customWidth="1" min="5" max="5" width="7.0"/>
    <col customWidth="1" hidden="1" min="6" max="6" width="3.38"/>
    <col customWidth="1" min="7" max="7" width="1.63"/>
    <col customWidth="1" min="8" max="8" width="7.0"/>
    <col customWidth="1" hidden="1" min="9" max="9" width="4.38"/>
    <col customWidth="1" hidden="1" min="10" max="10" width="2.88"/>
    <col customWidth="1" hidden="1" min="11" max="11" width="3.0"/>
    <col customWidth="1" hidden="1" min="12" max="12" width="4.13"/>
    <col customWidth="1" hidden="1" min="13" max="13" width="3.63"/>
    <col customWidth="1" hidden="1" min="14" max="14" width="4.13"/>
    <col customWidth="1" min="15" max="15" width="4.88"/>
    <col customWidth="1" min="16" max="16" width="50.13"/>
    <col customWidth="1" min="17" max="17" width="7.0"/>
    <col customWidth="1" hidden="1" min="18" max="18" width="5.5"/>
    <col customWidth="1" min="19" max="19" width="1.63"/>
    <col customWidth="1" min="20" max="20" width="7.0"/>
    <col customWidth="1" hidden="1" min="21" max="21" width="5.5"/>
    <col customWidth="1" min="22" max="22" width="1.63"/>
    <col customWidth="1" min="23" max="23" width="6.63"/>
    <col customWidth="1" hidden="1" min="24" max="24" width="4.63"/>
    <col customWidth="1" hidden="1" min="25" max="25" width="4.0"/>
    <col customWidth="1" hidden="1" min="26" max="26" width="4.88"/>
    <col customWidth="1" hidden="1" min="27" max="27" width="4.5"/>
    <col customWidth="1" hidden="1" min="28" max="28" width="5.13"/>
    <col customWidth="1" hidden="1" min="29" max="29" width="4.5"/>
    <col customWidth="1" min="30" max="30" width="4.63"/>
    <col customWidth="1" min="31" max="31" width="36.88"/>
    <col customWidth="1" min="32" max="32" width="10.13"/>
    <col customWidth="1" min="33" max="35" width="8.63"/>
  </cols>
  <sheetData>
    <row r="1" ht="21.0" customHeight="1">
      <c r="A1" s="27" t="s">
        <v>41</v>
      </c>
      <c r="AJ1" s="3"/>
      <c r="AK1" s="3"/>
      <c r="AL1" s="3"/>
    </row>
    <row r="2" ht="21.0" customHeight="1">
      <c r="AJ2" s="3"/>
      <c r="AK2" s="3"/>
      <c r="AL2" s="3"/>
    </row>
    <row r="3" ht="15.0" customHeight="1">
      <c r="A3" s="28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ht="15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ht="22.5" customHeight="1">
      <c r="A5" s="29" t="s">
        <v>42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1"/>
    </row>
    <row r="6" ht="15.0" customHeigh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</row>
    <row r="7">
      <c r="A7" s="33" t="s">
        <v>43</v>
      </c>
      <c r="B7" s="34" t="s">
        <v>44</v>
      </c>
      <c r="C7" s="35"/>
      <c r="D7" s="35"/>
      <c r="E7" s="36"/>
      <c r="F7" s="37"/>
      <c r="G7" s="38"/>
      <c r="H7" s="33" t="s">
        <v>45</v>
      </c>
      <c r="I7" s="32"/>
      <c r="J7" s="32"/>
      <c r="K7" s="32"/>
      <c r="L7" s="32"/>
      <c r="M7" s="39"/>
      <c r="N7" s="39"/>
      <c r="O7" s="39"/>
      <c r="P7" s="33" t="s">
        <v>43</v>
      </c>
      <c r="Q7" s="34" t="s">
        <v>44</v>
      </c>
      <c r="R7" s="35"/>
      <c r="S7" s="35"/>
      <c r="T7" s="36"/>
      <c r="U7" s="40"/>
      <c r="V7" s="41"/>
      <c r="W7" s="33" t="s">
        <v>45</v>
      </c>
      <c r="X7" s="32"/>
      <c r="Y7" s="39"/>
      <c r="Z7" s="39"/>
      <c r="AA7" s="39"/>
      <c r="AB7" s="39"/>
      <c r="AC7" s="39"/>
      <c r="AD7" s="39"/>
      <c r="AE7" s="33" t="s">
        <v>46</v>
      </c>
      <c r="AF7" s="33" t="s">
        <v>47</v>
      </c>
      <c r="AG7" s="33" t="s">
        <v>48</v>
      </c>
      <c r="AH7" s="33" t="s">
        <v>49</v>
      </c>
      <c r="AI7" s="33" t="s">
        <v>50</v>
      </c>
    </row>
    <row r="8" hidden="1">
      <c r="A8" s="32"/>
      <c r="B8" s="42" t="s">
        <v>51</v>
      </c>
      <c r="C8" s="42" t="s">
        <v>52</v>
      </c>
      <c r="D8" s="42"/>
      <c r="E8" s="42" t="s">
        <v>51</v>
      </c>
      <c r="F8" s="42" t="s">
        <v>53</v>
      </c>
      <c r="G8" s="42"/>
      <c r="H8" s="42" t="s">
        <v>51</v>
      </c>
      <c r="I8" s="42" t="s">
        <v>54</v>
      </c>
      <c r="J8" s="42" t="s">
        <v>55</v>
      </c>
      <c r="K8" s="42" t="s">
        <v>56</v>
      </c>
      <c r="L8" s="42" t="s">
        <v>57</v>
      </c>
      <c r="M8" s="42" t="s">
        <v>58</v>
      </c>
      <c r="N8" s="42" t="s">
        <v>59</v>
      </c>
      <c r="O8" s="32"/>
      <c r="P8" s="32"/>
      <c r="Q8" s="42" t="s">
        <v>51</v>
      </c>
      <c r="R8" s="42" t="s">
        <v>52</v>
      </c>
      <c r="S8" s="42"/>
      <c r="T8" s="42" t="s">
        <v>51</v>
      </c>
      <c r="U8" s="42" t="s">
        <v>53</v>
      </c>
      <c r="V8" s="42"/>
      <c r="W8" s="42" t="s">
        <v>51</v>
      </c>
      <c r="X8" s="42" t="s">
        <v>54</v>
      </c>
      <c r="Y8" s="42" t="s">
        <v>55</v>
      </c>
      <c r="Z8" s="42" t="s">
        <v>56</v>
      </c>
      <c r="AA8" s="42" t="s">
        <v>57</v>
      </c>
      <c r="AB8" s="42" t="s">
        <v>58</v>
      </c>
      <c r="AC8" s="42" t="s">
        <v>59</v>
      </c>
      <c r="AD8" s="32"/>
      <c r="AE8" s="39"/>
      <c r="AF8" s="39"/>
      <c r="AG8" s="39"/>
      <c r="AH8" s="39"/>
      <c r="AI8" s="39"/>
      <c r="AJ8" s="43" t="s">
        <v>60</v>
      </c>
      <c r="AK8" s="43" t="s">
        <v>61</v>
      </c>
      <c r="AL8" s="43" t="s">
        <v>62</v>
      </c>
    </row>
    <row r="9" ht="15.0" customHeight="1">
      <c r="A9" s="44" t="str">
        <f>AE9</f>
        <v>Duncan D'Alessandro/Clayton Zammit Cesare</v>
      </c>
      <c r="B9" s="45">
        <v>6.0</v>
      </c>
      <c r="C9" s="46">
        <f>IF(B9&gt;B11,1,0)</f>
        <v>1</v>
      </c>
      <c r="D9" s="47"/>
      <c r="E9" s="45">
        <v>4.0</v>
      </c>
      <c r="F9" s="46">
        <f>IF(E9&gt;E11,1,0)</f>
        <v>0</v>
      </c>
      <c r="G9" s="47"/>
      <c r="H9" s="45">
        <v>10.0</v>
      </c>
      <c r="I9" s="32">
        <f>IF(H9&gt;H11,1,0)</f>
        <v>1</v>
      </c>
      <c r="J9" s="32">
        <f>IF(B9="",0,1)</f>
        <v>1</v>
      </c>
      <c r="K9" s="32">
        <f>IF(C9+F9=2,3,IF(C9+F9=1,1,0))</f>
        <v>1</v>
      </c>
      <c r="L9" s="32">
        <f>IF(K9=3,3,IF(I9+K9=2,2,IF(K9=1,1,0)))</f>
        <v>2</v>
      </c>
      <c r="M9" s="32">
        <f>B9+E9</f>
        <v>10</v>
      </c>
      <c r="N9" s="32">
        <f>C9+F9+I9</f>
        <v>2</v>
      </c>
      <c r="O9" s="32"/>
      <c r="P9" s="44" t="str">
        <f>AE9</f>
        <v>Duncan D'Alessandro/Clayton Zammit Cesare</v>
      </c>
      <c r="Q9" s="45">
        <v>6.0</v>
      </c>
      <c r="R9" s="46">
        <f>IF(Q9&gt;Q11,1,0)</f>
        <v>1</v>
      </c>
      <c r="S9" s="47"/>
      <c r="T9" s="45">
        <v>6.0</v>
      </c>
      <c r="U9" s="46">
        <f>IF(T9&gt;T11,1,0)</f>
        <v>1</v>
      </c>
      <c r="V9" s="47"/>
      <c r="W9" s="48"/>
      <c r="X9" s="32">
        <f>IF(W9&gt;W11,1,0)</f>
        <v>0</v>
      </c>
      <c r="Y9" s="32">
        <f>IF(Q9="",0,1)</f>
        <v>1</v>
      </c>
      <c r="Z9" s="32">
        <f>IF(R9+U9=2,3,IF(R9+U9=1,1,0))</f>
        <v>3</v>
      </c>
      <c r="AA9" s="32">
        <f>IF(Z9=3,3,IF(X9+Z9=2,2,IF(Z9=1,1,0)))</f>
        <v>3</v>
      </c>
      <c r="AB9" s="32">
        <f>Q9+T9</f>
        <v>12</v>
      </c>
      <c r="AC9" s="32">
        <f>R9+U9+X9</f>
        <v>2</v>
      </c>
      <c r="AD9" s="32"/>
      <c r="AE9" s="49" t="str">
        <f>'Players Men'!B6</f>
        <v>Duncan D'Alessandro/Clayton Zammit Cesare</v>
      </c>
      <c r="AF9" s="50">
        <f>J9+Y9+Y13+J13+Y25</f>
        <v>5</v>
      </c>
      <c r="AG9" s="50">
        <f t="shared" ref="AG9:AI9" si="1">L9+AA9+L13+AA13+AA25</f>
        <v>14</v>
      </c>
      <c r="AH9" s="50">
        <f t="shared" si="1"/>
        <v>59</v>
      </c>
      <c r="AI9" s="51">
        <f t="shared" si="1"/>
        <v>10</v>
      </c>
    </row>
    <row r="10" ht="15.0" customHeight="1">
      <c r="A10" s="52" t="s">
        <v>63</v>
      </c>
      <c r="H10" s="53"/>
      <c r="I10" s="54"/>
      <c r="J10" s="32"/>
      <c r="K10" s="32"/>
      <c r="L10" s="32"/>
      <c r="M10" s="32"/>
      <c r="N10" s="32"/>
      <c r="O10" s="32"/>
      <c r="P10" s="52" t="s">
        <v>63</v>
      </c>
      <c r="W10" s="53"/>
      <c r="X10" s="54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</row>
    <row r="11" ht="15.0" customHeight="1">
      <c r="A11" s="55" t="str">
        <f>AE11</f>
        <v>Mark Gatt/Manuel Bonello</v>
      </c>
      <c r="B11" s="45">
        <v>4.0</v>
      </c>
      <c r="C11" s="56">
        <f>IF(B11&gt;B9,1,0)</f>
        <v>0</v>
      </c>
      <c r="D11" s="57"/>
      <c r="E11" s="45">
        <v>6.0</v>
      </c>
      <c r="F11" s="56">
        <f>IF(E11&gt;E9,1,0)</f>
        <v>1</v>
      </c>
      <c r="G11" s="57"/>
      <c r="H11" s="45">
        <v>3.0</v>
      </c>
      <c r="I11" s="32">
        <f>IF(H11&gt;H9,1,0)</f>
        <v>0</v>
      </c>
      <c r="J11" s="32">
        <f>IF(B11="",0,1)</f>
        <v>1</v>
      </c>
      <c r="K11" s="32">
        <f>IF(C11+F11=2,3,IF(C11+F11=1,1,0))</f>
        <v>1</v>
      </c>
      <c r="L11" s="32">
        <f>IF(K11=3,3,IF(I11+K11=2,2,IF(K11=1,1,0)))</f>
        <v>1</v>
      </c>
      <c r="M11" s="32">
        <f>B11+E11</f>
        <v>10</v>
      </c>
      <c r="N11" s="32">
        <f>C11+F11+I11</f>
        <v>1</v>
      </c>
      <c r="O11" s="32"/>
      <c r="P11" s="55" t="str">
        <f>AE13</f>
        <v>Gabriel Pace/Nikolai Belli</v>
      </c>
      <c r="Q11" s="45">
        <v>0.0</v>
      </c>
      <c r="R11" s="56">
        <f>IF(Q11&gt;Q9,1,0)</f>
        <v>0</v>
      </c>
      <c r="S11" s="57"/>
      <c r="T11" s="45">
        <v>3.0</v>
      </c>
      <c r="U11" s="56">
        <f>IF(T11&gt;T9,1,0)</f>
        <v>0</v>
      </c>
      <c r="V11" s="57"/>
      <c r="W11" s="48"/>
      <c r="X11" s="32">
        <f>IF(W11&gt;W9,1,0)</f>
        <v>0</v>
      </c>
      <c r="Y11" s="32">
        <f>IF(Q11="",0,1)</f>
        <v>1</v>
      </c>
      <c r="Z11" s="32">
        <f>IF(R11+U11=2,3,IF(R11+U11=1,1,0))</f>
        <v>0</v>
      </c>
      <c r="AA11" s="32">
        <f>IF(Z11=3,3,IF(X11+Z11=2,2,IF(Z11=1,1,0)))</f>
        <v>0</v>
      </c>
      <c r="AB11" s="32">
        <f>Q11+T11</f>
        <v>3</v>
      </c>
      <c r="AC11" s="32">
        <f>R11+U11+X11</f>
        <v>0</v>
      </c>
      <c r="AD11" s="32"/>
      <c r="AE11" s="49" t="str">
        <f>'Players Men'!B7</f>
        <v>Mark Gatt/Manuel Bonello</v>
      </c>
      <c r="AF11" s="50">
        <f>J11+J25+Y21+J21+J37</f>
        <v>5</v>
      </c>
      <c r="AG11" s="50">
        <f t="shared" ref="AG11:AI11" si="2">L11+L25+AA21+L21+L37</f>
        <v>12</v>
      </c>
      <c r="AH11" s="58">
        <f t="shared" si="2"/>
        <v>58</v>
      </c>
      <c r="AI11" s="51">
        <f t="shared" si="2"/>
        <v>10</v>
      </c>
    </row>
    <row r="12" ht="15.0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9"/>
      <c r="AG12" s="39"/>
      <c r="AH12" s="39"/>
      <c r="AI12" s="39"/>
    </row>
    <row r="13">
      <c r="A13" s="44" t="str">
        <f>AE9</f>
        <v>Duncan D'Alessandro/Clayton Zammit Cesare</v>
      </c>
      <c r="B13" s="45">
        <v>6.0</v>
      </c>
      <c r="C13" s="46">
        <f>IF(B13&gt;B15,1,0)</f>
        <v>1</v>
      </c>
      <c r="D13" s="47"/>
      <c r="E13" s="45">
        <v>6.0</v>
      </c>
      <c r="F13" s="46">
        <f>IF(E13&gt;E15,1,0)</f>
        <v>1</v>
      </c>
      <c r="G13" s="47"/>
      <c r="H13" s="48"/>
      <c r="I13" s="32">
        <f>IF(H13&gt;H15,1,0)</f>
        <v>0</v>
      </c>
      <c r="J13" s="32">
        <f>IF(B13="",0,1)</f>
        <v>1</v>
      </c>
      <c r="K13" s="32">
        <f>IF(C13+F13=2,3,IF(C13+F13=1,1,0))</f>
        <v>3</v>
      </c>
      <c r="L13" s="32">
        <f>IF(K13=3,3,IF(I13+K13=2,2,IF(K13=1,1,0)))</f>
        <v>3</v>
      </c>
      <c r="M13" s="32">
        <f>B13+E13</f>
        <v>12</v>
      </c>
      <c r="N13" s="32">
        <f>C13+F13+I13</f>
        <v>2</v>
      </c>
      <c r="O13" s="32"/>
      <c r="P13" s="44" t="str">
        <f>AE9</f>
        <v>Duncan D'Alessandro/Clayton Zammit Cesare</v>
      </c>
      <c r="Q13" s="45">
        <v>7.0</v>
      </c>
      <c r="R13" s="46">
        <f>IF(Q13&gt;Q15,1,0)</f>
        <v>1</v>
      </c>
      <c r="S13" s="47"/>
      <c r="T13" s="45">
        <v>6.0</v>
      </c>
      <c r="U13" s="46">
        <f>IF(T13&gt;T15,1,0)</f>
        <v>1</v>
      </c>
      <c r="V13" s="47"/>
      <c r="W13" s="48"/>
      <c r="X13" s="32">
        <f>IF(W13&gt;W15,1,0)</f>
        <v>0</v>
      </c>
      <c r="Y13" s="32">
        <f>IF(Q13="",0,1)</f>
        <v>1</v>
      </c>
      <c r="Z13" s="32">
        <f>IF(R13+U13=2,3,IF(R13+U13=1,1,0))</f>
        <v>3</v>
      </c>
      <c r="AA13" s="32">
        <f>IF(Z13=3,3,IF(X13+Z13=2,2,IF(Z13=1,1,0)))</f>
        <v>3</v>
      </c>
      <c r="AB13" s="32">
        <f>Q13+T13</f>
        <v>13</v>
      </c>
      <c r="AC13" s="32">
        <f>R13+U13+X13</f>
        <v>2</v>
      </c>
      <c r="AD13" s="32"/>
      <c r="AE13" s="49" t="str">
        <f>'Players Men'!B8</f>
        <v>Gabriel Pace/Nikolai Belli</v>
      </c>
      <c r="AF13" s="50">
        <f>Y17+J23+J17+Y11+J33</f>
        <v>5</v>
      </c>
      <c r="AG13" s="50">
        <f>L17+AA17+AA11+L23+L33</f>
        <v>3</v>
      </c>
      <c r="AH13" s="50">
        <f>M17+AB11+M23+AB17+M33</f>
        <v>21</v>
      </c>
      <c r="AI13" s="51">
        <f>N17+AC17+AC11+N23+N33</f>
        <v>2</v>
      </c>
    </row>
    <row r="14">
      <c r="A14" s="52" t="s">
        <v>63</v>
      </c>
      <c r="H14" s="53"/>
      <c r="I14" s="54"/>
      <c r="J14" s="32"/>
      <c r="K14" s="32"/>
      <c r="L14" s="32"/>
      <c r="M14" s="32"/>
      <c r="N14" s="32"/>
      <c r="O14" s="32"/>
      <c r="P14" s="52" t="s">
        <v>63</v>
      </c>
      <c r="W14" s="53"/>
      <c r="X14" s="54"/>
      <c r="Y14" s="32"/>
      <c r="Z14" s="32"/>
      <c r="AA14" s="32"/>
      <c r="AB14" s="32"/>
      <c r="AC14" s="32"/>
      <c r="AD14" s="32"/>
      <c r="AE14" s="32"/>
      <c r="AF14" s="39"/>
      <c r="AG14" s="39"/>
      <c r="AH14" s="39"/>
      <c r="AI14" s="39"/>
    </row>
    <row r="15">
      <c r="A15" s="55" t="str">
        <f>AE15</f>
        <v>Trevor Rutter/Jean Carl Azzopardi</v>
      </c>
      <c r="B15" s="45">
        <v>4.0</v>
      </c>
      <c r="C15" s="56">
        <f>IF(B15&gt;B13,1,0)</f>
        <v>0</v>
      </c>
      <c r="D15" s="57"/>
      <c r="E15" s="45">
        <v>4.0</v>
      </c>
      <c r="F15" s="56">
        <f>IF(E15&gt;E13,1,0)</f>
        <v>0</v>
      </c>
      <c r="G15" s="57"/>
      <c r="H15" s="48"/>
      <c r="I15" s="32">
        <f>IF(H15&gt;H13,1,0)</f>
        <v>0</v>
      </c>
      <c r="J15" s="32">
        <f>IF(B15="",0,1)</f>
        <v>1</v>
      </c>
      <c r="K15" s="32">
        <f>IF(C15+F15=2,3,IF(C15+F15=1,1,0))</f>
        <v>0</v>
      </c>
      <c r="L15" s="32">
        <f>IF(K15=3,3,IF(I15+K15=2,2,IF(K15=1,1,0)))</f>
        <v>0</v>
      </c>
      <c r="M15" s="32">
        <f>B15+E15</f>
        <v>8</v>
      </c>
      <c r="N15" s="32">
        <f>C15+F15+I15</f>
        <v>0</v>
      </c>
      <c r="O15" s="32"/>
      <c r="P15" s="55" t="str">
        <f>AE17</f>
        <v>Matthew Mifsud/Melchior Farrugia</v>
      </c>
      <c r="Q15" s="45">
        <v>6.0</v>
      </c>
      <c r="R15" s="56">
        <f>IF(Q15&gt;Q13,1,0)</f>
        <v>0</v>
      </c>
      <c r="S15" s="57"/>
      <c r="T15" s="45">
        <v>3.0</v>
      </c>
      <c r="U15" s="56">
        <f>IF(T15&gt;T13,1,0)</f>
        <v>0</v>
      </c>
      <c r="V15" s="57"/>
      <c r="W15" s="48"/>
      <c r="X15" s="32">
        <f>IF(W15&gt;W13,1,0)</f>
        <v>0</v>
      </c>
      <c r="Y15" s="32">
        <f>IF(Q15="",0,1)</f>
        <v>1</v>
      </c>
      <c r="Z15" s="32">
        <f>IF(R15+U15=2,3,IF(R15+U15=1,1,0))</f>
        <v>0</v>
      </c>
      <c r="AA15" s="32">
        <f>IF(Z15=3,3,IF(X15+Z15=2,2,IF(Z15=1,1,0)))</f>
        <v>0</v>
      </c>
      <c r="AB15" s="32">
        <f>Q15+T15</f>
        <v>9</v>
      </c>
      <c r="AC15" s="32">
        <f>R15+U15+X15</f>
        <v>0</v>
      </c>
      <c r="AD15" s="32"/>
      <c r="AE15" s="49" t="str">
        <f>'Players Men'!B9</f>
        <v>Trevor Rutter/Jean Carl Azzopardi</v>
      </c>
      <c r="AF15" s="50">
        <f>Y19+J15+Y23+Y29+J29</f>
        <v>5</v>
      </c>
      <c r="AG15" s="50">
        <f t="shared" ref="AG15:AI15" si="3">AA19+L15+AA23+L29+AA29</f>
        <v>7</v>
      </c>
      <c r="AH15" s="50">
        <f t="shared" si="3"/>
        <v>48</v>
      </c>
      <c r="AI15" s="51">
        <f t="shared" si="3"/>
        <v>5</v>
      </c>
      <c r="AJ15" s="59"/>
    </row>
    <row r="17" ht="15.0" customHeight="1">
      <c r="A17" s="44" t="str">
        <f>AE13</f>
        <v>Gabriel Pace/Nikolai Belli</v>
      </c>
      <c r="B17" s="45">
        <v>0.0</v>
      </c>
      <c r="C17" s="46">
        <f>IF(B17&gt;B19,1,0)</f>
        <v>0</v>
      </c>
      <c r="D17" s="47"/>
      <c r="E17" s="45">
        <v>1.0</v>
      </c>
      <c r="F17" s="46">
        <f>IF(E17&gt;E19,1,0)</f>
        <v>0</v>
      </c>
      <c r="G17" s="47"/>
      <c r="H17" s="48"/>
      <c r="I17" s="32">
        <f>IF(H17&gt;H19,1,0)</f>
        <v>0</v>
      </c>
      <c r="J17" s="32">
        <f>IF(B17="",0,1)</f>
        <v>1</v>
      </c>
      <c r="K17" s="32">
        <f>IF(C17+F17=2,3,IF(C17+F17=1,1,0))</f>
        <v>0</v>
      </c>
      <c r="L17" s="32">
        <f>IF(K17=3,3,IF(I17+K17=2,2,IF(K17=1,1,0)))</f>
        <v>0</v>
      </c>
      <c r="M17" s="32">
        <f>B17+E17</f>
        <v>1</v>
      </c>
      <c r="N17" s="32">
        <f>C17+F17+I17</f>
        <v>0</v>
      </c>
      <c r="O17" s="32"/>
      <c r="P17" s="44" t="str">
        <f>AE13</f>
        <v>Gabriel Pace/Nikolai Belli</v>
      </c>
      <c r="Q17" s="45">
        <v>0.0</v>
      </c>
      <c r="R17" s="46">
        <f>IF(Q17&gt;Q19,1,0)</f>
        <v>0</v>
      </c>
      <c r="S17" s="47"/>
      <c r="T17" s="45">
        <v>0.0</v>
      </c>
      <c r="U17" s="46">
        <f>IF(T17&gt;T19,1,0)</f>
        <v>0</v>
      </c>
      <c r="V17" s="47"/>
      <c r="W17" s="48"/>
      <c r="X17" s="32">
        <f>IF(W17&gt;W19,1,0)</f>
        <v>0</v>
      </c>
      <c r="Y17" s="32">
        <f>IF(Q17="",0,1)</f>
        <v>1</v>
      </c>
      <c r="Z17" s="32">
        <f>IF(R17+U17=2,3,IF(R17+U17=1,1,0))</f>
        <v>0</v>
      </c>
      <c r="AA17" s="32">
        <f>IF(Z17=3,3,IF(X17+Z17=2,2,IF(Z17=1,1,0)))</f>
        <v>0</v>
      </c>
      <c r="AB17" s="32">
        <f>Q17+T17</f>
        <v>0</v>
      </c>
      <c r="AC17" s="32">
        <f>R17+U17+X17</f>
        <v>0</v>
      </c>
      <c r="AD17" s="32"/>
      <c r="AE17" s="49" t="str">
        <f>'Players Men'!B10</f>
        <v>Matthew Mifsud/Melchior Farrugia</v>
      </c>
      <c r="AF17" s="50">
        <f>Y15+J27+J19+J31+Y33</f>
        <v>5</v>
      </c>
      <c r="AG17" s="58">
        <f t="shared" ref="AG17:AH17" si="4">AA15+L27+L19+L31+AA33</f>
        <v>9</v>
      </c>
      <c r="AH17" s="50">
        <f t="shared" si="4"/>
        <v>56</v>
      </c>
      <c r="AI17" s="51">
        <f>N31+N27+AC15+N19+AC33</f>
        <v>7</v>
      </c>
    </row>
    <row r="18" ht="15.0" customHeight="1">
      <c r="A18" s="52" t="s">
        <v>63</v>
      </c>
      <c r="H18" s="53"/>
      <c r="I18" s="54"/>
      <c r="J18" s="32"/>
      <c r="K18" s="32"/>
      <c r="L18" s="32"/>
      <c r="M18" s="32"/>
      <c r="N18" s="32"/>
      <c r="O18" s="32"/>
      <c r="P18" s="52" t="s">
        <v>63</v>
      </c>
      <c r="W18" s="53"/>
      <c r="X18" s="54"/>
      <c r="Y18" s="32"/>
      <c r="Z18" s="32"/>
      <c r="AA18" s="32"/>
      <c r="AB18" s="32"/>
      <c r="AC18" s="32"/>
      <c r="AD18" s="32"/>
      <c r="AE18" s="32"/>
      <c r="AF18" s="39"/>
      <c r="AG18" s="39"/>
      <c r="AH18" s="39"/>
      <c r="AI18" s="39"/>
    </row>
    <row r="19" ht="15.0" customHeight="1">
      <c r="A19" s="55" t="str">
        <f>AE17</f>
        <v>Matthew Mifsud/Melchior Farrugia</v>
      </c>
      <c r="B19" s="45">
        <v>6.0</v>
      </c>
      <c r="C19" s="56">
        <f>IF(B19&gt;B17,1,0)</f>
        <v>1</v>
      </c>
      <c r="D19" s="57"/>
      <c r="E19" s="45">
        <v>6.0</v>
      </c>
      <c r="F19" s="56">
        <f>IF(E19&gt;E17,1,0)</f>
        <v>1</v>
      </c>
      <c r="G19" s="57"/>
      <c r="H19" s="48"/>
      <c r="I19" s="32">
        <f>IF(H19&gt;H17,1,0)</f>
        <v>0</v>
      </c>
      <c r="J19" s="32">
        <f>IF(B19="",0,1)</f>
        <v>1</v>
      </c>
      <c r="K19" s="32">
        <f>IF(C19+F19=2,3,IF(C19+F19=1,1,0))</f>
        <v>3</v>
      </c>
      <c r="L19" s="32">
        <f>IF(K19=3,3,IF(I19+K19=2,2,IF(K19=1,1,0)))</f>
        <v>3</v>
      </c>
      <c r="M19" s="32">
        <f>B19+E19</f>
        <v>12</v>
      </c>
      <c r="N19" s="32">
        <f>C19+F19+I19</f>
        <v>2</v>
      </c>
      <c r="O19" s="32"/>
      <c r="P19" s="55" t="str">
        <f>AE15</f>
        <v>Trevor Rutter/Jean Carl Azzopardi</v>
      </c>
      <c r="Q19" s="45">
        <v>6.0</v>
      </c>
      <c r="R19" s="56">
        <f>IF(Q19&gt;Q17,1,0)</f>
        <v>1</v>
      </c>
      <c r="S19" s="57"/>
      <c r="T19" s="45">
        <v>6.0</v>
      </c>
      <c r="U19" s="56">
        <f>IF(T19&gt;T17,1,0)</f>
        <v>1</v>
      </c>
      <c r="V19" s="57"/>
      <c r="W19" s="48"/>
      <c r="X19" s="32">
        <f>IF(W19&gt;W17,1,0)</f>
        <v>0</v>
      </c>
      <c r="Y19" s="32">
        <f>IF(Q19="",0,1)</f>
        <v>1</v>
      </c>
      <c r="Z19" s="32">
        <f>IF(R19+U19=2,3,IF(R19+U19=1,1,0))</f>
        <v>3</v>
      </c>
      <c r="AA19" s="32">
        <f>IF(Z19=3,3,IF(X19+Z19=2,2,IF(Z19=1,1,0)))</f>
        <v>3</v>
      </c>
      <c r="AB19" s="32">
        <f>Q19+T19</f>
        <v>12</v>
      </c>
      <c r="AC19" s="32">
        <f>R19+U19+X19</f>
        <v>2</v>
      </c>
      <c r="AD19" s="32"/>
      <c r="AE19" s="49" t="str">
        <f>'Players Men'!B11</f>
        <v>Eric Roca/Roderick Spiteri</v>
      </c>
      <c r="AF19" s="50">
        <f>Y35+Y31+Y27+J39+J35</f>
        <v>5</v>
      </c>
      <c r="AG19" s="58">
        <f>L39+L35+AA31+AA35+AA27</f>
        <v>0</v>
      </c>
      <c r="AH19" s="50">
        <f>AB27+M39+AB31+M35+AB35</f>
        <v>15</v>
      </c>
      <c r="AI19" s="51">
        <f>N35+N39+AC31+AC35+AC27</f>
        <v>0</v>
      </c>
    </row>
    <row r="20" ht="15.0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</row>
    <row r="21" ht="15.0" customHeight="1">
      <c r="A21" s="44" t="str">
        <f>AE11</f>
        <v>Mark Gatt/Manuel Bonello</v>
      </c>
      <c r="B21" s="45">
        <v>6.0</v>
      </c>
      <c r="C21" s="46">
        <f>IF(B21&gt;B23,1,0)</f>
        <v>1</v>
      </c>
      <c r="D21" s="47"/>
      <c r="E21" s="45">
        <v>6.0</v>
      </c>
      <c r="F21" s="46">
        <f>IF(E21&gt;E23,1,0)</f>
        <v>1</v>
      </c>
      <c r="G21" s="47"/>
      <c r="H21" s="48"/>
      <c r="I21" s="32">
        <f>IF(H21&gt;H23,1,0)</f>
        <v>0</v>
      </c>
      <c r="J21" s="32">
        <f>IF(B21="",0,1)</f>
        <v>1</v>
      </c>
      <c r="K21" s="32">
        <f>IF(C21+F21=2,3,IF(C21+F21=1,1,0))</f>
        <v>3</v>
      </c>
      <c r="L21" s="32">
        <f>IF(K21=3,3,IF(I21+K21=2,2,IF(K21=1,1,0)))</f>
        <v>3</v>
      </c>
      <c r="M21" s="32">
        <f>B21+E21</f>
        <v>12</v>
      </c>
      <c r="N21" s="32">
        <f>C21+F21+I21</f>
        <v>2</v>
      </c>
      <c r="O21" s="32"/>
      <c r="P21" s="44" t="str">
        <f>AE11</f>
        <v>Mark Gatt/Manuel Bonello</v>
      </c>
      <c r="Q21" s="45">
        <v>6.0</v>
      </c>
      <c r="R21" s="46">
        <f>IF(Q21&gt;Q23,1,0)</f>
        <v>1</v>
      </c>
      <c r="S21" s="47"/>
      <c r="T21" s="45">
        <v>6.0</v>
      </c>
      <c r="U21" s="46">
        <f>IF(T21&gt;T23,1,0)</f>
        <v>1</v>
      </c>
      <c r="V21" s="47"/>
      <c r="W21" s="45">
        <v>10.0</v>
      </c>
      <c r="X21" s="32">
        <f>IF(W21&gt;W23,1,0)</f>
        <v>1</v>
      </c>
      <c r="Y21" s="32">
        <f>IF(Q21="",0,1)</f>
        <v>1</v>
      </c>
      <c r="Z21" s="32">
        <f>IF(R21+U21=2,3,IF(R21+U21=1,1,0))</f>
        <v>3</v>
      </c>
      <c r="AA21" s="32">
        <f>IF(Z21=3,3,IF(X21+Z21=2,2,IF(Z21=1,1,0)))</f>
        <v>3</v>
      </c>
      <c r="AB21" s="32">
        <f>Q21+T21</f>
        <v>12</v>
      </c>
      <c r="AC21" s="32">
        <f>R21+U21+X21</f>
        <v>3</v>
      </c>
      <c r="AD21" s="32"/>
      <c r="AE21" s="34" t="s">
        <v>64</v>
      </c>
      <c r="AF21" s="35"/>
      <c r="AG21" s="35"/>
      <c r="AH21" s="35"/>
      <c r="AI21" s="36"/>
    </row>
    <row r="22" ht="15.0" customHeight="1">
      <c r="A22" s="52" t="s">
        <v>63</v>
      </c>
      <c r="H22" s="53"/>
      <c r="I22" s="54"/>
      <c r="J22" s="32"/>
      <c r="K22" s="32"/>
      <c r="L22" s="32"/>
      <c r="M22" s="32"/>
      <c r="N22" s="32"/>
      <c r="O22" s="32"/>
      <c r="P22" s="52" t="s">
        <v>63</v>
      </c>
      <c r="W22" s="53"/>
      <c r="X22" s="54"/>
      <c r="Y22" s="32"/>
      <c r="Z22" s="32"/>
      <c r="AA22" s="32"/>
      <c r="AB22" s="32"/>
      <c r="AC22" s="32"/>
      <c r="AD22" s="32"/>
      <c r="AE22" s="60" t="s">
        <v>3</v>
      </c>
      <c r="AF22" s="35"/>
      <c r="AG22" s="35"/>
      <c r="AH22" s="35"/>
      <c r="AI22" s="36"/>
    </row>
    <row r="23" ht="15.0" customHeight="1">
      <c r="A23" s="55" t="str">
        <f>AE13</f>
        <v>Gabriel Pace/Nikolai Belli</v>
      </c>
      <c r="B23" s="45">
        <v>1.0</v>
      </c>
      <c r="C23" s="56">
        <f>IF(B23&gt;B21,1,0)</f>
        <v>0</v>
      </c>
      <c r="D23" s="57"/>
      <c r="E23" s="45">
        <v>4.0</v>
      </c>
      <c r="F23" s="56">
        <f>IF(E23&gt;E21,1,0)</f>
        <v>0</v>
      </c>
      <c r="G23" s="57"/>
      <c r="H23" s="48"/>
      <c r="I23" s="32">
        <f>IF(H23&gt;H21,1,0)</f>
        <v>0</v>
      </c>
      <c r="J23" s="32">
        <f>IF(B23="",0,1)</f>
        <v>1</v>
      </c>
      <c r="K23" s="32">
        <f>IF(C23+F23=2,3,IF(C23+F23=1,1,0))</f>
        <v>0</v>
      </c>
      <c r="L23" s="32">
        <f>IF(K23=3,3,IF(I23+K23=2,2,IF(K23=1,1,0)))</f>
        <v>0</v>
      </c>
      <c r="M23" s="32">
        <f>B23+E23</f>
        <v>5</v>
      </c>
      <c r="N23" s="32">
        <f>C23+F23+I23</f>
        <v>0</v>
      </c>
      <c r="O23" s="32"/>
      <c r="P23" s="55" t="str">
        <f>AE15</f>
        <v>Trevor Rutter/Jean Carl Azzopardi</v>
      </c>
      <c r="Q23" s="45">
        <v>4.0</v>
      </c>
      <c r="R23" s="56">
        <f>IF(Q23&gt;Q21,1,0)</f>
        <v>0</v>
      </c>
      <c r="S23" s="57"/>
      <c r="T23" s="45">
        <v>3.0</v>
      </c>
      <c r="U23" s="56">
        <f>IF(T23&gt;T21,1,0)</f>
        <v>0</v>
      </c>
      <c r="V23" s="57"/>
      <c r="W23" s="45">
        <v>4.0</v>
      </c>
      <c r="X23" s="32">
        <f>IF(W23&gt;W21,1,0)</f>
        <v>0</v>
      </c>
      <c r="Y23" s="32">
        <f>IF(Q23="",0,1)</f>
        <v>1</v>
      </c>
      <c r="Z23" s="32">
        <f>IF(R23+U23=2,3,IF(R23+U23=1,1,0))</f>
        <v>0</v>
      </c>
      <c r="AA23" s="32">
        <f>IF(Z23=3,3,IF(X23+Z23=2,2,IF(Z23=1,1,0)))</f>
        <v>0</v>
      </c>
      <c r="AB23" s="32">
        <f>Q23+T23</f>
        <v>7</v>
      </c>
      <c r="AC23" s="32">
        <f>R23+U23+X23</f>
        <v>0</v>
      </c>
      <c r="AD23" s="32"/>
      <c r="AE23" s="61" t="s">
        <v>65</v>
      </c>
      <c r="AF23" s="35"/>
      <c r="AG23" s="35"/>
      <c r="AH23" s="35"/>
      <c r="AI23" s="36"/>
    </row>
    <row r="24" ht="15.0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62" t="s">
        <v>4</v>
      </c>
    </row>
    <row r="25">
      <c r="A25" s="44" t="str">
        <f>AE11</f>
        <v>Mark Gatt/Manuel Bonello</v>
      </c>
      <c r="B25" s="45">
        <v>5.0</v>
      </c>
      <c r="C25" s="46">
        <f>IF(B25&gt;B27,1,0)</f>
        <v>0</v>
      </c>
      <c r="D25" s="47"/>
      <c r="E25" s="45">
        <v>7.0</v>
      </c>
      <c r="F25" s="46">
        <f>IF(E25&gt;E27,1,0)</f>
        <v>1</v>
      </c>
      <c r="G25" s="47"/>
      <c r="H25" s="45">
        <v>10.0</v>
      </c>
      <c r="I25" s="32">
        <f>IF(H25&gt;H27,1,0)</f>
        <v>1</v>
      </c>
      <c r="J25" s="32">
        <f>IF(B25="",0,1)</f>
        <v>1</v>
      </c>
      <c r="K25" s="32">
        <f>IF(C25+F25=2,3,IF(C25+F25=1,1,0))</f>
        <v>1</v>
      </c>
      <c r="L25" s="32">
        <f>IF(K25=3,3,IF(I25+K25=2,2,IF(K25=1,1,0)))</f>
        <v>2</v>
      </c>
      <c r="M25" s="32">
        <f>B25+E25</f>
        <v>12</v>
      </c>
      <c r="N25" s="32">
        <f>C25+F25+I25</f>
        <v>2</v>
      </c>
      <c r="O25" s="32"/>
      <c r="P25" s="44" t="str">
        <f>AE9</f>
        <v>Duncan D'Alessandro/Clayton Zammit Cesare</v>
      </c>
      <c r="Q25" s="45">
        <v>6.0</v>
      </c>
      <c r="R25" s="46">
        <f>IF(Q25&gt;Q27,1,0)</f>
        <v>1</v>
      </c>
      <c r="S25" s="47"/>
      <c r="T25" s="45">
        <v>6.0</v>
      </c>
      <c r="U25" s="46">
        <f>IF(T25&gt;T27,1,0)</f>
        <v>1</v>
      </c>
      <c r="V25" s="47"/>
      <c r="W25" s="48"/>
      <c r="X25" s="32">
        <f>IF(W25&gt;W23,1,0)</f>
        <v>0</v>
      </c>
      <c r="Y25" s="32">
        <f>IF(Q25="",0,1)</f>
        <v>1</v>
      </c>
      <c r="Z25" s="32">
        <f>IF(R25+U25=2,3,IF(R25+U25=1,1,0))</f>
        <v>3</v>
      </c>
      <c r="AA25" s="32">
        <f>IF(Z25=3,3,IF(X25+Z25=2,2,IF(Z25=1,1,0)))</f>
        <v>3</v>
      </c>
      <c r="AB25" s="32">
        <f>Q25+T25</f>
        <v>12</v>
      </c>
      <c r="AC25" s="32">
        <f>R25+U25+X25</f>
        <v>2</v>
      </c>
      <c r="AD25" s="32"/>
      <c r="AE25" s="32"/>
      <c r="AF25" s="32"/>
      <c r="AG25" s="32"/>
      <c r="AH25" s="39"/>
      <c r="AI25" s="32"/>
    </row>
    <row r="26" ht="15.0" customHeight="1">
      <c r="A26" s="52" t="s">
        <v>63</v>
      </c>
      <c r="H26" s="53"/>
      <c r="I26" s="54"/>
      <c r="J26" s="32"/>
      <c r="K26" s="32"/>
      <c r="L26" s="32"/>
      <c r="M26" s="32"/>
      <c r="N26" s="32"/>
      <c r="O26" s="32"/>
      <c r="P26" s="52" t="s">
        <v>63</v>
      </c>
      <c r="W26" s="53"/>
      <c r="X26" s="54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</row>
    <row r="27" ht="15.0" customHeight="1">
      <c r="A27" s="55" t="str">
        <f>AE17</f>
        <v>Matthew Mifsud/Melchior Farrugia</v>
      </c>
      <c r="B27" s="45">
        <v>7.0</v>
      </c>
      <c r="C27" s="56">
        <f>IF(B27&gt;B25,1,0)</f>
        <v>1</v>
      </c>
      <c r="D27" s="57"/>
      <c r="E27" s="45">
        <v>6.0</v>
      </c>
      <c r="F27" s="56">
        <f>IF(E27&gt;E25,1,0)</f>
        <v>0</v>
      </c>
      <c r="G27" s="57"/>
      <c r="H27" s="45">
        <v>7.0</v>
      </c>
      <c r="I27" s="32">
        <f>IF(H27&gt;H25,1,0)</f>
        <v>0</v>
      </c>
      <c r="J27" s="32">
        <f>IF(B27="",0,1)</f>
        <v>1</v>
      </c>
      <c r="K27" s="32">
        <f>IF(C27+F27=2,3,IF(C27+F27=1,1,0))</f>
        <v>1</v>
      </c>
      <c r="L27" s="32">
        <f>IF(K27=3,3,IF(I27+K27=2,2,IF(K27=1,1,0)))</f>
        <v>1</v>
      </c>
      <c r="M27" s="32">
        <f>B27+E27</f>
        <v>13</v>
      </c>
      <c r="N27" s="32">
        <f>C27+F27+I27</f>
        <v>1</v>
      </c>
      <c r="O27" s="32"/>
      <c r="P27" s="55" t="str">
        <f>AE19</f>
        <v>Eric Roca/Roderick Spiteri</v>
      </c>
      <c r="Q27" s="45">
        <v>1.0</v>
      </c>
      <c r="R27" s="56">
        <f>IF(Q27&gt;Q25,1,0)</f>
        <v>0</v>
      </c>
      <c r="S27" s="57"/>
      <c r="T27" s="45">
        <v>0.0</v>
      </c>
      <c r="U27" s="56">
        <f>IF(T27&gt;T25,1,0)</f>
        <v>0</v>
      </c>
      <c r="V27" s="57"/>
      <c r="W27" s="48"/>
      <c r="X27" s="32">
        <f>IF(W27&gt;W25,1,0)</f>
        <v>0</v>
      </c>
      <c r="Y27" s="32">
        <f>IF(Q27="",0,1)</f>
        <v>1</v>
      </c>
      <c r="Z27" s="32">
        <f>IF(R27+U27=2,3,IF(R27+U27=1,1,0))</f>
        <v>0</v>
      </c>
      <c r="AA27" s="32">
        <f>IF(Z27=3,3,IF(X27+Z27=2,2,IF(Z27=1,1,0)))</f>
        <v>0</v>
      </c>
      <c r="AB27" s="32">
        <f>Q27+T27</f>
        <v>1</v>
      </c>
      <c r="AC27" s="32">
        <f>R27+U27+X27</f>
        <v>0</v>
      </c>
      <c r="AD27" s="32"/>
      <c r="AE27" s="32"/>
      <c r="AF27" s="32"/>
      <c r="AG27" s="32"/>
      <c r="AH27" s="32"/>
      <c r="AI27" s="32"/>
    </row>
    <row r="28" ht="15.0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9"/>
      <c r="AI28" s="32"/>
    </row>
    <row r="29">
      <c r="A29" s="44" t="str">
        <f>AE15</f>
        <v>Trevor Rutter/Jean Carl Azzopardi</v>
      </c>
      <c r="B29" s="45">
        <v>6.0</v>
      </c>
      <c r="C29" s="46">
        <f>IF(B29&gt;B31,1,0)</f>
        <v>1</v>
      </c>
      <c r="D29" s="47"/>
      <c r="E29" s="45">
        <v>3.0</v>
      </c>
      <c r="F29" s="46">
        <f>IF(E29&gt;E31,1,0)</f>
        <v>0</v>
      </c>
      <c r="G29" s="47"/>
      <c r="H29" s="45">
        <v>7.0</v>
      </c>
      <c r="I29" s="32">
        <f>IF(H29&gt;H31,1,0)</f>
        <v>0</v>
      </c>
      <c r="J29" s="32">
        <f>IF(B29="",0,1)</f>
        <v>1</v>
      </c>
      <c r="K29" s="32">
        <f>IF(C29+F29=2,3,IF(C29+F29=1,1,0))</f>
        <v>1</v>
      </c>
      <c r="L29" s="32">
        <f>IF(K29=3,3,IF(I29+K29=2,2,IF(K29=1,1,0)))</f>
        <v>1</v>
      </c>
      <c r="M29" s="32">
        <f>B29+E29</f>
        <v>9</v>
      </c>
      <c r="N29" s="32">
        <f>C29+F29+I29</f>
        <v>1</v>
      </c>
      <c r="O29" s="32"/>
      <c r="P29" s="44" t="str">
        <f>AE15</f>
        <v>Trevor Rutter/Jean Carl Azzopardi</v>
      </c>
      <c r="Q29" s="45">
        <v>6.0</v>
      </c>
      <c r="R29" s="46">
        <f>IF(Q29&gt;Q31,1,0)</f>
        <v>1</v>
      </c>
      <c r="S29" s="47"/>
      <c r="T29" s="45">
        <v>6.0</v>
      </c>
      <c r="U29" s="46">
        <f>IF(T29&gt;T31,1,0)</f>
        <v>1</v>
      </c>
      <c r="V29" s="47"/>
      <c r="W29" s="48"/>
      <c r="X29" s="32">
        <f>IF(W29&gt;W27,1,0)</f>
        <v>0</v>
      </c>
      <c r="Y29" s="32">
        <f>IF(Q29="",0,1)</f>
        <v>1</v>
      </c>
      <c r="Z29" s="32">
        <f>IF(R29+U29=2,3,IF(R29+U29=1,1,0))</f>
        <v>3</v>
      </c>
      <c r="AA29" s="32">
        <f>IF(Z29=3,3,IF(X29+Z29=2,2,IF(Z29=1,1,0)))</f>
        <v>3</v>
      </c>
      <c r="AB29" s="32">
        <f>Q29+T29</f>
        <v>12</v>
      </c>
      <c r="AC29" s="32">
        <f>R29+U29+X29</f>
        <v>2</v>
      </c>
      <c r="AD29" s="32"/>
      <c r="AE29" s="32"/>
      <c r="AF29" s="32"/>
      <c r="AG29" s="32"/>
      <c r="AH29" s="32"/>
      <c r="AI29" s="32"/>
    </row>
    <row r="30" ht="15.0" customHeight="1">
      <c r="A30" s="52" t="s">
        <v>63</v>
      </c>
      <c r="H30" s="53"/>
      <c r="I30" s="54"/>
      <c r="J30" s="32"/>
      <c r="K30" s="32"/>
      <c r="L30" s="32"/>
      <c r="M30" s="32"/>
      <c r="N30" s="32"/>
      <c r="O30" s="32"/>
      <c r="P30" s="52" t="s">
        <v>63</v>
      </c>
      <c r="W30" s="53"/>
      <c r="X30" s="54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</row>
    <row r="31" ht="15.0" customHeight="1">
      <c r="A31" s="55" t="str">
        <f>AE17</f>
        <v>Matthew Mifsud/Melchior Farrugia</v>
      </c>
      <c r="B31" s="45">
        <v>4.0</v>
      </c>
      <c r="C31" s="56">
        <f>IF(B31&gt;B29,1,0)</f>
        <v>0</v>
      </c>
      <c r="D31" s="57"/>
      <c r="E31" s="45">
        <v>6.0</v>
      </c>
      <c r="F31" s="56">
        <f>IF(E31&gt;E29,1,0)</f>
        <v>1</v>
      </c>
      <c r="G31" s="57"/>
      <c r="H31" s="45">
        <v>10.0</v>
      </c>
      <c r="I31" s="32">
        <f>IF(H31&gt;H29,1,0)</f>
        <v>1</v>
      </c>
      <c r="J31" s="32">
        <f>IF(B31="",0,1)</f>
        <v>1</v>
      </c>
      <c r="K31" s="32">
        <f>IF(C31+F31=2,3,IF(C31+F31=1,1,0))</f>
        <v>1</v>
      </c>
      <c r="L31" s="32">
        <f>IF(K31=3,3,IF(I31+K31=2,2,IF(K31=1,1,0)))</f>
        <v>2</v>
      </c>
      <c r="M31" s="32">
        <f>B31+E31</f>
        <v>10</v>
      </c>
      <c r="N31" s="32">
        <f>C31+F31+I31</f>
        <v>2</v>
      </c>
      <c r="O31" s="32"/>
      <c r="P31" s="55" t="str">
        <f>AE19</f>
        <v>Eric Roca/Roderick Spiteri</v>
      </c>
      <c r="Q31" s="45">
        <v>3.0</v>
      </c>
      <c r="R31" s="56">
        <f>IF(Q31&gt;Q29,1,0)</f>
        <v>0</v>
      </c>
      <c r="S31" s="57"/>
      <c r="T31" s="45">
        <v>4.0</v>
      </c>
      <c r="U31" s="56">
        <f>IF(T31&gt;T29,1,0)</f>
        <v>0</v>
      </c>
      <c r="V31" s="57"/>
      <c r="W31" s="48"/>
      <c r="X31" s="32">
        <f>IF(W31&gt;W29,1,0)</f>
        <v>0</v>
      </c>
      <c r="Y31" s="32">
        <f>IF(Q31="",0,1)</f>
        <v>1</v>
      </c>
      <c r="Z31" s="32">
        <f>IF(R31+U31=2,3,IF(R31+U31=1,1,0))</f>
        <v>0</v>
      </c>
      <c r="AA31" s="32">
        <f>IF(Z31=3,3,IF(X31+Z31=2,2,IF(Z31=1,1,0)))</f>
        <v>0</v>
      </c>
      <c r="AB31" s="32">
        <f>Q31+T31</f>
        <v>7</v>
      </c>
      <c r="AC31" s="32">
        <f>R31+U31+X31</f>
        <v>0</v>
      </c>
      <c r="AD31" s="32"/>
      <c r="AE31" s="32"/>
      <c r="AF31" s="32"/>
      <c r="AG31" s="32"/>
      <c r="AH31" s="32"/>
      <c r="AI31" s="32"/>
    </row>
    <row r="32" ht="15.75" customHeight="1"/>
    <row r="33" ht="15.75" customHeight="1">
      <c r="A33" s="44" t="str">
        <f>P17</f>
        <v>Gabriel Pace/Nikolai Belli</v>
      </c>
      <c r="B33" s="45">
        <v>6.0</v>
      </c>
      <c r="C33" s="46">
        <f>IF(B33&gt;B35,1,0)</f>
        <v>1</v>
      </c>
      <c r="D33" s="47"/>
      <c r="E33" s="45">
        <v>6.0</v>
      </c>
      <c r="F33" s="46">
        <f>IF(E33&gt;E35,1,0)</f>
        <v>1</v>
      </c>
      <c r="G33" s="47"/>
      <c r="H33" s="48"/>
      <c r="I33" s="32">
        <f>IF(H33&gt;H31,1,0)</f>
        <v>0</v>
      </c>
      <c r="J33" s="32">
        <f>IF(B33="",0,1)</f>
        <v>1</v>
      </c>
      <c r="K33" s="32">
        <f>IF(C33+F33=2,3,IF(C33+F33=1,1,0))</f>
        <v>3</v>
      </c>
      <c r="L33" s="32">
        <f>IF(K33=3,3,IF(I33+K33=2,2,IF(K33=1,1,0)))</f>
        <v>3</v>
      </c>
      <c r="M33" s="32">
        <f>B33+E33</f>
        <v>12</v>
      </c>
      <c r="N33" s="32">
        <f>C33+F33+I33</f>
        <v>2</v>
      </c>
      <c r="P33" s="44" t="str">
        <f>AE17</f>
        <v>Matthew Mifsud/Melchior Farrugia</v>
      </c>
      <c r="Q33" s="45">
        <v>6.0</v>
      </c>
      <c r="R33" s="46">
        <f>IF(Q33&gt;Q35,1,0)</f>
        <v>1</v>
      </c>
      <c r="S33" s="47"/>
      <c r="T33" s="45">
        <v>6.0</v>
      </c>
      <c r="U33" s="46">
        <f>IF(T33&gt;T35,1,0)</f>
        <v>1</v>
      </c>
      <c r="V33" s="47"/>
      <c r="W33" s="48"/>
      <c r="X33" s="32">
        <f>IF(W33&gt;W31,1,0)</f>
        <v>0</v>
      </c>
      <c r="Y33" s="32">
        <f>IF(Q33="",0,1)</f>
        <v>1</v>
      </c>
      <c r="Z33" s="32">
        <f>IF(R33+U33=2,3,IF(R33+U33=1,1,0))</f>
        <v>3</v>
      </c>
      <c r="AA33" s="32">
        <f>IF(Z33=3,3,IF(X33+Z33=2,2,IF(Z33=1,1,0)))</f>
        <v>3</v>
      </c>
      <c r="AB33" s="32">
        <f>Q33+T33</f>
        <v>12</v>
      </c>
      <c r="AC33" s="32">
        <f>R33+U33+X33</f>
        <v>2</v>
      </c>
    </row>
    <row r="34" ht="15.75" customHeight="1">
      <c r="A34" s="52" t="s">
        <v>63</v>
      </c>
      <c r="H34" s="53"/>
      <c r="P34" s="52" t="s">
        <v>63</v>
      </c>
      <c r="W34" s="53"/>
    </row>
    <row r="35" ht="15.75" customHeight="1">
      <c r="A35" s="55" t="str">
        <f>P27</f>
        <v>Eric Roca/Roderick Spiteri</v>
      </c>
      <c r="B35" s="45">
        <v>2.0</v>
      </c>
      <c r="C35" s="56">
        <f>IF(B35&gt;B33,1,0)</f>
        <v>0</v>
      </c>
      <c r="D35" s="57"/>
      <c r="E35" s="45">
        <v>0.0</v>
      </c>
      <c r="F35" s="56">
        <f>IF(E35&gt;E33,1,0)</f>
        <v>0</v>
      </c>
      <c r="G35" s="57"/>
      <c r="H35" s="48"/>
      <c r="I35" s="32">
        <f>IF(H35&gt;H33,1,0)</f>
        <v>0</v>
      </c>
      <c r="J35" s="32">
        <f>IF(B35="",0,1)</f>
        <v>1</v>
      </c>
      <c r="K35" s="32">
        <f>IF(C35+F35=2,3,IF(C35+F35=1,1,0))</f>
        <v>0</v>
      </c>
      <c r="L35" s="32">
        <f>IF(K35=3,3,IF(I35+K35=2,2,IF(K35=1,1,0)))</f>
        <v>0</v>
      </c>
      <c r="M35" s="32">
        <f>B35+E35</f>
        <v>2</v>
      </c>
      <c r="N35" s="32">
        <f>C35+F35+I35</f>
        <v>0</v>
      </c>
      <c r="P35" s="55" t="str">
        <f>AE19</f>
        <v>Eric Roca/Roderick Spiteri</v>
      </c>
      <c r="Q35" s="45">
        <v>0.0</v>
      </c>
      <c r="R35" s="56">
        <f>IF(Q35&gt;Q33,1,0)</f>
        <v>0</v>
      </c>
      <c r="S35" s="57"/>
      <c r="T35" s="45">
        <v>1.0</v>
      </c>
      <c r="U35" s="56">
        <f>IF(T35&gt;T33,1,0)</f>
        <v>0</v>
      </c>
      <c r="V35" s="57"/>
      <c r="W35" s="48"/>
      <c r="X35" s="32">
        <f>IF(W35&gt;W33,1,0)</f>
        <v>0</v>
      </c>
      <c r="Y35" s="32">
        <f>IF(Q35="",0,1)</f>
        <v>1</v>
      </c>
      <c r="Z35" s="32">
        <f>IF(R35+U35=2,3,IF(R35+U35=1,1,0))</f>
        <v>0</v>
      </c>
      <c r="AA35" s="32">
        <f>IF(Z35=3,3,IF(X35+Z35=2,2,IF(Z35=1,1,0)))</f>
        <v>0</v>
      </c>
      <c r="AB35" s="32">
        <f>Q35+T35</f>
        <v>1</v>
      </c>
      <c r="AC35" s="32">
        <f>R35+U35+X35</f>
        <v>0</v>
      </c>
    </row>
    <row r="36" ht="15.75" customHeight="1"/>
    <row r="37" ht="15.75" customHeight="1">
      <c r="A37" s="44" t="str">
        <f>AE11</f>
        <v>Mark Gatt/Manuel Bonello</v>
      </c>
      <c r="B37" s="45">
        <v>6.0</v>
      </c>
      <c r="C37" s="46">
        <f>IF(B37&gt;B39,1,0)</f>
        <v>1</v>
      </c>
      <c r="D37" s="47"/>
      <c r="E37" s="45">
        <v>6.0</v>
      </c>
      <c r="F37" s="46">
        <f>IF(E37&gt;E39,1,0)</f>
        <v>1</v>
      </c>
      <c r="G37" s="47"/>
      <c r="H37" s="48"/>
      <c r="I37" s="32">
        <f>IF(H37&gt;H35,1,0)</f>
        <v>0</v>
      </c>
      <c r="J37" s="32">
        <f>IF(B37="",0,1)</f>
        <v>1</v>
      </c>
      <c r="K37" s="32">
        <f>IF(C37+F37=2,3,IF(C37+F37=1,1,0))</f>
        <v>3</v>
      </c>
      <c r="L37" s="32">
        <f>IF(K37=3,3,IF(I37+K37=2,2,IF(K37=1,1,0)))</f>
        <v>3</v>
      </c>
      <c r="M37" s="32">
        <f>B37+E37</f>
        <v>12</v>
      </c>
      <c r="N37" s="32">
        <f>C37+F37+I37</f>
        <v>2</v>
      </c>
    </row>
    <row r="38" ht="15.75" customHeight="1">
      <c r="A38" s="52" t="s">
        <v>63</v>
      </c>
      <c r="H38" s="53"/>
    </row>
    <row r="39" ht="15.75" customHeight="1">
      <c r="A39" s="55" t="str">
        <f>AE19</f>
        <v>Eric Roca/Roderick Spiteri</v>
      </c>
      <c r="B39" s="45">
        <v>1.0</v>
      </c>
      <c r="C39" s="56">
        <f>IF(B39&gt;B37,1,0)</f>
        <v>0</v>
      </c>
      <c r="D39" s="57"/>
      <c r="E39" s="45">
        <v>3.0</v>
      </c>
      <c r="F39" s="56">
        <f>IF(E39&gt;E37,1,0)</f>
        <v>0</v>
      </c>
      <c r="G39" s="57"/>
      <c r="H39" s="48"/>
      <c r="I39" s="32">
        <f>IF(H39&gt;H37,1,0)</f>
        <v>0</v>
      </c>
      <c r="J39" s="32">
        <f>IF(B39="",0,1)</f>
        <v>1</v>
      </c>
      <c r="K39" s="32">
        <f>IF(C39+F39=2,3,IF(C39+F39=1,1,0))</f>
        <v>0</v>
      </c>
      <c r="L39" s="32">
        <f>IF(K39=3,3,IF(I39+K39=2,2,IF(K39=1,1,0)))</f>
        <v>0</v>
      </c>
      <c r="M39" s="32">
        <f>B39+E39</f>
        <v>4</v>
      </c>
      <c r="N39" s="32">
        <f>C39+F39+I39</f>
        <v>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3.5" customHeight="1">
      <c r="X53" s="32"/>
      <c r="Y53" s="32"/>
      <c r="Z53" s="32"/>
      <c r="AA53" s="32"/>
      <c r="AB53" s="32"/>
      <c r="AC53" s="32"/>
    </row>
    <row r="54" ht="13.5" customHeight="1">
      <c r="X54" s="32"/>
      <c r="Y54" s="32"/>
      <c r="Z54" s="32"/>
      <c r="AA54" s="32"/>
      <c r="AB54" s="32"/>
      <c r="AC54" s="32"/>
    </row>
    <row r="55" ht="13.5" customHeight="1">
      <c r="X55" s="32"/>
      <c r="Y55" s="32"/>
      <c r="Z55" s="32"/>
      <c r="AA55" s="32"/>
      <c r="AB55" s="32"/>
      <c r="AC55" s="32"/>
    </row>
    <row r="56" ht="13.5" customHeight="1">
      <c r="X56" s="32"/>
      <c r="Y56" s="32"/>
      <c r="Z56" s="32"/>
      <c r="AA56" s="32"/>
      <c r="AB56" s="32"/>
      <c r="AC56" s="32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23">
    <mergeCell ref="A1:AI2"/>
    <mergeCell ref="A5:AI5"/>
    <mergeCell ref="B7:E7"/>
    <mergeCell ref="Q7:T7"/>
    <mergeCell ref="A10:H10"/>
    <mergeCell ref="P10:W10"/>
    <mergeCell ref="P14:W14"/>
    <mergeCell ref="A22:H22"/>
    <mergeCell ref="A26:H26"/>
    <mergeCell ref="P26:W26"/>
    <mergeCell ref="A30:H30"/>
    <mergeCell ref="P30:W30"/>
    <mergeCell ref="A34:H34"/>
    <mergeCell ref="P34:W34"/>
    <mergeCell ref="A38:H38"/>
    <mergeCell ref="A14:H14"/>
    <mergeCell ref="A18:H18"/>
    <mergeCell ref="P18:W18"/>
    <mergeCell ref="AE21:AI21"/>
    <mergeCell ref="P22:W22"/>
    <mergeCell ref="AE22:AI22"/>
    <mergeCell ref="AE23:AI23"/>
    <mergeCell ref="AE24:AI24"/>
  </mergeCells>
  <printOptions/>
  <pageMargins bottom="0.75" footer="0.0" header="0.0" left="0.7" right="0.7" top="0.75"/>
  <pageSetup paperSize="9" scale="63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5"/>
    <col customWidth="1" min="2" max="2" width="7.0"/>
    <col customWidth="1" hidden="1" min="3" max="3" width="4.13"/>
    <col customWidth="1" min="4" max="4" width="1.63"/>
    <col customWidth="1" min="5" max="5" width="7.0"/>
    <col customWidth="1" hidden="1" min="6" max="6" width="3.38"/>
    <col customWidth="1" min="7" max="7" width="1.63"/>
    <col customWidth="1" min="8" max="8" width="7.0"/>
    <col customWidth="1" hidden="1" min="9" max="9" width="4.38"/>
    <col customWidth="1" hidden="1" min="10" max="11" width="3.13"/>
    <col customWidth="1" hidden="1" min="12" max="12" width="4.13"/>
    <col customWidth="1" hidden="1" min="13" max="13" width="3.63"/>
    <col customWidth="1" hidden="1" min="14" max="14" width="4.13"/>
    <col customWidth="1" min="15" max="15" width="6.13"/>
    <col customWidth="1" min="16" max="16" width="33.38"/>
    <col customWidth="1" min="17" max="17" width="7.0"/>
    <col customWidth="1" hidden="1" min="18" max="18" width="4.88"/>
    <col customWidth="1" min="19" max="19" width="1.63"/>
    <col customWidth="1" min="20" max="20" width="7.0"/>
    <col customWidth="1" hidden="1" min="21" max="21" width="4.63"/>
    <col customWidth="1" min="22" max="22" width="1.63"/>
    <col customWidth="1" min="23" max="23" width="7.0"/>
    <col customWidth="1" hidden="1" min="24" max="25" width="4.63"/>
    <col customWidth="1" hidden="1" min="26" max="26" width="4.13"/>
    <col customWidth="1" hidden="1" min="27" max="27" width="3.5"/>
    <col customWidth="1" hidden="1" min="28" max="28" width="4.5"/>
    <col customWidth="1" hidden="1" min="29" max="29" width="4.13"/>
    <col customWidth="1" min="30" max="30" width="6.0"/>
    <col customWidth="1" min="31" max="31" width="37.0"/>
    <col customWidth="1" min="32" max="32" width="10.13"/>
    <col customWidth="1" min="33" max="35" width="8.63"/>
  </cols>
  <sheetData>
    <row r="1" ht="21.0" customHeight="1">
      <c r="A1" s="27" t="s">
        <v>41</v>
      </c>
      <c r="AJ1" s="3"/>
      <c r="AK1" s="3"/>
      <c r="AL1" s="3"/>
    </row>
    <row r="2" ht="21.0" customHeight="1">
      <c r="AJ2" s="3"/>
      <c r="AK2" s="3"/>
      <c r="AL2" s="3"/>
    </row>
    <row r="3" ht="15.0" customHeight="1">
      <c r="A3" s="28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ht="15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ht="22.5" customHeight="1">
      <c r="A5" s="63" t="s">
        <v>66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1"/>
      <c r="AJ5" s="32"/>
      <c r="AK5" s="32"/>
      <c r="AL5" s="32"/>
    </row>
    <row r="6" ht="15.0" customHeigh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</row>
    <row r="7" ht="30.0" customHeight="1">
      <c r="A7" s="64" t="s">
        <v>43</v>
      </c>
      <c r="B7" s="65" t="s">
        <v>44</v>
      </c>
      <c r="C7" s="35"/>
      <c r="D7" s="35"/>
      <c r="E7" s="36"/>
      <c r="F7" s="37"/>
      <c r="G7" s="38"/>
      <c r="H7" s="64" t="s">
        <v>45</v>
      </c>
      <c r="I7" s="32"/>
      <c r="J7" s="32"/>
      <c r="K7" s="32"/>
      <c r="L7" s="32"/>
      <c r="M7" s="39"/>
      <c r="N7" s="39"/>
      <c r="O7" s="39"/>
      <c r="P7" s="64" t="s">
        <v>43</v>
      </c>
      <c r="Q7" s="65" t="s">
        <v>44</v>
      </c>
      <c r="R7" s="35"/>
      <c r="S7" s="35"/>
      <c r="T7" s="36"/>
      <c r="U7" s="37"/>
      <c r="V7" s="38"/>
      <c r="W7" s="64" t="s">
        <v>45</v>
      </c>
      <c r="X7" s="32"/>
      <c r="Y7" s="39"/>
      <c r="Z7" s="39"/>
      <c r="AA7" s="39"/>
      <c r="AB7" s="39"/>
      <c r="AC7" s="39"/>
      <c r="AD7" s="39"/>
      <c r="AE7" s="64" t="s">
        <v>46</v>
      </c>
      <c r="AF7" s="64" t="s">
        <v>47</v>
      </c>
      <c r="AG7" s="64" t="s">
        <v>48</v>
      </c>
      <c r="AH7" s="64" t="s">
        <v>49</v>
      </c>
      <c r="AI7" s="64" t="s">
        <v>50</v>
      </c>
      <c r="AJ7" s="39"/>
      <c r="AK7" s="39"/>
      <c r="AL7" s="32"/>
    </row>
    <row r="8" hidden="1">
      <c r="A8" s="32"/>
      <c r="B8" s="42" t="s">
        <v>51</v>
      </c>
      <c r="C8" s="42" t="s">
        <v>52</v>
      </c>
      <c r="D8" s="42"/>
      <c r="E8" s="42" t="s">
        <v>51</v>
      </c>
      <c r="F8" s="42" t="s">
        <v>53</v>
      </c>
      <c r="G8" s="42"/>
      <c r="H8" s="42" t="s">
        <v>51</v>
      </c>
      <c r="I8" s="42" t="s">
        <v>54</v>
      </c>
      <c r="J8" s="42" t="s">
        <v>55</v>
      </c>
      <c r="K8" s="42" t="s">
        <v>56</v>
      </c>
      <c r="L8" s="42" t="s">
        <v>57</v>
      </c>
      <c r="M8" s="42" t="s">
        <v>58</v>
      </c>
      <c r="N8" s="42" t="s">
        <v>59</v>
      </c>
      <c r="O8" s="32"/>
      <c r="P8" s="32"/>
      <c r="Q8" s="42" t="s">
        <v>51</v>
      </c>
      <c r="R8" s="42" t="s">
        <v>52</v>
      </c>
      <c r="S8" s="42"/>
      <c r="T8" s="42" t="s">
        <v>51</v>
      </c>
      <c r="U8" s="42" t="s">
        <v>53</v>
      </c>
      <c r="V8" s="42"/>
      <c r="W8" s="42" t="s">
        <v>51</v>
      </c>
      <c r="X8" s="42" t="s">
        <v>54</v>
      </c>
      <c r="Y8" s="42" t="s">
        <v>55</v>
      </c>
      <c r="Z8" s="42" t="s">
        <v>56</v>
      </c>
      <c r="AA8" s="42" t="s">
        <v>57</v>
      </c>
      <c r="AB8" s="42" t="s">
        <v>58</v>
      </c>
      <c r="AC8" s="42" t="s">
        <v>59</v>
      </c>
      <c r="AD8" s="32"/>
      <c r="AE8" s="39"/>
      <c r="AF8" s="39"/>
      <c r="AG8" s="39"/>
      <c r="AH8" s="39"/>
      <c r="AI8" s="39"/>
      <c r="AJ8" s="42" t="s">
        <v>60</v>
      </c>
      <c r="AK8" s="66" t="s">
        <v>61</v>
      </c>
      <c r="AL8" s="67" t="s">
        <v>62</v>
      </c>
    </row>
    <row r="9" ht="15.0" customHeight="1">
      <c r="A9" s="44" t="str">
        <f>AE9</f>
        <v>Fotis Evangelou/Kristen Cachia</v>
      </c>
      <c r="B9" s="45">
        <v>6.0</v>
      </c>
      <c r="C9" s="46">
        <f>IF(B9&gt;B11,1,0)</f>
        <v>1</v>
      </c>
      <c r="D9" s="47"/>
      <c r="E9" s="45">
        <v>6.0</v>
      </c>
      <c r="F9" s="46">
        <f>IF(E9&gt;E11,1,0)</f>
        <v>1</v>
      </c>
      <c r="G9" s="47"/>
      <c r="H9" s="48"/>
      <c r="I9" s="32">
        <f>IF(H9&gt;H11,1,0)</f>
        <v>0</v>
      </c>
      <c r="J9" s="32">
        <f>IF(B9="",0,1)</f>
        <v>1</v>
      </c>
      <c r="K9" s="32">
        <f>IF(C9+F9=2,3,IF(C9+F9=1,1,0))</f>
        <v>3</v>
      </c>
      <c r="L9" s="32">
        <f>IF(K9=3,3,IF(I9+K9=2,2,IF(K9=1,1,0)))</f>
        <v>3</v>
      </c>
      <c r="M9" s="32">
        <f>B9+E9</f>
        <v>12</v>
      </c>
      <c r="N9" s="32">
        <f>C9+F9+I9</f>
        <v>2</v>
      </c>
      <c r="O9" s="32"/>
      <c r="P9" s="44" t="str">
        <f>AE9</f>
        <v>Fotis Evangelou/Kristen Cachia</v>
      </c>
      <c r="Q9" s="45">
        <v>6.0</v>
      </c>
      <c r="R9" s="46">
        <f>IF(Q9&gt;Q11,1,0)</f>
        <v>1</v>
      </c>
      <c r="S9" s="47"/>
      <c r="T9" s="45">
        <v>6.0</v>
      </c>
      <c r="U9" s="46">
        <f>IF(T9&gt;T11,1,0)</f>
        <v>1</v>
      </c>
      <c r="V9" s="47"/>
      <c r="W9" s="48"/>
      <c r="X9" s="32">
        <f>IF(W9&gt;W11,1,0)</f>
        <v>0</v>
      </c>
      <c r="Y9" s="32">
        <f>IF(Q9="",0,1)</f>
        <v>1</v>
      </c>
      <c r="Z9" s="32">
        <f>IF(R9+U9=2,3,IF(R9+U9=1,1,0))</f>
        <v>3</v>
      </c>
      <c r="AA9" s="32">
        <f>IF(Z9=3,3,IF(X9+Z9=2,2,IF(Z9=1,1,0)))</f>
        <v>3</v>
      </c>
      <c r="AB9" s="32">
        <f>Q9+T9</f>
        <v>12</v>
      </c>
      <c r="AC9" s="32">
        <f>R9+U9+X9</f>
        <v>2</v>
      </c>
      <c r="AD9" s="32"/>
      <c r="AE9" s="68" t="str">
        <f>'Players Men'!B14</f>
        <v>Fotis Evangelou/Kristen Cachia</v>
      </c>
      <c r="AF9" s="50">
        <f>J9+Y9+Y13+J13+Y25</f>
        <v>5</v>
      </c>
      <c r="AG9" s="50">
        <f t="shared" ref="AG9:AI9" si="1">L9+AA9+L13+AA13+AA25</f>
        <v>13</v>
      </c>
      <c r="AH9" s="50">
        <f t="shared" si="1"/>
        <v>60</v>
      </c>
      <c r="AI9" s="51">
        <f t="shared" si="1"/>
        <v>9</v>
      </c>
      <c r="AJ9" s="32"/>
      <c r="AK9" s="32"/>
      <c r="AL9" s="32"/>
    </row>
    <row r="10" ht="15.0" customHeight="1">
      <c r="A10" s="52" t="s">
        <v>63</v>
      </c>
      <c r="H10" s="53"/>
      <c r="I10" s="54"/>
      <c r="J10" s="32"/>
      <c r="K10" s="32"/>
      <c r="L10" s="32"/>
      <c r="M10" s="32"/>
      <c r="N10" s="32"/>
      <c r="O10" s="32"/>
      <c r="P10" s="52" t="s">
        <v>63</v>
      </c>
      <c r="W10" s="53"/>
      <c r="X10" s="54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9"/>
      <c r="AL10" s="32"/>
    </row>
    <row r="11" ht="15.0" customHeight="1">
      <c r="A11" s="55" t="str">
        <f>AE11</f>
        <v>Willem Steenkamer/Javier Villoria</v>
      </c>
      <c r="B11" s="45">
        <v>4.0</v>
      </c>
      <c r="C11" s="56">
        <f>IF(B11&gt;B9,1,0)</f>
        <v>0</v>
      </c>
      <c r="D11" s="57"/>
      <c r="E11" s="45">
        <v>3.0</v>
      </c>
      <c r="F11" s="56">
        <f>IF(E11&gt;E9,1,0)</f>
        <v>0</v>
      </c>
      <c r="G11" s="57"/>
      <c r="H11" s="48"/>
      <c r="I11" s="32">
        <f>IF(H11&gt;H9,1,0)</f>
        <v>0</v>
      </c>
      <c r="J11" s="32">
        <f>IF(B11="",0,1)</f>
        <v>1</v>
      </c>
      <c r="K11" s="32">
        <f>IF(C11+F11=2,3,IF(C11+F11=1,1,0))</f>
        <v>0</v>
      </c>
      <c r="L11" s="32">
        <f>IF(K11=3,3,IF(I11+K11=2,2,IF(K11=1,1,0)))</f>
        <v>0</v>
      </c>
      <c r="M11" s="32">
        <f>B11+E11</f>
        <v>7</v>
      </c>
      <c r="N11" s="32">
        <f>C11+F11+I11</f>
        <v>0</v>
      </c>
      <c r="O11" s="32"/>
      <c r="P11" s="55" t="str">
        <f>AE13</f>
        <v>Jonathan Vella/Clint Agius</v>
      </c>
      <c r="Q11" s="45">
        <v>0.0</v>
      </c>
      <c r="R11" s="56">
        <f>IF(Q11&gt;Q9,1,0)</f>
        <v>0</v>
      </c>
      <c r="S11" s="57"/>
      <c r="T11" s="45">
        <v>2.0</v>
      </c>
      <c r="U11" s="56">
        <f>IF(T11&gt;T9,1,0)</f>
        <v>0</v>
      </c>
      <c r="V11" s="57"/>
      <c r="W11" s="48"/>
      <c r="X11" s="32">
        <f>IF(W11&gt;W9,1,0)</f>
        <v>0</v>
      </c>
      <c r="Y11" s="32">
        <f>IF(Q11="",0,1)</f>
        <v>1</v>
      </c>
      <c r="Z11" s="32">
        <f>IF(R11+U11=2,3,IF(R11+U11=1,1,0))</f>
        <v>0</v>
      </c>
      <c r="AA11" s="32">
        <f>IF(Z11=3,3,IF(X11+Z11=2,2,IF(Z11=1,1,0)))</f>
        <v>0</v>
      </c>
      <c r="AB11" s="32">
        <f>Q11+T11</f>
        <v>2</v>
      </c>
      <c r="AC11" s="32">
        <f>R11+U11+X11</f>
        <v>0</v>
      </c>
      <c r="AD11" s="32"/>
      <c r="AE11" s="68" t="str">
        <f>'Players Men'!B15</f>
        <v>Willem Steenkamer/Javier Villoria</v>
      </c>
      <c r="AF11" s="50">
        <f>J11+J25+Y21+J21+J33</f>
        <v>5</v>
      </c>
      <c r="AG11" s="50">
        <f t="shared" ref="AG11:AI11" si="2">L11+L25+AA21+L21+L33</f>
        <v>5</v>
      </c>
      <c r="AH11" s="58">
        <f t="shared" si="2"/>
        <v>47</v>
      </c>
      <c r="AI11" s="51">
        <f t="shared" si="2"/>
        <v>5</v>
      </c>
      <c r="AJ11" s="39"/>
      <c r="AK11" s="39"/>
      <c r="AL11" s="32"/>
    </row>
    <row r="12" ht="15.0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9"/>
      <c r="AG12" s="39"/>
      <c r="AH12" s="39"/>
      <c r="AI12" s="39"/>
      <c r="AJ12" s="39"/>
      <c r="AK12" s="39"/>
      <c r="AL12" s="32"/>
    </row>
    <row r="13" ht="15.0" customHeight="1">
      <c r="A13" s="44" t="str">
        <f>AE9</f>
        <v>Fotis Evangelou/Kristen Cachia</v>
      </c>
      <c r="B13" s="45">
        <v>6.0</v>
      </c>
      <c r="C13" s="46">
        <f>IF(B13&gt;B15,1,0)</f>
        <v>0</v>
      </c>
      <c r="D13" s="47"/>
      <c r="E13" s="45">
        <v>6.0</v>
      </c>
      <c r="F13" s="46">
        <f>IF(E13&gt;E15,1,0)</f>
        <v>1</v>
      </c>
      <c r="G13" s="47"/>
      <c r="H13" s="45">
        <v>7.0</v>
      </c>
      <c r="I13" s="32">
        <f>IF(H13&gt;H15,1,0)</f>
        <v>0</v>
      </c>
      <c r="J13" s="32">
        <f>IF(B13="",0,1)</f>
        <v>1</v>
      </c>
      <c r="K13" s="32">
        <f>IF(C13+F13=2,3,IF(C13+F13=1,1,0))</f>
        <v>1</v>
      </c>
      <c r="L13" s="32">
        <f>IF(K13=3,3,IF(I13+K13=2,2,IF(K13=1,1,0)))</f>
        <v>1</v>
      </c>
      <c r="M13" s="32">
        <f>B13+E13</f>
        <v>12</v>
      </c>
      <c r="N13" s="32">
        <f>C13+F13+I13</f>
        <v>1</v>
      </c>
      <c r="O13" s="32"/>
      <c r="P13" s="44" t="str">
        <f>AE9</f>
        <v>Fotis Evangelou/Kristen Cachia</v>
      </c>
      <c r="Q13" s="45">
        <v>6.0</v>
      </c>
      <c r="R13" s="46">
        <f>IF(Q13&gt;Q15,1,0)</f>
        <v>1</v>
      </c>
      <c r="S13" s="47"/>
      <c r="T13" s="45">
        <v>6.0</v>
      </c>
      <c r="U13" s="46">
        <f>IF(T13&gt;T15,1,0)</f>
        <v>1</v>
      </c>
      <c r="V13" s="47"/>
      <c r="W13" s="48"/>
      <c r="X13" s="32">
        <f>IF(W13&gt;W15,1,0)</f>
        <v>0</v>
      </c>
      <c r="Y13" s="32">
        <f>IF(Q13="",0,1)</f>
        <v>1</v>
      </c>
      <c r="Z13" s="32">
        <f>IF(R13+U13=2,3,IF(R13+U13=1,1,0))</f>
        <v>3</v>
      </c>
      <c r="AA13" s="32">
        <f>IF(Z13=3,3,IF(X13+Z13=2,2,IF(Z13=1,1,0)))</f>
        <v>3</v>
      </c>
      <c r="AB13" s="32">
        <f>Q13+T13</f>
        <v>12</v>
      </c>
      <c r="AC13" s="32">
        <f>R13+U13+X13</f>
        <v>2</v>
      </c>
      <c r="AD13" s="32"/>
      <c r="AE13" s="68" t="str">
        <f>'Players Men'!B16</f>
        <v>Jonathan Vella/Clint Agius</v>
      </c>
      <c r="AF13" s="50">
        <f>Y17+J23+J17+Y11+Y29</f>
        <v>5</v>
      </c>
      <c r="AG13" s="50">
        <f>L17+AA17+AA11+L23+AA29</f>
        <v>3</v>
      </c>
      <c r="AH13" s="50">
        <f>M17+AB11+M23+AB17+AB29</f>
        <v>34</v>
      </c>
      <c r="AI13" s="51">
        <f>N17+AC17+AC11+N23+AC29</f>
        <v>3</v>
      </c>
      <c r="AJ13" s="39"/>
      <c r="AK13" s="39"/>
      <c r="AL13" s="32"/>
    </row>
    <row r="14" ht="15.0" customHeight="1">
      <c r="A14" s="52" t="s">
        <v>63</v>
      </c>
      <c r="H14" s="53"/>
      <c r="I14" s="54"/>
      <c r="J14" s="32"/>
      <c r="K14" s="32"/>
      <c r="L14" s="32"/>
      <c r="M14" s="32"/>
      <c r="N14" s="32"/>
      <c r="O14" s="32"/>
      <c r="P14" s="52" t="s">
        <v>63</v>
      </c>
      <c r="W14" s="53"/>
      <c r="X14" s="54"/>
      <c r="Y14" s="32"/>
      <c r="Z14" s="32"/>
      <c r="AA14" s="32"/>
      <c r="AB14" s="32"/>
      <c r="AC14" s="32"/>
      <c r="AD14" s="32"/>
      <c r="AE14" s="32"/>
      <c r="AF14" s="39"/>
      <c r="AG14" s="39"/>
      <c r="AH14" s="39"/>
      <c r="AI14" s="39"/>
      <c r="AJ14" s="39"/>
      <c r="AK14" s="39"/>
      <c r="AL14" s="32"/>
    </row>
    <row r="15" ht="15.0" customHeight="1">
      <c r="A15" s="55" t="str">
        <f>AE15</f>
        <v>Jonathan Martinelli/Luigi Porto</v>
      </c>
      <c r="B15" s="45">
        <v>7.0</v>
      </c>
      <c r="C15" s="56">
        <f>IF(B15&gt;B13,1,0)</f>
        <v>1</v>
      </c>
      <c r="D15" s="57"/>
      <c r="E15" s="45">
        <v>3.0</v>
      </c>
      <c r="F15" s="56">
        <f>IF(E15&gt;E13,1,0)</f>
        <v>0</v>
      </c>
      <c r="G15" s="57"/>
      <c r="H15" s="45">
        <v>10.0</v>
      </c>
      <c r="I15" s="32">
        <f>IF(H15&gt;H13,1,0)</f>
        <v>1</v>
      </c>
      <c r="J15" s="32">
        <f>IF(B15="",0,1)</f>
        <v>1</v>
      </c>
      <c r="K15" s="32">
        <f>IF(C15+F15=2,3,IF(C15+F15=1,1,0))</f>
        <v>1</v>
      </c>
      <c r="L15" s="32">
        <f>IF(K15=3,3,IF(I15+K15=2,2,IF(K15=1,1,0)))</f>
        <v>2</v>
      </c>
      <c r="M15" s="32">
        <f>B15+E15</f>
        <v>10</v>
      </c>
      <c r="N15" s="32">
        <f>C15+F15+I15</f>
        <v>2</v>
      </c>
      <c r="O15" s="32"/>
      <c r="P15" s="55" t="str">
        <f>AE17</f>
        <v>Ivan Cassar/Kurt Cassar</v>
      </c>
      <c r="Q15" s="45">
        <v>2.0</v>
      </c>
      <c r="R15" s="56">
        <f>IF(Q15&gt;Q13,1,0)</f>
        <v>0</v>
      </c>
      <c r="S15" s="57"/>
      <c r="T15" s="45">
        <v>4.0</v>
      </c>
      <c r="U15" s="56">
        <f>IF(T15&gt;T13,1,0)</f>
        <v>0</v>
      </c>
      <c r="V15" s="57"/>
      <c r="W15" s="48"/>
      <c r="X15" s="32">
        <f>IF(W15&gt;W13,1,0)</f>
        <v>0</v>
      </c>
      <c r="Y15" s="32">
        <f>IF(Q15="",0,1)</f>
        <v>1</v>
      </c>
      <c r="Z15" s="32">
        <f>IF(R15+U15=2,3,IF(R15+U15=1,1,0))</f>
        <v>0</v>
      </c>
      <c r="AA15" s="32">
        <f>IF(Z15=3,3,IF(X15+Z15=2,2,IF(Z15=1,1,0)))</f>
        <v>0</v>
      </c>
      <c r="AB15" s="32">
        <f>Q15+T15</f>
        <v>6</v>
      </c>
      <c r="AC15" s="32">
        <f>R15+U15+X15</f>
        <v>0</v>
      </c>
      <c r="AD15" s="32"/>
      <c r="AE15" s="68" t="str">
        <f>'Players Men'!B17</f>
        <v>Jonathan Martinelli/Luigi Porto</v>
      </c>
      <c r="AF15" s="50">
        <f>Y19+J15+Y23+J29+J37</f>
        <v>5</v>
      </c>
      <c r="AG15" s="50">
        <f t="shared" ref="AG15:AI15" si="3">AA19+L15+AA23+L29+L37</f>
        <v>13</v>
      </c>
      <c r="AH15" s="50">
        <f t="shared" si="3"/>
        <v>57</v>
      </c>
      <c r="AI15" s="51">
        <f t="shared" si="3"/>
        <v>10</v>
      </c>
      <c r="AJ15" s="39"/>
      <c r="AK15" s="39"/>
      <c r="AL15" s="32"/>
    </row>
    <row r="17" ht="15.0" customHeight="1">
      <c r="A17" s="44" t="str">
        <f>AE13</f>
        <v>Jonathan Vella/Clint Agius</v>
      </c>
      <c r="B17" s="45">
        <v>6.0</v>
      </c>
      <c r="C17" s="46">
        <f>IF(B17&gt;B19,1,0)</f>
        <v>0</v>
      </c>
      <c r="D17" s="47"/>
      <c r="E17" s="45">
        <v>6.0</v>
      </c>
      <c r="F17" s="46">
        <f>IF(E17&gt;E19,1,0)</f>
        <v>1</v>
      </c>
      <c r="G17" s="47"/>
      <c r="H17" s="45">
        <v>10.0</v>
      </c>
      <c r="I17" s="32">
        <f>IF(H17&gt;H19,1,0)</f>
        <v>1</v>
      </c>
      <c r="J17" s="32">
        <f>IF(B17="",0,1)</f>
        <v>1</v>
      </c>
      <c r="K17" s="32">
        <f>IF(C17+F17=2,3,IF(C17+F17=1,1,0))</f>
        <v>1</v>
      </c>
      <c r="L17" s="32">
        <f>IF(K17=3,3,IF(I17+K17=2,2,IF(K17=1,1,0)))</f>
        <v>2</v>
      </c>
      <c r="M17" s="32">
        <f>B17+E17</f>
        <v>12</v>
      </c>
      <c r="N17" s="32">
        <f>C17+F17+I17</f>
        <v>2</v>
      </c>
      <c r="O17" s="32"/>
      <c r="P17" s="44" t="str">
        <f>AE13</f>
        <v>Jonathan Vella/Clint Agius</v>
      </c>
      <c r="Q17" s="45">
        <v>1.0</v>
      </c>
      <c r="R17" s="46">
        <f>IF(Q17&gt;Q19,1,0)</f>
        <v>0</v>
      </c>
      <c r="S17" s="47"/>
      <c r="T17" s="45">
        <v>2.0</v>
      </c>
      <c r="U17" s="46">
        <f>IF(T17&gt;T19,1,0)</f>
        <v>0</v>
      </c>
      <c r="V17" s="47"/>
      <c r="W17" s="48"/>
      <c r="X17" s="32">
        <f>IF(W17&gt;W19,1,0)</f>
        <v>0</v>
      </c>
      <c r="Y17" s="32">
        <f>IF(Q17="",0,1)</f>
        <v>1</v>
      </c>
      <c r="Z17" s="32">
        <f>IF(R17+U17=2,3,IF(R17+U17=1,1,0))</f>
        <v>0</v>
      </c>
      <c r="AA17" s="32">
        <f>IF(Z17=3,3,IF(X17+Z17=2,2,IF(Z17=1,1,0)))</f>
        <v>0</v>
      </c>
      <c r="AB17" s="32">
        <f>Q17+T17</f>
        <v>3</v>
      </c>
      <c r="AC17" s="32">
        <f>R17+U17+X17</f>
        <v>0</v>
      </c>
      <c r="AD17" s="32"/>
      <c r="AE17" s="68" t="str">
        <f>'Players Men'!B18</f>
        <v>Ivan Cassar/Kurt Cassar</v>
      </c>
      <c r="AF17" s="50">
        <f>Y15+J27+J19+J31+Y33</f>
        <v>5</v>
      </c>
      <c r="AG17" s="58">
        <f t="shared" ref="AG17:AH17" si="4">AA15+L27+L19+L31+AA33</f>
        <v>6</v>
      </c>
      <c r="AH17" s="50">
        <f t="shared" si="4"/>
        <v>45</v>
      </c>
      <c r="AI17" s="51">
        <f>N31+N27+AC15+N19+AC33</f>
        <v>5</v>
      </c>
    </row>
    <row r="18" ht="15.0" customHeight="1">
      <c r="A18" s="52" t="s">
        <v>63</v>
      </c>
      <c r="H18" s="53"/>
      <c r="I18" s="54"/>
      <c r="J18" s="32"/>
      <c r="K18" s="32"/>
      <c r="L18" s="32"/>
      <c r="M18" s="32"/>
      <c r="N18" s="32"/>
      <c r="O18" s="32"/>
      <c r="P18" s="52" t="s">
        <v>63</v>
      </c>
      <c r="W18" s="53"/>
      <c r="X18" s="54"/>
      <c r="Y18" s="32"/>
      <c r="Z18" s="32"/>
      <c r="AA18" s="32"/>
      <c r="AB18" s="32"/>
      <c r="AC18" s="32"/>
      <c r="AD18" s="32"/>
      <c r="AE18" s="32"/>
      <c r="AF18" s="39"/>
      <c r="AG18" s="39"/>
      <c r="AH18" s="39"/>
      <c r="AI18" s="39"/>
    </row>
    <row r="19" ht="15.0" customHeight="1">
      <c r="A19" s="55" t="str">
        <f>AE17</f>
        <v>Ivan Cassar/Kurt Cassar</v>
      </c>
      <c r="B19" s="45">
        <v>7.0</v>
      </c>
      <c r="C19" s="56">
        <f>IF(B19&gt;B17,1,0)</f>
        <v>1</v>
      </c>
      <c r="D19" s="57"/>
      <c r="E19" s="45">
        <v>3.0</v>
      </c>
      <c r="F19" s="56">
        <f>IF(E19&gt;E17,1,0)</f>
        <v>0</v>
      </c>
      <c r="G19" s="57"/>
      <c r="H19" s="45">
        <v>7.0</v>
      </c>
      <c r="I19" s="32">
        <f>IF(H19&gt;H17,1,0)</f>
        <v>0</v>
      </c>
      <c r="J19" s="32">
        <f>IF(B19="",0,1)</f>
        <v>1</v>
      </c>
      <c r="K19" s="32">
        <f>IF(C19+F19=2,3,IF(C19+F19=1,1,0))</f>
        <v>1</v>
      </c>
      <c r="L19" s="32">
        <f>IF(K19=3,3,IF(I19+K19=2,2,IF(K19=1,1,0)))</f>
        <v>1</v>
      </c>
      <c r="M19" s="32">
        <f>B19+E19</f>
        <v>10</v>
      </c>
      <c r="N19" s="32">
        <f>C19+F19+I19</f>
        <v>1</v>
      </c>
      <c r="O19" s="32"/>
      <c r="P19" s="55" t="str">
        <f>AE15</f>
        <v>Jonathan Martinelli/Luigi Porto</v>
      </c>
      <c r="Q19" s="45">
        <v>6.0</v>
      </c>
      <c r="R19" s="56">
        <f>IF(Q19&gt;Q17,1,0)</f>
        <v>1</v>
      </c>
      <c r="S19" s="57"/>
      <c r="T19" s="45">
        <v>6.0</v>
      </c>
      <c r="U19" s="56">
        <f>IF(T19&gt;T17,1,0)</f>
        <v>1</v>
      </c>
      <c r="V19" s="57"/>
      <c r="W19" s="48"/>
      <c r="X19" s="32">
        <f>IF(W19&gt;W17,1,0)</f>
        <v>0</v>
      </c>
      <c r="Y19" s="32">
        <f>IF(Q19="",0,1)</f>
        <v>1</v>
      </c>
      <c r="Z19" s="32">
        <f>IF(R19+U19=2,3,IF(R19+U19=1,1,0))</f>
        <v>3</v>
      </c>
      <c r="AA19" s="32">
        <f>IF(Z19=3,3,IF(X19+Z19=2,2,IF(Z19=1,1,0)))</f>
        <v>3</v>
      </c>
      <c r="AB19" s="32">
        <f>Q19+T19</f>
        <v>12</v>
      </c>
      <c r="AC19" s="32">
        <f>R19+U19+X19</f>
        <v>2</v>
      </c>
      <c r="AD19" s="32"/>
      <c r="AE19" s="68" t="str">
        <f>'Players Men'!B19</f>
        <v>Peter Khiev/Sam Zammit</v>
      </c>
      <c r="AF19" s="50">
        <f>Y27+J39+J35+Y31+Y35</f>
        <v>5</v>
      </c>
      <c r="AG19" s="58">
        <f>L39+L35+AA31+AA35+AA27</f>
        <v>7</v>
      </c>
      <c r="AH19" s="50">
        <f>AB27+M39+AB31+M35+AB35</f>
        <v>42</v>
      </c>
      <c r="AI19" s="51">
        <f>N35+N39+AC31+AC35+AC27</f>
        <v>6</v>
      </c>
    </row>
    <row r="20" ht="15.0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</row>
    <row r="21" ht="15.0" customHeight="1">
      <c r="A21" s="44" t="str">
        <f>AE11</f>
        <v>Willem Steenkamer/Javier Villoria</v>
      </c>
      <c r="B21" s="45">
        <v>4.0</v>
      </c>
      <c r="C21" s="46">
        <f>IF(B21&gt;B23,1,0)</f>
        <v>0</v>
      </c>
      <c r="D21" s="47"/>
      <c r="E21" s="45">
        <v>6.0</v>
      </c>
      <c r="F21" s="46">
        <f>IF(E21&gt;E23,1,0)</f>
        <v>1</v>
      </c>
      <c r="G21" s="47"/>
      <c r="H21" s="45">
        <v>10.0</v>
      </c>
      <c r="I21" s="32">
        <f>IF(H21&gt;H23,1,0)</f>
        <v>1</v>
      </c>
      <c r="J21" s="32">
        <f>IF(B21="",0,1)</f>
        <v>1</v>
      </c>
      <c r="K21" s="32">
        <f>IF(C21+F21=2,3,IF(C21+F21=1,1,0))</f>
        <v>1</v>
      </c>
      <c r="L21" s="32">
        <f>IF(K21=3,3,IF(I21+K21=2,2,IF(K21=1,1,0)))</f>
        <v>2</v>
      </c>
      <c r="M21" s="32">
        <f>B21+E21</f>
        <v>10</v>
      </c>
      <c r="N21" s="32">
        <f>C21+F21+I21</f>
        <v>2</v>
      </c>
      <c r="O21" s="32"/>
      <c r="P21" s="44" t="str">
        <f>AE11</f>
        <v>Willem Steenkamer/Javier Villoria</v>
      </c>
      <c r="Q21" s="45">
        <v>6.0</v>
      </c>
      <c r="R21" s="46">
        <f>IF(Q21&gt;Q23,1,0)</f>
        <v>1</v>
      </c>
      <c r="S21" s="47"/>
      <c r="T21" s="45">
        <v>4.0</v>
      </c>
      <c r="U21" s="46">
        <f>IF(T21&gt;T23,1,0)</f>
        <v>0</v>
      </c>
      <c r="V21" s="47"/>
      <c r="W21" s="45">
        <v>10.0</v>
      </c>
      <c r="X21" s="32">
        <f>IF(W21&gt;W23,1,0)</f>
        <v>0</v>
      </c>
      <c r="Y21" s="32">
        <f>IF(Q21="",0,1)</f>
        <v>1</v>
      </c>
      <c r="Z21" s="32">
        <f>IF(R21+U21=2,3,IF(R21+U21=1,1,0))</f>
        <v>1</v>
      </c>
      <c r="AA21" s="32">
        <f>IF(Z21=3,3,IF(X21+Z21=2,2,IF(Z21=1,1,0)))</f>
        <v>1</v>
      </c>
      <c r="AB21" s="32">
        <f>Q21+T21</f>
        <v>10</v>
      </c>
      <c r="AC21" s="32">
        <f>R21+U21+X21</f>
        <v>1</v>
      </c>
      <c r="AD21" s="32"/>
      <c r="AE21" s="65" t="s">
        <v>64</v>
      </c>
      <c r="AF21" s="35"/>
      <c r="AG21" s="35"/>
      <c r="AH21" s="35"/>
      <c r="AI21" s="36"/>
    </row>
    <row r="22" ht="15.0" customHeight="1">
      <c r="A22" s="52" t="s">
        <v>63</v>
      </c>
      <c r="H22" s="53"/>
      <c r="I22" s="54"/>
      <c r="J22" s="32"/>
      <c r="K22" s="32"/>
      <c r="L22" s="32"/>
      <c r="M22" s="32"/>
      <c r="N22" s="32"/>
      <c r="O22" s="32"/>
      <c r="P22" s="52" t="s">
        <v>63</v>
      </c>
      <c r="W22" s="53"/>
      <c r="X22" s="54"/>
      <c r="Y22" s="32"/>
      <c r="Z22" s="32"/>
      <c r="AA22" s="32"/>
      <c r="AB22" s="32"/>
      <c r="AC22" s="32"/>
      <c r="AD22" s="32"/>
      <c r="AE22" s="60" t="s">
        <v>14</v>
      </c>
      <c r="AF22" s="35"/>
      <c r="AG22" s="35"/>
      <c r="AH22" s="35"/>
      <c r="AI22" s="36"/>
    </row>
    <row r="23" ht="15.0" customHeight="1">
      <c r="A23" s="55" t="str">
        <f>AE13</f>
        <v>Jonathan Vella/Clint Agius</v>
      </c>
      <c r="B23" s="45">
        <v>6.0</v>
      </c>
      <c r="C23" s="56">
        <f>IF(B23&gt;B21,1,0)</f>
        <v>1</v>
      </c>
      <c r="D23" s="57"/>
      <c r="E23" s="45">
        <v>3.0</v>
      </c>
      <c r="F23" s="56">
        <f>IF(E23&gt;E21,1,0)</f>
        <v>0</v>
      </c>
      <c r="G23" s="57"/>
      <c r="H23" s="45">
        <v>6.0</v>
      </c>
      <c r="I23" s="32">
        <f>IF(H23&gt;H21,1,0)</f>
        <v>0</v>
      </c>
      <c r="J23" s="32">
        <f>IF(B23="",0,1)</f>
        <v>1</v>
      </c>
      <c r="K23" s="32">
        <f>IF(C23+F23=2,3,IF(C23+F23=1,1,0))</f>
        <v>1</v>
      </c>
      <c r="L23" s="32">
        <f>IF(K23=3,3,IF(I23+K23=2,2,IF(K23=1,1,0)))</f>
        <v>1</v>
      </c>
      <c r="M23" s="32">
        <f>B23+E23</f>
        <v>9</v>
      </c>
      <c r="N23" s="32">
        <f>C23+F23+I23</f>
        <v>1</v>
      </c>
      <c r="O23" s="32"/>
      <c r="P23" s="55" t="str">
        <f>AE15</f>
        <v>Jonathan Martinelli/Luigi Porto</v>
      </c>
      <c r="Q23" s="45">
        <v>4.0</v>
      </c>
      <c r="R23" s="56">
        <f>IF(Q23&gt;Q21,1,0)</f>
        <v>0</v>
      </c>
      <c r="S23" s="57"/>
      <c r="T23" s="45">
        <v>6.0</v>
      </c>
      <c r="U23" s="56">
        <f>IF(T23&gt;T21,1,0)</f>
        <v>1</v>
      </c>
      <c r="V23" s="57"/>
      <c r="W23" s="45">
        <v>12.0</v>
      </c>
      <c r="X23" s="32">
        <f>IF(W23&gt;W21,1,0)</f>
        <v>1</v>
      </c>
      <c r="Y23" s="32">
        <f>IF(Q23="",0,1)</f>
        <v>1</v>
      </c>
      <c r="Z23" s="32">
        <f>IF(R23+U23=2,3,IF(R23+U23=1,1,0))</f>
        <v>1</v>
      </c>
      <c r="AA23" s="32">
        <f>IF(Z23=3,3,IF(X23+Z23=2,2,IF(Z23=1,1,0)))</f>
        <v>2</v>
      </c>
      <c r="AB23" s="32">
        <f>Q23+T23</f>
        <v>10</v>
      </c>
      <c r="AC23" s="32">
        <f>R23+U23+X23</f>
        <v>2</v>
      </c>
      <c r="AD23" s="32"/>
      <c r="AE23" s="69" t="s">
        <v>65</v>
      </c>
      <c r="AF23" s="35"/>
      <c r="AG23" s="35"/>
      <c r="AH23" s="35"/>
      <c r="AI23" s="36"/>
    </row>
    <row r="24" ht="15.0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70" t="s">
        <v>11</v>
      </c>
    </row>
    <row r="25" ht="15.0" customHeight="1">
      <c r="A25" s="44" t="str">
        <f>AE11</f>
        <v>Willem Steenkamer/Javier Villoria</v>
      </c>
      <c r="B25" s="45">
        <v>5.0</v>
      </c>
      <c r="C25" s="46">
        <f>IF(B25&gt;B27,1,0)</f>
        <v>0</v>
      </c>
      <c r="D25" s="47"/>
      <c r="E25" s="45">
        <v>4.0</v>
      </c>
      <c r="F25" s="46">
        <f>IF(E25&gt;E27,1,0)</f>
        <v>0</v>
      </c>
      <c r="G25" s="47"/>
      <c r="H25" s="48"/>
      <c r="I25" s="32">
        <f>IF(H25&gt;H27,1,0)</f>
        <v>0</v>
      </c>
      <c r="J25" s="32">
        <f>IF(B25="",0,1)</f>
        <v>1</v>
      </c>
      <c r="K25" s="32">
        <f>IF(C25+F25=2,3,IF(C25+F25=1,1,0))</f>
        <v>0</v>
      </c>
      <c r="L25" s="32">
        <f>IF(K25=3,3,IF(I25+K25=2,2,IF(K25=1,1,0)))</f>
        <v>0</v>
      </c>
      <c r="M25" s="32">
        <f>B25+E25</f>
        <v>9</v>
      </c>
      <c r="N25" s="32">
        <f>C25+F25+I25</f>
        <v>0</v>
      </c>
      <c r="O25" s="32"/>
      <c r="P25" s="44" t="str">
        <f>AE9</f>
        <v>Fotis Evangelou/Kristen Cachia</v>
      </c>
      <c r="Q25" s="45">
        <v>6.0</v>
      </c>
      <c r="R25" s="46">
        <f>IF(Q25&gt;Q27,1,0)</f>
        <v>1</v>
      </c>
      <c r="S25" s="47"/>
      <c r="T25" s="45">
        <v>6.0</v>
      </c>
      <c r="U25" s="46">
        <f>IF(T25&gt;T27,1,0)</f>
        <v>1</v>
      </c>
      <c r="V25" s="47"/>
      <c r="W25" s="48"/>
      <c r="X25" s="32">
        <f>IF(W25&gt;W23,1,0)</f>
        <v>0</v>
      </c>
      <c r="Y25" s="32">
        <f>IF(Q25="",0,1)</f>
        <v>1</v>
      </c>
      <c r="Z25" s="32">
        <f>IF(R25+U25=2,3,IF(R25+U25=1,1,0))</f>
        <v>3</v>
      </c>
      <c r="AA25" s="32">
        <f>IF(Z25=3,3,IF(X25+Z25=2,2,IF(Z25=1,1,0)))</f>
        <v>3</v>
      </c>
      <c r="AB25" s="32">
        <f>Q25+T25</f>
        <v>12</v>
      </c>
      <c r="AC25" s="32">
        <f>R25+U25+X25</f>
        <v>2</v>
      </c>
      <c r="AD25" s="32"/>
      <c r="AE25" s="32"/>
      <c r="AF25" s="32"/>
      <c r="AG25" s="32"/>
      <c r="AH25" s="39"/>
      <c r="AI25" s="32"/>
    </row>
    <row r="26" ht="15.0" customHeight="1">
      <c r="A26" s="52" t="s">
        <v>63</v>
      </c>
      <c r="H26" s="53"/>
      <c r="I26" s="54"/>
      <c r="J26" s="32"/>
      <c r="K26" s="32"/>
      <c r="L26" s="32"/>
      <c r="M26" s="32"/>
      <c r="N26" s="32"/>
      <c r="O26" s="32"/>
      <c r="P26" s="52" t="s">
        <v>67</v>
      </c>
      <c r="W26" s="53"/>
      <c r="X26" s="54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</row>
    <row r="27" ht="15.0" customHeight="1">
      <c r="A27" s="55" t="str">
        <f>AE17</f>
        <v>Ivan Cassar/Kurt Cassar</v>
      </c>
      <c r="B27" s="45">
        <v>7.0</v>
      </c>
      <c r="C27" s="56">
        <f>IF(B27&gt;B25,1,0)</f>
        <v>1</v>
      </c>
      <c r="D27" s="57"/>
      <c r="E27" s="45">
        <v>6.0</v>
      </c>
      <c r="F27" s="56">
        <f>IF(E27&gt;E25,1,0)</f>
        <v>1</v>
      </c>
      <c r="G27" s="57"/>
      <c r="H27" s="48"/>
      <c r="I27" s="32">
        <f>IF(H27&gt;H25,1,0)</f>
        <v>0</v>
      </c>
      <c r="J27" s="32">
        <f>IF(B27="",0,1)</f>
        <v>1</v>
      </c>
      <c r="K27" s="32">
        <f>IF(C27+F27=2,3,IF(C27+F27=1,1,0))</f>
        <v>3</v>
      </c>
      <c r="L27" s="32">
        <f>IF(K27=3,3,IF(I27+K27=2,2,IF(K27=1,1,0)))</f>
        <v>3</v>
      </c>
      <c r="M27" s="32">
        <f>B27+E27</f>
        <v>13</v>
      </c>
      <c r="N27" s="32">
        <f>C27+F27+I27</f>
        <v>2</v>
      </c>
      <c r="O27" s="32"/>
      <c r="P27" s="55" t="str">
        <f>AE19</f>
        <v>Peter Khiev/Sam Zammit</v>
      </c>
      <c r="Q27" s="45">
        <v>1.0</v>
      </c>
      <c r="R27" s="56">
        <f>IF(Q27&gt;Q25,1,0)</f>
        <v>0</v>
      </c>
      <c r="S27" s="57"/>
      <c r="T27" s="45">
        <v>0.0</v>
      </c>
      <c r="U27" s="56">
        <f>IF(T27&gt;T25,1,0)</f>
        <v>0</v>
      </c>
      <c r="V27" s="57"/>
      <c r="W27" s="48"/>
      <c r="X27" s="32">
        <f>IF(W27&gt;W25,1,0)</f>
        <v>0</v>
      </c>
      <c r="Y27" s="32">
        <f>IF(Q27="",0,1)</f>
        <v>1</v>
      </c>
      <c r="Z27" s="32">
        <f>IF(R27+U27=2,3,IF(R27+U27=1,1,0))</f>
        <v>0</v>
      </c>
      <c r="AA27" s="32">
        <f>IF(Z27=3,3,IF(X27+Z27=2,2,IF(Z27=1,1,0)))</f>
        <v>0</v>
      </c>
      <c r="AB27" s="32">
        <f>Q27+T27</f>
        <v>1</v>
      </c>
      <c r="AC27" s="32">
        <f>R27+U27+X27</f>
        <v>0</v>
      </c>
      <c r="AD27" s="32"/>
      <c r="AE27" s="32"/>
      <c r="AF27" s="32"/>
      <c r="AG27" s="32"/>
      <c r="AH27" s="32"/>
      <c r="AI27" s="32"/>
    </row>
    <row r="28" ht="15.0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9"/>
      <c r="AI28" s="32"/>
    </row>
    <row r="29" ht="15.0" customHeight="1">
      <c r="A29" s="44" t="str">
        <f>AE15</f>
        <v>Jonathan Martinelli/Luigi Porto</v>
      </c>
      <c r="B29" s="45">
        <v>7.0</v>
      </c>
      <c r="C29" s="46">
        <f>IF(B29&gt;B31,1,0)</f>
        <v>1</v>
      </c>
      <c r="D29" s="71"/>
      <c r="E29" s="45">
        <v>6.0</v>
      </c>
      <c r="F29" s="46">
        <f>IF(E29&gt;E31,1,0)</f>
        <v>1</v>
      </c>
      <c r="G29" s="47"/>
      <c r="H29" s="48"/>
      <c r="I29" s="32">
        <f>IF(H29&gt;H31,1,0)</f>
        <v>0</v>
      </c>
      <c r="J29" s="32">
        <f>IF(B29="",0,1)</f>
        <v>1</v>
      </c>
      <c r="K29" s="32">
        <f>IF(C29+F29=2,3,IF(C29+F29=1,1,0))</f>
        <v>3</v>
      </c>
      <c r="L29" s="32">
        <f>IF(K29=3,3,IF(I29+K29=2,2,IF(K29=1,1,0)))</f>
        <v>3</v>
      </c>
      <c r="M29" s="32">
        <f>B29+E29</f>
        <v>13</v>
      </c>
      <c r="N29" s="32">
        <f>C29+F29+I29</f>
        <v>2</v>
      </c>
      <c r="O29" s="32"/>
      <c r="P29" s="44" t="str">
        <f>AE13</f>
        <v>Jonathan Vella/Clint Agius</v>
      </c>
      <c r="Q29" s="45">
        <v>3.0</v>
      </c>
      <c r="R29" s="46">
        <f>IF(Q29&gt;Q31,1,0)</f>
        <v>0</v>
      </c>
      <c r="S29" s="47"/>
      <c r="T29" s="45">
        <v>5.0</v>
      </c>
      <c r="U29" s="46">
        <f>IF(T29&gt;T31,1,0)</f>
        <v>0</v>
      </c>
      <c r="V29" s="47"/>
      <c r="W29" s="48"/>
      <c r="X29" s="32">
        <f>IF(W29&gt;W27,1,0)</f>
        <v>0</v>
      </c>
      <c r="Y29" s="32">
        <f>IF(Q29="",0,1)</f>
        <v>1</v>
      </c>
      <c r="Z29" s="32">
        <f>IF(R29+U29=2,3,IF(R29+U29=1,1,0))</f>
        <v>0</v>
      </c>
      <c r="AA29" s="32">
        <f>IF(Z29=3,3,IF(X29+Z29=2,2,IF(Z29=1,1,0)))</f>
        <v>0</v>
      </c>
      <c r="AB29" s="32">
        <f>Q29+T29</f>
        <v>8</v>
      </c>
      <c r="AC29" s="32">
        <f>R29+U29+X29</f>
        <v>0</v>
      </c>
      <c r="AD29" s="32"/>
      <c r="AE29" s="32"/>
      <c r="AF29" s="32"/>
      <c r="AG29" s="32"/>
      <c r="AH29" s="32"/>
      <c r="AI29" s="32"/>
    </row>
    <row r="30" ht="15.0" customHeight="1">
      <c r="A30" s="52" t="s">
        <v>63</v>
      </c>
      <c r="H30" s="53"/>
      <c r="I30" s="54"/>
      <c r="J30" s="32"/>
      <c r="K30" s="32"/>
      <c r="L30" s="32"/>
      <c r="M30" s="32"/>
      <c r="N30" s="32"/>
      <c r="O30" s="32"/>
      <c r="P30" s="52" t="s">
        <v>67</v>
      </c>
      <c r="W30" s="53"/>
      <c r="X30" s="54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</row>
    <row r="31" ht="15.0" customHeight="1">
      <c r="A31" s="55" t="str">
        <f>AE17</f>
        <v>Ivan Cassar/Kurt Cassar</v>
      </c>
      <c r="B31" s="45">
        <v>6.0</v>
      </c>
      <c r="C31" s="56">
        <f>IF(B31&gt;B29,1,0)</f>
        <v>0</v>
      </c>
      <c r="D31" s="57"/>
      <c r="E31" s="45">
        <v>2.0</v>
      </c>
      <c r="F31" s="56">
        <f>IF(E31&gt;E29,1,0)</f>
        <v>0</v>
      </c>
      <c r="G31" s="57"/>
      <c r="H31" s="48"/>
      <c r="I31" s="32">
        <f>IF(H31&gt;H29,1,0)</f>
        <v>0</v>
      </c>
      <c r="J31" s="32">
        <f>IF(B31="",0,1)</f>
        <v>1</v>
      </c>
      <c r="K31" s="32">
        <f>IF(C31+F31=2,3,IF(C31+F31=1,1,0))</f>
        <v>0</v>
      </c>
      <c r="L31" s="32">
        <f>IF(K31=3,3,IF(I31+K31=2,2,IF(K31=1,1,0)))</f>
        <v>0</v>
      </c>
      <c r="M31" s="32">
        <f>B31+E31</f>
        <v>8</v>
      </c>
      <c r="N31" s="32">
        <f>C31+F31+I31</f>
        <v>0</v>
      </c>
      <c r="O31" s="32"/>
      <c r="P31" s="55" t="str">
        <f>AE19</f>
        <v>Peter Khiev/Sam Zammit</v>
      </c>
      <c r="Q31" s="45">
        <v>6.0</v>
      </c>
      <c r="R31" s="56">
        <f>IF(Q31&gt;Q29,1,0)</f>
        <v>1</v>
      </c>
      <c r="S31" s="57"/>
      <c r="T31" s="45">
        <v>7.0</v>
      </c>
      <c r="U31" s="56">
        <f>IF(T31&gt;T29,1,0)</f>
        <v>1</v>
      </c>
      <c r="V31" s="57"/>
      <c r="W31" s="48"/>
      <c r="X31" s="32">
        <f>IF(W31&gt;W29,1,0)</f>
        <v>0</v>
      </c>
      <c r="Y31" s="32">
        <f>IF(Q31="",0,1)</f>
        <v>1</v>
      </c>
      <c r="Z31" s="32">
        <f>IF(R31+U31=2,3,IF(R31+U31=1,1,0))</f>
        <v>3</v>
      </c>
      <c r="AA31" s="32">
        <f>IF(Z31=3,3,IF(X31+Z31=2,2,IF(Z31=1,1,0)))</f>
        <v>3</v>
      </c>
      <c r="AB31" s="32">
        <f>Q31+T31</f>
        <v>13</v>
      </c>
      <c r="AC31" s="32">
        <f>R31+U31+X31</f>
        <v>2</v>
      </c>
      <c r="AD31" s="32"/>
      <c r="AE31" s="32"/>
      <c r="AF31" s="32"/>
      <c r="AG31" s="32"/>
      <c r="AH31" s="32"/>
      <c r="AI31" s="32"/>
    </row>
    <row r="32" ht="15.75" customHeight="1"/>
    <row r="33" ht="15.75" customHeight="1">
      <c r="A33" s="44" t="str">
        <f>AE11</f>
        <v>Willem Steenkamer/Javier Villoria</v>
      </c>
      <c r="B33" s="45">
        <v>5.0</v>
      </c>
      <c r="C33" s="46">
        <f>IF(B33&gt;B35,1,0)</f>
        <v>0</v>
      </c>
      <c r="D33" s="47"/>
      <c r="E33" s="45">
        <v>6.0</v>
      </c>
      <c r="F33" s="46">
        <f>IF(E33&gt;E35,1,0)</f>
        <v>1</v>
      </c>
      <c r="G33" s="47"/>
      <c r="H33" s="45">
        <v>7.0</v>
      </c>
      <c r="I33" s="32">
        <f>IF(H33&gt;H31,1,0)</f>
        <v>1</v>
      </c>
      <c r="J33" s="32">
        <f>IF(B33="",0,1)</f>
        <v>1</v>
      </c>
      <c r="K33" s="32">
        <f>IF(C33+F33=2,3,IF(C33+F33=1,1,0))</f>
        <v>1</v>
      </c>
      <c r="L33" s="32">
        <f>IF(K33=3,3,IF(I33+K33=2,2,IF(K33=1,1,0)))</f>
        <v>2</v>
      </c>
      <c r="M33" s="32">
        <f>B33+E33</f>
        <v>11</v>
      </c>
      <c r="N33" s="32">
        <f>C33+F33+I33</f>
        <v>2</v>
      </c>
      <c r="P33" s="44" t="str">
        <f>AE17</f>
        <v>Ivan Cassar/Kurt Cassar</v>
      </c>
      <c r="Q33" s="45">
        <v>1.0</v>
      </c>
      <c r="R33" s="46">
        <f>IF(Q33&gt;Q35,1,0)</f>
        <v>0</v>
      </c>
      <c r="S33" s="47"/>
      <c r="T33" s="45">
        <v>7.0</v>
      </c>
      <c r="U33" s="46">
        <f>IF(T33&gt;T35,1,0)</f>
        <v>1</v>
      </c>
      <c r="V33" s="47"/>
      <c r="W33" s="45">
        <v>4.0</v>
      </c>
      <c r="X33" s="32">
        <f>IF(W33&gt;W31,1,0)</f>
        <v>1</v>
      </c>
      <c r="Y33" s="32">
        <f>IF(Q33="",0,1)</f>
        <v>1</v>
      </c>
      <c r="Z33" s="32">
        <f>IF(R33+U33=2,3,IF(R33+U33=1,1,0))</f>
        <v>1</v>
      </c>
      <c r="AA33" s="32">
        <f>IF(Z33=3,3,IF(X33+Z33=2,2,IF(Z33=1,1,0)))</f>
        <v>2</v>
      </c>
      <c r="AB33" s="32">
        <f>Q33+T33</f>
        <v>8</v>
      </c>
      <c r="AC33" s="32">
        <f>R33+U33+X33</f>
        <v>2</v>
      </c>
    </row>
    <row r="34" ht="15.75" customHeight="1">
      <c r="A34" s="52" t="s">
        <v>67</v>
      </c>
      <c r="H34" s="53"/>
      <c r="P34" s="52" t="s">
        <v>67</v>
      </c>
      <c r="W34" s="53"/>
    </row>
    <row r="35" ht="15.75" customHeight="1">
      <c r="A35" s="55" t="str">
        <f>AE19</f>
        <v>Peter Khiev/Sam Zammit</v>
      </c>
      <c r="B35" s="45">
        <v>7.0</v>
      </c>
      <c r="C35" s="56">
        <f>IF(B35&gt;B33,1,0)</f>
        <v>1</v>
      </c>
      <c r="D35" s="57"/>
      <c r="E35" s="45">
        <v>4.0</v>
      </c>
      <c r="F35" s="56">
        <f>IF(E35&gt;E33,1,0)</f>
        <v>0</v>
      </c>
      <c r="G35" s="57"/>
      <c r="H35" s="45">
        <v>10.0</v>
      </c>
      <c r="I35" s="32">
        <f>IF(H35&gt;H33,1,0)</f>
        <v>1</v>
      </c>
      <c r="J35" s="32">
        <f>IF(B35="",0,1)</f>
        <v>1</v>
      </c>
      <c r="K35" s="32">
        <f>IF(C35+F35=2,3,IF(C35+F35=1,1,0))</f>
        <v>1</v>
      </c>
      <c r="L35" s="32">
        <f>IF(K35=3,3,IF(I35+K35=2,2,IF(K35=1,1,0)))</f>
        <v>2</v>
      </c>
      <c r="M35" s="32">
        <f>B35+E35</f>
        <v>11</v>
      </c>
      <c r="N35" s="32">
        <f>C35+F35+I35</f>
        <v>2</v>
      </c>
      <c r="P35" s="55" t="str">
        <f>AE19</f>
        <v>Peter Khiev/Sam Zammit</v>
      </c>
      <c r="Q35" s="45">
        <v>6.0</v>
      </c>
      <c r="R35" s="56">
        <f>IF(Q35&gt;Q33,1,0)</f>
        <v>1</v>
      </c>
      <c r="S35" s="57"/>
      <c r="T35" s="45">
        <v>5.0</v>
      </c>
      <c r="U35" s="56">
        <f>IF(T35&gt;T33,1,0)</f>
        <v>0</v>
      </c>
      <c r="V35" s="57"/>
      <c r="W35" s="45">
        <v>10.0</v>
      </c>
      <c r="X35" s="32">
        <f>IF(W35&gt;W33,1,0)</f>
        <v>1</v>
      </c>
      <c r="Y35" s="32">
        <f>IF(Q35="",0,1)</f>
        <v>1</v>
      </c>
      <c r="Z35" s="32">
        <f>IF(R35+U35=2,3,IF(R35+U35=1,1,0))</f>
        <v>1</v>
      </c>
      <c r="AA35" s="32">
        <f>IF(Z35=3,3,IF(X35+Z35=2,2,IF(Z35=1,1,0)))</f>
        <v>2</v>
      </c>
      <c r="AB35" s="32">
        <f>Q35+T35</f>
        <v>11</v>
      </c>
      <c r="AC35" s="32">
        <f>R35+U35+X35</f>
        <v>2</v>
      </c>
    </row>
    <row r="36" ht="15.75" customHeight="1"/>
    <row r="37" ht="15.75" customHeight="1">
      <c r="A37" s="44" t="str">
        <f>+AE15</f>
        <v>Jonathan Martinelli/Luigi Porto</v>
      </c>
      <c r="B37" s="45">
        <v>6.0</v>
      </c>
      <c r="C37" s="46">
        <f>IF(B37&gt;B39,1,0)</f>
        <v>1</v>
      </c>
      <c r="D37" s="47"/>
      <c r="E37" s="45">
        <v>6.0</v>
      </c>
      <c r="F37" s="46">
        <f>IF(E37&gt;E39,1,0)</f>
        <v>1</v>
      </c>
      <c r="G37" s="47"/>
      <c r="H37" s="48"/>
      <c r="I37" s="32">
        <f>IF(H37&gt;H35,1,0)</f>
        <v>0</v>
      </c>
      <c r="J37" s="32">
        <f>IF(B37="",0,1)</f>
        <v>1</v>
      </c>
      <c r="K37" s="32">
        <f>IF(C37+F37=2,3,IF(C37+F37=1,1,0))</f>
        <v>3</v>
      </c>
      <c r="L37" s="32">
        <f>IF(K37=3,3,IF(I37+K37=2,2,IF(K37=1,1,0)))</f>
        <v>3</v>
      </c>
      <c r="M37" s="32">
        <f>B37+E37</f>
        <v>12</v>
      </c>
      <c r="N37" s="32">
        <f>C37+F37+I37</f>
        <v>2</v>
      </c>
      <c r="P37" s="72"/>
    </row>
    <row r="38" ht="15.75" customHeight="1">
      <c r="A38" s="52" t="s">
        <v>67</v>
      </c>
      <c r="H38" s="53"/>
    </row>
    <row r="39" ht="15.75" customHeight="1">
      <c r="A39" s="55" t="str">
        <f>P31</f>
        <v>Peter Khiev/Sam Zammit</v>
      </c>
      <c r="B39" s="45">
        <v>3.0</v>
      </c>
      <c r="C39" s="56">
        <f>IF(B39&gt;B37,1,0)</f>
        <v>0</v>
      </c>
      <c r="D39" s="57"/>
      <c r="E39" s="45">
        <v>3.0</v>
      </c>
      <c r="F39" s="56">
        <f>IF(E39&gt;E37,1,0)</f>
        <v>0</v>
      </c>
      <c r="G39" s="57"/>
      <c r="H39" s="48"/>
      <c r="I39" s="32">
        <f>IF(H39&gt;H37,1,0)</f>
        <v>0</v>
      </c>
      <c r="J39" s="32">
        <f>IF(B39="",0,1)</f>
        <v>1</v>
      </c>
      <c r="K39" s="32">
        <f>IF(C39+F39=2,3,IF(C39+F39=1,1,0))</f>
        <v>0</v>
      </c>
      <c r="L39" s="32">
        <f>IF(K39=3,3,IF(I39+K39=2,2,IF(K39=1,1,0)))</f>
        <v>0</v>
      </c>
      <c r="M39" s="32">
        <f>B39+E39</f>
        <v>6</v>
      </c>
      <c r="N39" s="32">
        <f>C39+F39+I39</f>
        <v>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23">
    <mergeCell ref="A1:AI2"/>
    <mergeCell ref="A5:AI5"/>
    <mergeCell ref="B7:E7"/>
    <mergeCell ref="Q7:T7"/>
    <mergeCell ref="A10:H10"/>
    <mergeCell ref="P10:W10"/>
    <mergeCell ref="P14:W14"/>
    <mergeCell ref="A14:H14"/>
    <mergeCell ref="A18:H18"/>
    <mergeCell ref="P18:W18"/>
    <mergeCell ref="AE21:AI21"/>
    <mergeCell ref="A22:H22"/>
    <mergeCell ref="P22:W22"/>
    <mergeCell ref="AE22:AI22"/>
    <mergeCell ref="A34:H34"/>
    <mergeCell ref="A38:H38"/>
    <mergeCell ref="AE23:AI23"/>
    <mergeCell ref="AE24:AI24"/>
    <mergeCell ref="A26:H26"/>
    <mergeCell ref="P26:W26"/>
    <mergeCell ref="A30:H30"/>
    <mergeCell ref="P30:W30"/>
    <mergeCell ref="P34:W34"/>
  </mergeCells>
  <printOptions/>
  <pageMargins bottom="0.75" footer="0.0" header="0.0" left="0.7" right="0.7" top="0.75"/>
  <pageSetup paperSize="9" scale="6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63"/>
    <col customWidth="1" min="2" max="2" width="7.0"/>
    <col customWidth="1" hidden="1" min="3" max="3" width="4.0"/>
    <col customWidth="1" min="4" max="4" width="1.63"/>
    <col customWidth="1" min="5" max="5" width="7.0"/>
    <col customWidth="1" hidden="1" min="6" max="6" width="3.38"/>
    <col customWidth="1" min="7" max="7" width="1.63"/>
    <col customWidth="1" min="8" max="8" width="7.0"/>
    <col customWidth="1" hidden="1" min="9" max="9" width="4.38"/>
    <col customWidth="1" hidden="1" min="10" max="11" width="3.13"/>
    <col customWidth="1" hidden="1" min="12" max="12" width="4.13"/>
    <col customWidth="1" hidden="1" min="13" max="13" width="3.63"/>
    <col customWidth="1" hidden="1" min="14" max="14" width="4.13"/>
    <col customWidth="1" min="15" max="15" width="5.38"/>
    <col customWidth="1" min="16" max="16" width="39.38"/>
    <col customWidth="1" min="17" max="17" width="7.0"/>
    <col customWidth="1" hidden="1" min="18" max="18" width="6.0"/>
    <col customWidth="1" min="19" max="19" width="1.63"/>
    <col customWidth="1" min="20" max="20" width="7.0"/>
    <col customWidth="1" hidden="1" min="21" max="21" width="4.63"/>
    <col customWidth="1" min="22" max="22" width="1.63"/>
    <col customWidth="1" min="23" max="23" width="7.0"/>
    <col customWidth="1" hidden="1" min="24" max="25" width="4.63"/>
    <col customWidth="1" hidden="1" min="26" max="26" width="4.38"/>
    <col customWidth="1" hidden="1" min="27" max="27" width="3.63"/>
    <col customWidth="1" hidden="1" min="28" max="29" width="4.13"/>
    <col customWidth="1" min="30" max="30" width="5.63"/>
    <col customWidth="1" min="31" max="31" width="43.63"/>
    <col customWidth="1" min="32" max="32" width="10.0"/>
    <col customWidth="1" min="33" max="35" width="8.63"/>
  </cols>
  <sheetData>
    <row r="1" ht="21.0" customHeight="1">
      <c r="A1" s="27" t="s">
        <v>41</v>
      </c>
      <c r="AJ1" s="3"/>
      <c r="AK1" s="3"/>
      <c r="AL1" s="3"/>
    </row>
    <row r="2" ht="21.0" customHeight="1">
      <c r="AJ2" s="3"/>
      <c r="AK2" s="3"/>
      <c r="AL2" s="3"/>
    </row>
    <row r="3" ht="15.0" customHeight="1">
      <c r="A3" s="28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ht="15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ht="22.5" customHeight="1">
      <c r="A5" s="73" t="s">
        <v>17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1"/>
      <c r="AJ5" s="32"/>
      <c r="AK5" s="32"/>
      <c r="AL5" s="32"/>
      <c r="AM5" s="32"/>
      <c r="AN5" s="32"/>
    </row>
    <row r="6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</row>
    <row r="7">
      <c r="A7" s="74" t="s">
        <v>43</v>
      </c>
      <c r="B7" s="75" t="s">
        <v>44</v>
      </c>
      <c r="C7" s="35"/>
      <c r="D7" s="35"/>
      <c r="E7" s="36"/>
      <c r="F7" s="37"/>
      <c r="G7" s="38"/>
      <c r="H7" s="74" t="s">
        <v>45</v>
      </c>
      <c r="I7" s="32"/>
      <c r="J7" s="32"/>
      <c r="K7" s="32"/>
      <c r="L7" s="32"/>
      <c r="M7" s="39"/>
      <c r="N7" s="39"/>
      <c r="O7" s="32"/>
      <c r="P7" s="74" t="s">
        <v>43</v>
      </c>
      <c r="Q7" s="75" t="s">
        <v>44</v>
      </c>
      <c r="R7" s="35"/>
      <c r="S7" s="35"/>
      <c r="T7" s="36"/>
      <c r="U7" s="37"/>
      <c r="V7" s="38"/>
      <c r="W7" s="74" t="s">
        <v>45</v>
      </c>
      <c r="X7" s="32"/>
      <c r="Y7" s="39"/>
      <c r="Z7" s="39"/>
      <c r="AA7" s="39"/>
      <c r="AB7" s="39"/>
      <c r="AC7" s="39"/>
      <c r="AD7" s="32"/>
      <c r="AE7" s="74" t="s">
        <v>46</v>
      </c>
      <c r="AF7" s="74" t="s">
        <v>47</v>
      </c>
      <c r="AG7" s="74" t="s">
        <v>48</v>
      </c>
      <c r="AH7" s="74" t="s">
        <v>49</v>
      </c>
      <c r="AI7" s="74" t="s">
        <v>50</v>
      </c>
      <c r="AJ7" s="39"/>
      <c r="AK7" s="39"/>
      <c r="AL7" s="39"/>
      <c r="AM7" s="32"/>
      <c r="AN7" s="32"/>
    </row>
    <row r="8" ht="138.0" hidden="1" customHeight="1">
      <c r="A8" s="32"/>
      <c r="B8" s="42" t="s">
        <v>51</v>
      </c>
      <c r="C8" s="42" t="s">
        <v>52</v>
      </c>
      <c r="D8" s="42"/>
      <c r="E8" s="42" t="s">
        <v>51</v>
      </c>
      <c r="F8" s="42" t="s">
        <v>53</v>
      </c>
      <c r="G8" s="42"/>
      <c r="H8" s="42" t="s">
        <v>51</v>
      </c>
      <c r="I8" s="42" t="s">
        <v>54</v>
      </c>
      <c r="J8" s="42" t="s">
        <v>55</v>
      </c>
      <c r="K8" s="42" t="s">
        <v>56</v>
      </c>
      <c r="L8" s="42" t="s">
        <v>57</v>
      </c>
      <c r="M8" s="42" t="s">
        <v>58</v>
      </c>
      <c r="N8" s="42" t="s">
        <v>59</v>
      </c>
      <c r="O8" s="32"/>
      <c r="P8" s="32"/>
      <c r="Q8" s="42" t="s">
        <v>51</v>
      </c>
      <c r="R8" s="42" t="s">
        <v>52</v>
      </c>
      <c r="S8" s="42"/>
      <c r="T8" s="42" t="s">
        <v>51</v>
      </c>
      <c r="U8" s="42" t="s">
        <v>53</v>
      </c>
      <c r="V8" s="42"/>
      <c r="W8" s="42" t="s">
        <v>51</v>
      </c>
      <c r="X8" s="42" t="s">
        <v>54</v>
      </c>
      <c r="Y8" s="42" t="s">
        <v>55</v>
      </c>
      <c r="Z8" s="42" t="s">
        <v>56</v>
      </c>
      <c r="AA8" s="42" t="s">
        <v>57</v>
      </c>
      <c r="AB8" s="42" t="s">
        <v>58</v>
      </c>
      <c r="AC8" s="42" t="s">
        <v>59</v>
      </c>
      <c r="AD8" s="32"/>
      <c r="AE8" s="39"/>
      <c r="AF8" s="39"/>
      <c r="AG8" s="39"/>
      <c r="AH8" s="39"/>
      <c r="AI8" s="39"/>
      <c r="AJ8" s="42" t="s">
        <v>60</v>
      </c>
      <c r="AK8" s="42" t="s">
        <v>68</v>
      </c>
      <c r="AL8" s="66" t="s">
        <v>61</v>
      </c>
      <c r="AM8" s="67" t="s">
        <v>62</v>
      </c>
      <c r="AN8" s="67" t="s">
        <v>69</v>
      </c>
    </row>
    <row r="9" ht="15.0" customHeight="1">
      <c r="A9" s="44" t="str">
        <f>AE9</f>
        <v>Roberto Murdocco/James Brincat</v>
      </c>
      <c r="B9" s="45">
        <v>4.0</v>
      </c>
      <c r="C9" s="46">
        <f>IF(B9&gt;B11,1,0)</f>
        <v>0</v>
      </c>
      <c r="D9" s="47"/>
      <c r="E9" s="45">
        <v>2.0</v>
      </c>
      <c r="F9" s="46">
        <f>IF(E9&gt;E11,1,0)</f>
        <v>0</v>
      </c>
      <c r="G9" s="47"/>
      <c r="H9" s="48"/>
      <c r="I9" s="32">
        <f>IF(H9&gt;H11,1,0)</f>
        <v>0</v>
      </c>
      <c r="J9" s="32">
        <f>IF(B9="",0,1)</f>
        <v>1</v>
      </c>
      <c r="K9" s="32">
        <f>IF(C9+F9=2,3,IF(C9+F9=1,1,0))</f>
        <v>0</v>
      </c>
      <c r="L9" s="32">
        <f>IF(K9=3,3,IF(I9+K9=2,2,IF(K9=1,1,0)))</f>
        <v>0</v>
      </c>
      <c r="M9" s="32">
        <f>B9+E9</f>
        <v>6</v>
      </c>
      <c r="N9" s="32">
        <f>C9+F9+I9</f>
        <v>0</v>
      </c>
      <c r="O9" s="32"/>
      <c r="P9" s="44" t="str">
        <f>AE9</f>
        <v>Roberto Murdocco/James Brincat</v>
      </c>
      <c r="Q9" s="45">
        <v>6.0</v>
      </c>
      <c r="R9" s="46">
        <f>IF(Q9&gt;Q11,1,0)</f>
        <v>1</v>
      </c>
      <c r="S9" s="47"/>
      <c r="T9" s="45">
        <v>6.0</v>
      </c>
      <c r="U9" s="46">
        <f>IF(T9&gt;T11,1,0)</f>
        <v>1</v>
      </c>
      <c r="V9" s="47"/>
      <c r="W9" s="48"/>
      <c r="X9" s="32">
        <f>IF(W9&gt;W11,1,0)</f>
        <v>0</v>
      </c>
      <c r="Y9" s="32">
        <f>IF(Q9="",0,1)</f>
        <v>1</v>
      </c>
      <c r="Z9" s="32">
        <f>IF(R9+U9=2,3,IF(R9+U9=1,1,0))</f>
        <v>3</v>
      </c>
      <c r="AA9" s="32">
        <f>IF(Z9=3,3,IF(X9+Z9=2,2,IF(Z9=1,1,0)))</f>
        <v>3</v>
      </c>
      <c r="AB9" s="32">
        <f>Q9+T9</f>
        <v>12</v>
      </c>
      <c r="AC9" s="32">
        <f>R9+U9+X9</f>
        <v>2</v>
      </c>
      <c r="AD9" s="32"/>
      <c r="AE9" s="76" t="str">
        <f>'Players Men'!B22</f>
        <v>Roberto Murdocco/James Brincat</v>
      </c>
      <c r="AF9" s="50">
        <f>J9+Y9+J13+Y13</f>
        <v>4</v>
      </c>
      <c r="AG9" s="50">
        <f t="shared" ref="AG9:AI9" si="1">L9+AA9+L13+AA13</f>
        <v>9</v>
      </c>
      <c r="AH9" s="50">
        <f t="shared" si="1"/>
        <v>42</v>
      </c>
      <c r="AI9" s="51">
        <f t="shared" si="1"/>
        <v>6</v>
      </c>
      <c r="AJ9" s="32"/>
      <c r="AK9" s="32"/>
      <c r="AL9" s="32"/>
      <c r="AM9" s="32"/>
      <c r="AN9" s="32"/>
    </row>
    <row r="10" ht="15.0" customHeight="1">
      <c r="A10" s="52" t="s">
        <v>63</v>
      </c>
      <c r="H10" s="53"/>
      <c r="I10" s="54"/>
      <c r="J10" s="32"/>
      <c r="K10" s="32"/>
      <c r="L10" s="32"/>
      <c r="M10" s="32"/>
      <c r="N10" s="32"/>
      <c r="O10" s="32"/>
      <c r="P10" s="52" t="s">
        <v>63</v>
      </c>
      <c r="W10" s="53"/>
      <c r="X10" s="54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9"/>
      <c r="AL10" s="39"/>
      <c r="AM10" s="32"/>
      <c r="AN10" s="32"/>
    </row>
    <row r="11" ht="15.0" customHeight="1">
      <c r="A11" s="55" t="str">
        <f>AE11</f>
        <v>Neville Sciriha/Matthias Sciriha</v>
      </c>
      <c r="B11" s="45">
        <v>6.0</v>
      </c>
      <c r="C11" s="56">
        <f>IF(B11&gt;B9,1,0)</f>
        <v>1</v>
      </c>
      <c r="D11" s="57"/>
      <c r="E11" s="45">
        <v>6.0</v>
      </c>
      <c r="F11" s="56">
        <f>IF(E11&gt;E9,1,0)</f>
        <v>1</v>
      </c>
      <c r="G11" s="57"/>
      <c r="H11" s="48"/>
      <c r="I11" s="32">
        <f>IF(H11&gt;H9,1,0)</f>
        <v>0</v>
      </c>
      <c r="J11" s="32">
        <f>IF(B11="",0,1)</f>
        <v>1</v>
      </c>
      <c r="K11" s="32">
        <f>IF(C11+F11=2,3,IF(C11+F11=1,1,0))</f>
        <v>3</v>
      </c>
      <c r="L11" s="32">
        <f>IF(K11=3,3,IF(I11+K11=2,2,IF(K11=1,1,0)))</f>
        <v>3</v>
      </c>
      <c r="M11" s="32">
        <f>B11+E11</f>
        <v>12</v>
      </c>
      <c r="N11" s="32">
        <f>C11+F11+I11</f>
        <v>2</v>
      </c>
      <c r="O11" s="32"/>
      <c r="P11" s="55" t="str">
        <f>AE13</f>
        <v>Kenneth Farrugia/Juan Sammut</v>
      </c>
      <c r="Q11" s="45">
        <v>2.0</v>
      </c>
      <c r="R11" s="56">
        <f>IF(Q11&gt;Q9,1,0)</f>
        <v>0</v>
      </c>
      <c r="S11" s="57"/>
      <c r="T11" s="45">
        <v>1.0</v>
      </c>
      <c r="U11" s="56">
        <f>IF(T11&gt;T9,1,0)</f>
        <v>0</v>
      </c>
      <c r="V11" s="57"/>
      <c r="W11" s="48"/>
      <c r="X11" s="32">
        <f>IF(W11&gt;W9,1,0)</f>
        <v>0</v>
      </c>
      <c r="Y11" s="32">
        <f>IF(Q11="",0,1)</f>
        <v>1</v>
      </c>
      <c r="Z11" s="32">
        <f>IF(R11+U11=2,3,IF(R11+U11=1,1,0))</f>
        <v>0</v>
      </c>
      <c r="AA11" s="32">
        <f>IF(Z11=3,3,IF(X11+Z11=2,2,IF(Z11=1,1,0)))</f>
        <v>0</v>
      </c>
      <c r="AB11" s="32">
        <f>Q11+T11</f>
        <v>3</v>
      </c>
      <c r="AC11" s="32">
        <f>R11+U11+X11</f>
        <v>0</v>
      </c>
      <c r="AD11" s="32"/>
      <c r="AE11" s="76" t="str">
        <f>'Players Men'!B23</f>
        <v>Neville Sciriha/Matthias Sciriha</v>
      </c>
      <c r="AF11" s="50">
        <f>J11+J25+Y21+J21</f>
        <v>4</v>
      </c>
      <c r="AG11" s="50">
        <f t="shared" ref="AG11:AI11" si="2">L11+L25+AA21+L21</f>
        <v>11</v>
      </c>
      <c r="AH11" s="50">
        <f t="shared" si="2"/>
        <v>46</v>
      </c>
      <c r="AI11" s="51">
        <f t="shared" si="2"/>
        <v>8</v>
      </c>
      <c r="AJ11" s="39"/>
      <c r="AK11" s="39"/>
      <c r="AL11" s="39"/>
      <c r="AM11" s="32"/>
      <c r="AN11" s="32"/>
    </row>
    <row r="12" ht="15.0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9"/>
      <c r="AG12" s="39"/>
      <c r="AH12" s="39"/>
      <c r="AI12" s="39"/>
      <c r="AJ12" s="39"/>
      <c r="AK12" s="39"/>
      <c r="AL12" s="39"/>
      <c r="AM12" s="32"/>
      <c r="AN12" s="32"/>
    </row>
    <row r="13" ht="15.0" customHeight="1">
      <c r="A13" s="44" t="str">
        <f>AE9</f>
        <v>Roberto Murdocco/James Brincat</v>
      </c>
      <c r="B13" s="45">
        <v>6.0</v>
      </c>
      <c r="C13" s="46">
        <f>IF(B13&gt;B15,1,0)</f>
        <v>1</v>
      </c>
      <c r="D13" s="47"/>
      <c r="E13" s="45">
        <v>6.0</v>
      </c>
      <c r="F13" s="46">
        <f>IF(E13&gt;E15,1,0)</f>
        <v>1</v>
      </c>
      <c r="G13" s="47"/>
      <c r="H13" s="48"/>
      <c r="I13" s="32">
        <f>IF(H13&gt;H15,1,0)</f>
        <v>0</v>
      </c>
      <c r="J13" s="32">
        <f>IF(B13="",0,1)</f>
        <v>1</v>
      </c>
      <c r="K13" s="32">
        <f>IF(C13+F13=2,3,IF(C13+F13=1,1,0))</f>
        <v>3</v>
      </c>
      <c r="L13" s="32">
        <f>IF(K13=3,3,IF(I13+K13=2,2,IF(K13=1,1,0)))</f>
        <v>3</v>
      </c>
      <c r="M13" s="32">
        <f>B13+E13</f>
        <v>12</v>
      </c>
      <c r="N13" s="32">
        <f>C13+F13+I13</f>
        <v>2</v>
      </c>
      <c r="O13" s="32"/>
      <c r="P13" s="44" t="str">
        <f>AE9</f>
        <v>Roberto Murdocco/James Brincat</v>
      </c>
      <c r="Q13" s="45">
        <v>6.0</v>
      </c>
      <c r="R13" s="46">
        <f>IF(Q13&gt;Q15,1,0)</f>
        <v>1</v>
      </c>
      <c r="S13" s="47"/>
      <c r="T13" s="45">
        <v>6.0</v>
      </c>
      <c r="U13" s="46">
        <f>IF(T13&gt;T15,1,0)</f>
        <v>1</v>
      </c>
      <c r="V13" s="47"/>
      <c r="W13" s="48"/>
      <c r="X13" s="32">
        <f>IF(W13&gt;W15,1,0)</f>
        <v>0</v>
      </c>
      <c r="Y13" s="32">
        <f>IF(Q13="",0,1)</f>
        <v>1</v>
      </c>
      <c r="Z13" s="32">
        <f>IF(R13+U13=2,3,IF(R13+U13=1,1,0))</f>
        <v>3</v>
      </c>
      <c r="AA13" s="32">
        <f>IF(Z13=3,3,IF(X13+Z13=2,2,IF(Z13=1,1,0)))</f>
        <v>3</v>
      </c>
      <c r="AB13" s="32">
        <f>Q13+T13</f>
        <v>12</v>
      </c>
      <c r="AC13" s="32">
        <f>R13+U13+X13</f>
        <v>2</v>
      </c>
      <c r="AD13" s="32"/>
      <c r="AE13" s="76" t="str">
        <f>'Players Men'!B24</f>
        <v>Kenneth Farrugia/Juan Sammut</v>
      </c>
      <c r="AF13" s="50">
        <f>Y17+Y11+J17+J23</f>
        <v>4</v>
      </c>
      <c r="AG13" s="50">
        <f t="shared" ref="AG13:AI13" si="3">AA17+AA11+L17+L23</f>
        <v>7</v>
      </c>
      <c r="AH13" s="50">
        <f t="shared" si="3"/>
        <v>39</v>
      </c>
      <c r="AI13" s="51">
        <f t="shared" si="3"/>
        <v>5</v>
      </c>
      <c r="AJ13" s="39"/>
      <c r="AK13" s="39"/>
      <c r="AL13" s="39"/>
      <c r="AM13" s="32"/>
      <c r="AN13" s="32"/>
    </row>
    <row r="14" ht="15.0" customHeight="1">
      <c r="A14" s="52" t="s">
        <v>63</v>
      </c>
      <c r="H14" s="53"/>
      <c r="I14" s="54"/>
      <c r="J14" s="32"/>
      <c r="K14" s="32"/>
      <c r="L14" s="32"/>
      <c r="M14" s="32"/>
      <c r="N14" s="32"/>
      <c r="O14" s="32"/>
      <c r="P14" s="52" t="s">
        <v>63</v>
      </c>
      <c r="W14" s="53"/>
      <c r="X14" s="54"/>
      <c r="Y14" s="32"/>
      <c r="Z14" s="32"/>
      <c r="AA14" s="32"/>
      <c r="AB14" s="32"/>
      <c r="AC14" s="32"/>
      <c r="AD14" s="32"/>
      <c r="AE14" s="32"/>
      <c r="AF14" s="39"/>
      <c r="AG14" s="39"/>
      <c r="AH14" s="39"/>
      <c r="AI14" s="39"/>
      <c r="AJ14" s="39"/>
      <c r="AK14" s="39"/>
      <c r="AL14" s="39"/>
      <c r="AM14" s="32"/>
      <c r="AN14" s="32"/>
    </row>
    <row r="15" ht="15.0" customHeight="1">
      <c r="A15" s="55" t="str">
        <f>AE15</f>
        <v>Simone Re/Ryan Ebejer</v>
      </c>
      <c r="B15" s="45">
        <v>1.0</v>
      </c>
      <c r="C15" s="56">
        <f>IF(B15&gt;B13,1,0)</f>
        <v>0</v>
      </c>
      <c r="D15" s="57"/>
      <c r="E15" s="45">
        <v>4.0</v>
      </c>
      <c r="F15" s="56">
        <f>IF(E15&gt;E13,1,0)</f>
        <v>0</v>
      </c>
      <c r="G15" s="57"/>
      <c r="H15" s="48"/>
      <c r="I15" s="32">
        <f>IF(H15&gt;H13,1,0)</f>
        <v>0</v>
      </c>
      <c r="J15" s="32">
        <f>IF(B15="",0,1)</f>
        <v>1</v>
      </c>
      <c r="K15" s="32">
        <f>IF(C15+F15=2,3,IF(C15+F15=1,1,0))</f>
        <v>0</v>
      </c>
      <c r="L15" s="32">
        <f>IF(K15=3,3,IF(I15+K15=2,2,IF(K15=1,1,0)))</f>
        <v>0</v>
      </c>
      <c r="M15" s="32">
        <f>B15+E15</f>
        <v>5</v>
      </c>
      <c r="N15" s="32">
        <f>C15+F15+I15</f>
        <v>0</v>
      </c>
      <c r="O15" s="32"/>
      <c r="P15" s="55" t="str">
        <f>AE17</f>
        <v>Chris Vella/Matthew Micallef</v>
      </c>
      <c r="Q15" s="45">
        <v>3.0</v>
      </c>
      <c r="R15" s="56">
        <f>IF(Q15&gt;Q13,1,0)</f>
        <v>0</v>
      </c>
      <c r="S15" s="57"/>
      <c r="T15" s="45">
        <v>3.0</v>
      </c>
      <c r="U15" s="56">
        <f>IF(T15&gt;T13,1,0)</f>
        <v>0</v>
      </c>
      <c r="V15" s="57"/>
      <c r="W15" s="48"/>
      <c r="X15" s="32">
        <f>IF(W15&gt;W13,1,0)</f>
        <v>0</v>
      </c>
      <c r="Y15" s="32">
        <f>IF(Q15="",0,1)</f>
        <v>1</v>
      </c>
      <c r="Z15" s="32">
        <f>IF(R15+U15=2,3,IF(R15+U15=1,1,0))</f>
        <v>0</v>
      </c>
      <c r="AA15" s="32">
        <f>IF(Z15=3,3,IF(X15+Z15=2,2,IF(Z15=1,1,0)))</f>
        <v>0</v>
      </c>
      <c r="AB15" s="32">
        <f>Q15+T15</f>
        <v>6</v>
      </c>
      <c r="AC15" s="32">
        <f>R15+U15+X15</f>
        <v>0</v>
      </c>
      <c r="AD15" s="32"/>
      <c r="AE15" s="76" t="str">
        <f>'Players Men'!B25</f>
        <v>Simone Re/Ryan Ebejer</v>
      </c>
      <c r="AF15" s="50">
        <f>Y19+J29+J15+Y23</f>
        <v>4</v>
      </c>
      <c r="AG15" s="50">
        <f t="shared" ref="AG15:AI15" si="4">AA19+L29+L15+AA23</f>
        <v>2</v>
      </c>
      <c r="AH15" s="50">
        <f t="shared" si="4"/>
        <v>27</v>
      </c>
      <c r="AI15" s="51">
        <f t="shared" si="4"/>
        <v>2</v>
      </c>
      <c r="AJ15" s="39"/>
      <c r="AK15" s="39"/>
      <c r="AL15" s="39"/>
      <c r="AM15" s="32"/>
      <c r="AN15" s="32"/>
    </row>
    <row r="16" ht="15.0" customHeight="1">
      <c r="AF16" s="39"/>
      <c r="AG16" s="39"/>
      <c r="AH16" s="39"/>
      <c r="AI16" s="39"/>
    </row>
    <row r="17" ht="15.0" customHeight="1">
      <c r="A17" s="44" t="str">
        <f>AE13</f>
        <v>Kenneth Farrugia/Juan Sammut</v>
      </c>
      <c r="B17" s="45">
        <v>6.0</v>
      </c>
      <c r="C17" s="46">
        <f>IF(B17&gt;B19,1,0)</f>
        <v>1</v>
      </c>
      <c r="D17" s="47"/>
      <c r="E17" s="45">
        <v>6.0</v>
      </c>
      <c r="F17" s="46">
        <f>IF(E17&gt;E19,1,0)</f>
        <v>1</v>
      </c>
      <c r="G17" s="47"/>
      <c r="H17" s="48"/>
      <c r="I17" s="32">
        <f>IF(H17&gt;H19,1,0)</f>
        <v>0</v>
      </c>
      <c r="J17" s="32">
        <f>IF(B17="",0,1)</f>
        <v>1</v>
      </c>
      <c r="K17" s="32">
        <f>IF(C17+F17=2,3,IF(C17+F17=1,1,0))</f>
        <v>3</v>
      </c>
      <c r="L17" s="32">
        <f>IF(K17=3,3,IF(I17+K17=2,2,IF(K17=1,1,0)))</f>
        <v>3</v>
      </c>
      <c r="M17" s="32">
        <f>B17+E17</f>
        <v>12</v>
      </c>
      <c r="N17" s="32">
        <f>C17+F17+I17</f>
        <v>2</v>
      </c>
      <c r="O17" s="32"/>
      <c r="P17" s="44" t="str">
        <f>AE13</f>
        <v>Kenneth Farrugia/Juan Sammut</v>
      </c>
      <c r="Q17" s="45">
        <v>6.0</v>
      </c>
      <c r="R17" s="46">
        <f>IF(Q17&gt;Q19,1,0)</f>
        <v>1</v>
      </c>
      <c r="S17" s="47"/>
      <c r="T17" s="45">
        <v>6.0</v>
      </c>
      <c r="U17" s="46">
        <f>IF(T17&gt;T19,1,0)</f>
        <v>1</v>
      </c>
      <c r="V17" s="47"/>
      <c r="W17" s="48"/>
      <c r="X17" s="32">
        <f>IF(W17&gt;W19,1,0)</f>
        <v>0</v>
      </c>
      <c r="Y17" s="32">
        <f>IF(Q17="",0,1)</f>
        <v>1</v>
      </c>
      <c r="Z17" s="32">
        <f>IF(R17+U17=2,3,IF(R17+U17=1,1,0))</f>
        <v>3</v>
      </c>
      <c r="AA17" s="32">
        <f>IF(Z17=3,3,IF(X17+Z17=2,2,IF(Z17=1,1,0)))</f>
        <v>3</v>
      </c>
      <c r="AB17" s="32">
        <f>Q17+T17</f>
        <v>12</v>
      </c>
      <c r="AC17" s="32">
        <f>R17+U17+X17</f>
        <v>2</v>
      </c>
      <c r="AD17" s="32"/>
      <c r="AE17" s="76" t="str">
        <f>'Players Men'!B26</f>
        <v>Chris Vella/Matthew Micallef</v>
      </c>
      <c r="AF17" s="50">
        <f>J31+J27+Y15+J19</f>
        <v>4</v>
      </c>
      <c r="AG17" s="50">
        <f t="shared" ref="AG17:AI17" si="5">L31+L27+AA15+L19</f>
        <v>1</v>
      </c>
      <c r="AH17" s="50">
        <f t="shared" si="5"/>
        <v>21</v>
      </c>
      <c r="AI17" s="51">
        <f t="shared" si="5"/>
        <v>1</v>
      </c>
    </row>
    <row r="18" ht="15.0" customHeight="1">
      <c r="A18" s="52" t="s">
        <v>63</v>
      </c>
      <c r="H18" s="53"/>
      <c r="I18" s="54"/>
      <c r="J18" s="32"/>
      <c r="K18" s="32"/>
      <c r="L18" s="32"/>
      <c r="M18" s="32"/>
      <c r="N18" s="32"/>
      <c r="O18" s="32"/>
      <c r="P18" s="52" t="s">
        <v>63</v>
      </c>
      <c r="W18" s="53"/>
      <c r="X18" s="54"/>
      <c r="Y18" s="32"/>
      <c r="Z18" s="32"/>
      <c r="AA18" s="32"/>
      <c r="AB18" s="32"/>
      <c r="AC18" s="32"/>
      <c r="AD18" s="32"/>
      <c r="AE18" s="32"/>
      <c r="AF18" s="39"/>
      <c r="AG18" s="39"/>
      <c r="AH18" s="39"/>
      <c r="AI18" s="39"/>
    </row>
    <row r="19" ht="15.0" customHeight="1">
      <c r="A19" s="55" t="str">
        <f>AE17</f>
        <v>Chris Vella/Matthew Micallef</v>
      </c>
      <c r="B19" s="45">
        <v>0.0</v>
      </c>
      <c r="C19" s="56">
        <f>IF(B19&gt;B17,1,0)</f>
        <v>0</v>
      </c>
      <c r="D19" s="57"/>
      <c r="E19" s="45">
        <v>1.0</v>
      </c>
      <c r="F19" s="56">
        <f>IF(E19&gt;E17,1,0)</f>
        <v>0</v>
      </c>
      <c r="G19" s="57"/>
      <c r="H19" s="48"/>
      <c r="I19" s="32">
        <f>IF(H19&gt;H17,1,0)</f>
        <v>0</v>
      </c>
      <c r="J19" s="32">
        <f>IF(B19="",0,1)</f>
        <v>1</v>
      </c>
      <c r="K19" s="32">
        <f>IF(C19+F19=2,3,IF(C19+F19=1,1,0))</f>
        <v>0</v>
      </c>
      <c r="L19" s="32">
        <f>IF(K19=3,3,IF(I19+K19=2,2,IF(K19=1,1,0)))</f>
        <v>0</v>
      </c>
      <c r="M19" s="32">
        <f>B19+E19</f>
        <v>1</v>
      </c>
      <c r="N19" s="32">
        <f>C19+F19+I19</f>
        <v>0</v>
      </c>
      <c r="O19" s="32"/>
      <c r="P19" s="55" t="str">
        <f>AE15</f>
        <v>Simone Re/Ryan Ebejer</v>
      </c>
      <c r="Q19" s="45">
        <v>3.0</v>
      </c>
      <c r="R19" s="56">
        <f>IF(Q19&gt;Q17,1,0)</f>
        <v>0</v>
      </c>
      <c r="S19" s="57"/>
      <c r="T19" s="45">
        <v>4.0</v>
      </c>
      <c r="U19" s="56">
        <f>IF(T19&gt;T17,1,0)</f>
        <v>0</v>
      </c>
      <c r="V19" s="57"/>
      <c r="W19" s="48"/>
      <c r="X19" s="32">
        <f>IF(W19&gt;W17,1,0)</f>
        <v>0</v>
      </c>
      <c r="Y19" s="32">
        <f>IF(Q19="",0,1)</f>
        <v>1</v>
      </c>
      <c r="Z19" s="32">
        <f>IF(R19+U19=2,3,IF(R19+U19=1,1,0))</f>
        <v>0</v>
      </c>
      <c r="AA19" s="32">
        <f>IF(Z19=3,3,IF(X19+Z19=2,2,IF(Z19=1,1,0)))</f>
        <v>0</v>
      </c>
      <c r="AB19" s="32">
        <f>Q19+T19</f>
        <v>7</v>
      </c>
      <c r="AC19" s="32">
        <f>R19+U19+X19</f>
        <v>0</v>
      </c>
      <c r="AD19" s="32"/>
      <c r="AE19" s="75" t="s">
        <v>70</v>
      </c>
      <c r="AF19" s="35"/>
      <c r="AG19" s="35"/>
      <c r="AH19" s="35"/>
      <c r="AI19" s="36"/>
    </row>
    <row r="20" ht="15.0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60" t="s">
        <v>21</v>
      </c>
      <c r="AF20" s="35"/>
      <c r="AG20" s="35"/>
      <c r="AH20" s="35"/>
      <c r="AI20" s="36"/>
    </row>
    <row r="21" ht="15.0" customHeight="1">
      <c r="A21" s="44" t="str">
        <f>AE11</f>
        <v>Neville Sciriha/Matthias Sciriha</v>
      </c>
      <c r="B21" s="45">
        <v>7.0</v>
      </c>
      <c r="C21" s="46">
        <f>IF(B21&gt;B23,1,0)</f>
        <v>1</v>
      </c>
      <c r="D21" s="47"/>
      <c r="E21" s="45">
        <v>3.0</v>
      </c>
      <c r="F21" s="46">
        <f>IF(E21&gt;E23,1,0)</f>
        <v>0</v>
      </c>
      <c r="G21" s="47"/>
      <c r="H21" s="45">
        <v>10.0</v>
      </c>
      <c r="I21" s="32">
        <f>IF(H21&gt;H23,1,0)</f>
        <v>1</v>
      </c>
      <c r="J21" s="32">
        <f>IF(B21="",0,1)</f>
        <v>1</v>
      </c>
      <c r="K21" s="32">
        <f>IF(C21+F21=2,3,IF(C21+F21=1,1,0))</f>
        <v>1</v>
      </c>
      <c r="L21" s="32">
        <f>IF(K21=3,3,IF(I21+K21=2,2,IF(K21=1,1,0)))</f>
        <v>2</v>
      </c>
      <c r="M21" s="32">
        <f>B21+E21</f>
        <v>10</v>
      </c>
      <c r="N21" s="32">
        <f>C21+F21+I21</f>
        <v>2</v>
      </c>
      <c r="O21" s="32"/>
      <c r="P21" s="44" t="str">
        <f>AE11</f>
        <v>Neville Sciriha/Matthias Sciriha</v>
      </c>
      <c r="Q21" s="45">
        <v>6.0</v>
      </c>
      <c r="R21" s="46">
        <f>IF(Q21&gt;Q23,1,0)</f>
        <v>1</v>
      </c>
      <c r="S21" s="47"/>
      <c r="T21" s="45">
        <v>6.0</v>
      </c>
      <c r="U21" s="46">
        <f>IF(T21&gt;T23,1,0)</f>
        <v>1</v>
      </c>
      <c r="V21" s="47"/>
      <c r="W21" s="48"/>
      <c r="X21" s="32">
        <f>IF(W21&gt;W23,1,0)</f>
        <v>0</v>
      </c>
      <c r="Y21" s="32">
        <f>IF(Q21="",0,1)</f>
        <v>1</v>
      </c>
      <c r="Z21" s="32">
        <f>IF(R21+U21=2,3,IF(R21+U21=1,1,0))</f>
        <v>3</v>
      </c>
      <c r="AA21" s="32">
        <f>IF(Z21=3,3,IF(X21+Z21=2,2,IF(Z21=1,1,0)))</f>
        <v>3</v>
      </c>
      <c r="AB21" s="32">
        <f>Q21+T21</f>
        <v>12</v>
      </c>
      <c r="AC21" s="32">
        <f>R21+U21+X21</f>
        <v>2</v>
      </c>
      <c r="AD21" s="32"/>
    </row>
    <row r="22" ht="15.0" customHeight="1">
      <c r="A22" s="52" t="s">
        <v>63</v>
      </c>
      <c r="H22" s="53"/>
      <c r="I22" s="54"/>
      <c r="J22" s="32"/>
      <c r="K22" s="32"/>
      <c r="L22" s="32"/>
      <c r="M22" s="32"/>
      <c r="N22" s="32"/>
      <c r="O22" s="32"/>
      <c r="P22" s="52" t="s">
        <v>63</v>
      </c>
      <c r="W22" s="53"/>
      <c r="X22" s="54"/>
      <c r="Y22" s="32"/>
      <c r="Z22" s="32"/>
      <c r="AA22" s="32"/>
      <c r="AB22" s="32"/>
      <c r="AC22" s="32"/>
      <c r="AD22" s="32"/>
    </row>
    <row r="23" ht="15.0" customHeight="1">
      <c r="A23" s="55" t="str">
        <f>AE13</f>
        <v>Kenneth Farrugia/Juan Sammut</v>
      </c>
      <c r="B23" s="45">
        <v>6.0</v>
      </c>
      <c r="C23" s="56">
        <f>IF(B23&gt;B21,1,0)</f>
        <v>0</v>
      </c>
      <c r="D23" s="57"/>
      <c r="E23" s="45">
        <v>6.0</v>
      </c>
      <c r="F23" s="56">
        <f>IF(E23&gt;E21,1,0)</f>
        <v>1</v>
      </c>
      <c r="G23" s="57"/>
      <c r="H23" s="45">
        <v>4.0</v>
      </c>
      <c r="I23" s="32">
        <f>IF(H23&gt;H21,1,0)</f>
        <v>0</v>
      </c>
      <c r="J23" s="32">
        <f>IF(B23="",0,1)</f>
        <v>1</v>
      </c>
      <c r="K23" s="32">
        <f>IF(C23+F23=2,3,IF(C23+F23=1,1,0))</f>
        <v>1</v>
      </c>
      <c r="L23" s="32">
        <f>IF(K23=3,3,IF(I23+K23=2,2,IF(K23=1,1,0)))</f>
        <v>1</v>
      </c>
      <c r="M23" s="32">
        <f>B23+E23</f>
        <v>12</v>
      </c>
      <c r="N23" s="32">
        <f>C23+F23+I23</f>
        <v>1</v>
      </c>
      <c r="O23" s="32"/>
      <c r="P23" s="55" t="str">
        <f>AE15</f>
        <v>Simone Re/Ryan Ebejer</v>
      </c>
      <c r="Q23" s="45">
        <v>1.0</v>
      </c>
      <c r="R23" s="56">
        <f>IF(Q23&gt;Q21,1,0)</f>
        <v>0</v>
      </c>
      <c r="S23" s="57"/>
      <c r="T23" s="45">
        <v>2.0</v>
      </c>
      <c r="U23" s="56">
        <f>IF(T23&gt;T21,1,0)</f>
        <v>0</v>
      </c>
      <c r="V23" s="57"/>
      <c r="W23" s="48"/>
      <c r="X23" s="32">
        <f>IF(W23&gt;W21,1,0)</f>
        <v>0</v>
      </c>
      <c r="Y23" s="32">
        <f>IF(Q23="",0,1)</f>
        <v>1</v>
      </c>
      <c r="Z23" s="32">
        <f>IF(R23+U23=2,3,IF(R23+U23=1,1,0))</f>
        <v>0</v>
      </c>
      <c r="AA23" s="32">
        <f>IF(Z23=3,3,IF(X23+Z23=2,2,IF(Z23=1,1,0)))</f>
        <v>0</v>
      </c>
      <c r="AB23" s="32">
        <f>Q23+T23</f>
        <v>3</v>
      </c>
      <c r="AC23" s="32">
        <f>R23+U23+X23</f>
        <v>0</v>
      </c>
      <c r="AD23" s="32"/>
      <c r="AE23" s="32"/>
      <c r="AF23" s="32"/>
      <c r="AG23" s="32"/>
      <c r="AH23" s="32"/>
      <c r="AI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</row>
    <row r="25" ht="15.0" customHeight="1">
      <c r="A25" s="44" t="str">
        <f>AE11</f>
        <v>Neville Sciriha/Matthias Sciriha</v>
      </c>
      <c r="B25" s="45">
        <v>6.0</v>
      </c>
      <c r="C25" s="46">
        <f>IF(B25&gt;B27,1,0)</f>
        <v>1</v>
      </c>
      <c r="D25" s="47"/>
      <c r="E25" s="45">
        <v>6.0</v>
      </c>
      <c r="F25" s="46">
        <f>IF(E25&gt;E27,1,0)</f>
        <v>1</v>
      </c>
      <c r="G25" s="47"/>
      <c r="H25" s="48"/>
      <c r="I25" s="32">
        <f>IF(H25&gt;H27,1,0)</f>
        <v>0</v>
      </c>
      <c r="J25" s="32">
        <f>IF(B25="",0,1)</f>
        <v>1</v>
      </c>
      <c r="K25" s="32">
        <f>IF(C25+F25=2,3,IF(C25+F25=1,1,0))</f>
        <v>3</v>
      </c>
      <c r="L25" s="32">
        <f>IF(K25=3,3,IF(I25+K25=2,2,IF(K25=1,1,0)))</f>
        <v>3</v>
      </c>
      <c r="M25" s="32">
        <f>B25+E25</f>
        <v>12</v>
      </c>
      <c r="N25" s="32">
        <f>C25+F25+I25</f>
        <v>2</v>
      </c>
      <c r="O25" s="32"/>
      <c r="P25" s="32"/>
      <c r="Q25" s="39"/>
      <c r="R25" s="32"/>
      <c r="S25" s="39"/>
      <c r="T25" s="39"/>
      <c r="U25" s="32"/>
      <c r="V25" s="39"/>
      <c r="W25" s="39"/>
      <c r="X25" s="32"/>
      <c r="Y25" s="32"/>
      <c r="Z25" s="32"/>
      <c r="AA25" s="32"/>
      <c r="AB25" s="32"/>
      <c r="AC25" s="32"/>
      <c r="AD25" s="32"/>
      <c r="AE25" s="77"/>
    </row>
    <row r="26" ht="15.0" customHeight="1">
      <c r="A26" s="52" t="s">
        <v>63</v>
      </c>
      <c r="H26" s="53"/>
      <c r="I26" s="54"/>
      <c r="J26" s="32"/>
      <c r="K26" s="32"/>
      <c r="L26" s="32"/>
      <c r="M26" s="32"/>
      <c r="N26" s="32"/>
      <c r="O26" s="32"/>
      <c r="P26" s="32"/>
      <c r="X26" s="54"/>
      <c r="Y26" s="32"/>
      <c r="Z26" s="32"/>
      <c r="AA26" s="32"/>
      <c r="AB26" s="32"/>
      <c r="AC26" s="32"/>
      <c r="AD26" s="32"/>
      <c r="AE26" s="77" t="str">
        <f>IF(AL9=30,AN9,"")</f>
        <v/>
      </c>
    </row>
    <row r="27" ht="15.0" customHeight="1">
      <c r="A27" s="55" t="str">
        <f>AE17</f>
        <v>Chris Vella/Matthew Micallef</v>
      </c>
      <c r="B27" s="45">
        <v>0.0</v>
      </c>
      <c r="C27" s="56">
        <f>IF(B27&gt;B25,1,0)</f>
        <v>0</v>
      </c>
      <c r="D27" s="57"/>
      <c r="E27" s="45">
        <v>3.0</v>
      </c>
      <c r="F27" s="56">
        <f>IF(E27&gt;E25,1,0)</f>
        <v>0</v>
      </c>
      <c r="G27" s="57"/>
      <c r="H27" s="48"/>
      <c r="I27" s="32">
        <f>IF(H27&gt;H25,1,0)</f>
        <v>0</v>
      </c>
      <c r="J27" s="32">
        <f>IF(B27="",0,1)</f>
        <v>1</v>
      </c>
      <c r="K27" s="32">
        <f>IF(C27+F27=2,3,IF(C27+F27=1,1,0))</f>
        <v>0</v>
      </c>
      <c r="L27" s="32">
        <f>IF(K27=3,3,IF(I27+K27=2,2,IF(K27=1,1,0)))</f>
        <v>0</v>
      </c>
      <c r="M27" s="32">
        <f>B27+E27</f>
        <v>3</v>
      </c>
      <c r="N27" s="32">
        <f>C27+F27+I27</f>
        <v>0</v>
      </c>
      <c r="O27" s="32"/>
      <c r="P27" s="32"/>
      <c r="Q27" s="39"/>
      <c r="R27" s="32"/>
      <c r="S27" s="39"/>
      <c r="T27" s="39"/>
      <c r="U27" s="32"/>
      <c r="V27" s="39"/>
      <c r="W27" s="39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</row>
    <row r="28" ht="15.75" customHeight="1"/>
    <row r="29" ht="15.0" customHeight="1">
      <c r="A29" s="44" t="str">
        <f>AE15</f>
        <v>Simone Re/Ryan Ebejer</v>
      </c>
      <c r="B29" s="45">
        <v>6.0</v>
      </c>
      <c r="C29" s="46">
        <f>IF(B29&gt;B31,1,0)</f>
        <v>1</v>
      </c>
      <c r="D29" s="47"/>
      <c r="E29" s="45">
        <v>6.0</v>
      </c>
      <c r="F29" s="46">
        <f>IF(E29&gt;E31,1,0)</f>
        <v>0</v>
      </c>
      <c r="G29" s="47"/>
      <c r="H29" s="45">
        <v>9.0</v>
      </c>
      <c r="I29" s="32">
        <f>IF(H29&gt;H31,1,0)</f>
        <v>1</v>
      </c>
      <c r="J29" s="32">
        <f>IF(B29="",0,1)</f>
        <v>1</v>
      </c>
      <c r="K29" s="32">
        <f>IF(C29+F29=2,3,IF(C29+F29=1,1,0))</f>
        <v>1</v>
      </c>
      <c r="L29" s="32">
        <f>IF(K29=3,3,IF(I29+K29=2,2,IF(K29=1,1,0)))</f>
        <v>2</v>
      </c>
      <c r="M29" s="32">
        <f>B29+E29</f>
        <v>12</v>
      </c>
      <c r="N29" s="32">
        <f>C29+F29+I29</f>
        <v>2</v>
      </c>
      <c r="O29" s="32"/>
      <c r="P29" s="32"/>
      <c r="Q29" s="39"/>
      <c r="R29" s="32"/>
      <c r="S29" s="39"/>
      <c r="T29" s="39"/>
      <c r="U29" s="32"/>
      <c r="V29" s="39"/>
      <c r="W29" s="39"/>
      <c r="X29" s="32"/>
      <c r="Y29" s="32"/>
      <c r="Z29" s="32"/>
      <c r="AA29" s="32"/>
      <c r="AB29" s="32"/>
      <c r="AC29" s="32"/>
    </row>
    <row r="30" ht="15.0" customHeight="1">
      <c r="A30" s="52" t="s">
        <v>63</v>
      </c>
      <c r="H30" s="53"/>
      <c r="I30" s="54"/>
      <c r="J30" s="32"/>
      <c r="K30" s="32"/>
      <c r="L30" s="32"/>
      <c r="M30" s="32"/>
      <c r="N30" s="32"/>
      <c r="O30" s="32"/>
      <c r="P30" s="32"/>
      <c r="X30" s="54"/>
      <c r="Y30" s="32"/>
      <c r="Z30" s="32"/>
      <c r="AA30" s="32"/>
      <c r="AB30" s="32"/>
      <c r="AC30" s="32"/>
    </row>
    <row r="31" ht="15.0" customHeight="1">
      <c r="A31" s="55" t="str">
        <f>AE17</f>
        <v>Chris Vella/Matthew Micallef</v>
      </c>
      <c r="B31" s="45">
        <v>4.0</v>
      </c>
      <c r="C31" s="56">
        <f>IF(B31&gt;B29,1,0)</f>
        <v>0</v>
      </c>
      <c r="D31" s="57"/>
      <c r="E31" s="45">
        <v>7.0</v>
      </c>
      <c r="F31" s="56">
        <f>IF(E31&gt;E29,1,0)</f>
        <v>1</v>
      </c>
      <c r="G31" s="57"/>
      <c r="H31" s="45">
        <v>5.0</v>
      </c>
      <c r="I31" s="32">
        <f>IF(H31&gt;H29,1,0)</f>
        <v>0</v>
      </c>
      <c r="J31" s="32">
        <f>IF(B31="",0,1)</f>
        <v>1</v>
      </c>
      <c r="K31" s="32">
        <f>IF(C31+F31=2,3,IF(C31+F31=1,1,0))</f>
        <v>1</v>
      </c>
      <c r="L31" s="32">
        <f>IF(K31=3,3,IF(I31+K31=2,2,IF(K31=1,1,0)))</f>
        <v>1</v>
      </c>
      <c r="M31" s="32">
        <f>B31+E31</f>
        <v>11</v>
      </c>
      <c r="N31" s="32">
        <f>C31+F31+I31</f>
        <v>1</v>
      </c>
      <c r="O31" s="32"/>
      <c r="P31" s="32"/>
      <c r="Q31" s="39"/>
      <c r="R31" s="32"/>
      <c r="S31" s="39"/>
      <c r="T31" s="39"/>
      <c r="U31" s="32"/>
      <c r="V31" s="39"/>
      <c r="W31" s="39"/>
      <c r="X31" s="32"/>
      <c r="Y31" s="32"/>
      <c r="Z31" s="32"/>
      <c r="AA31" s="32"/>
      <c r="AB31" s="32"/>
      <c r="AC31" s="32"/>
    </row>
    <row r="32" ht="15.0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</row>
    <row r="33" ht="15.75" customHeight="1"/>
    <row r="34" ht="15.75" customHeight="1"/>
    <row r="35" ht="22.5" customHeight="1">
      <c r="A35" s="78" t="s">
        <v>18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1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</row>
    <row r="37">
      <c r="A37" s="79" t="s">
        <v>43</v>
      </c>
      <c r="B37" s="80" t="s">
        <v>44</v>
      </c>
      <c r="C37" s="35"/>
      <c r="D37" s="35"/>
      <c r="E37" s="36"/>
      <c r="F37" s="81"/>
      <c r="G37" s="38"/>
      <c r="H37" s="79" t="s">
        <v>45</v>
      </c>
      <c r="I37" s="32"/>
      <c r="J37" s="32"/>
      <c r="K37" s="32"/>
      <c r="L37" s="32"/>
      <c r="M37" s="39"/>
      <c r="N37" s="39"/>
      <c r="O37" s="39"/>
      <c r="P37" s="79" t="s">
        <v>43</v>
      </c>
      <c r="Q37" s="80" t="s">
        <v>44</v>
      </c>
      <c r="R37" s="35"/>
      <c r="S37" s="35"/>
      <c r="T37" s="36"/>
      <c r="U37" s="81"/>
      <c r="V37" s="38"/>
      <c r="W37" s="79" t="s">
        <v>45</v>
      </c>
      <c r="X37" s="32"/>
      <c r="Y37" s="39"/>
      <c r="Z37" s="39"/>
      <c r="AA37" s="39"/>
      <c r="AB37" s="39"/>
      <c r="AC37" s="39"/>
      <c r="AD37" s="39"/>
      <c r="AE37" s="79" t="s">
        <v>46</v>
      </c>
      <c r="AF37" s="79" t="s">
        <v>71</v>
      </c>
      <c r="AG37" s="79" t="s">
        <v>72</v>
      </c>
      <c r="AH37" s="79" t="s">
        <v>49</v>
      </c>
      <c r="AI37" s="79" t="s">
        <v>50</v>
      </c>
    </row>
    <row r="38" ht="15.75" hidden="1" customHeight="1">
      <c r="A38" s="32"/>
      <c r="B38" s="42" t="s">
        <v>51</v>
      </c>
      <c r="C38" s="42" t="s">
        <v>52</v>
      </c>
      <c r="D38" s="42"/>
      <c r="E38" s="42" t="s">
        <v>51</v>
      </c>
      <c r="F38" s="42" t="s">
        <v>53</v>
      </c>
      <c r="G38" s="42"/>
      <c r="H38" s="42" t="s">
        <v>51</v>
      </c>
      <c r="I38" s="42" t="s">
        <v>54</v>
      </c>
      <c r="J38" s="42" t="s">
        <v>55</v>
      </c>
      <c r="K38" s="42" t="s">
        <v>56</v>
      </c>
      <c r="L38" s="42" t="s">
        <v>57</v>
      </c>
      <c r="M38" s="42" t="s">
        <v>58</v>
      </c>
      <c r="N38" s="42" t="s">
        <v>59</v>
      </c>
      <c r="O38" s="32"/>
      <c r="P38" s="32"/>
      <c r="Q38" s="42" t="s">
        <v>51</v>
      </c>
      <c r="R38" s="42" t="s">
        <v>52</v>
      </c>
      <c r="S38" s="42"/>
      <c r="T38" s="42" t="s">
        <v>51</v>
      </c>
      <c r="U38" s="42" t="s">
        <v>53</v>
      </c>
      <c r="V38" s="42"/>
      <c r="W38" s="42" t="s">
        <v>51</v>
      </c>
      <c r="X38" s="42" t="s">
        <v>54</v>
      </c>
      <c r="Y38" s="42" t="s">
        <v>55</v>
      </c>
      <c r="Z38" s="42" t="s">
        <v>56</v>
      </c>
      <c r="AA38" s="42" t="s">
        <v>57</v>
      </c>
      <c r="AB38" s="42" t="s">
        <v>58</v>
      </c>
      <c r="AC38" s="42" t="s">
        <v>59</v>
      </c>
      <c r="AD38" s="32"/>
      <c r="AE38" s="39"/>
      <c r="AF38" s="39"/>
      <c r="AG38" s="39"/>
      <c r="AH38" s="39"/>
      <c r="AI38" s="39"/>
    </row>
    <row r="39" ht="15.75" customHeight="1">
      <c r="A39" s="44" t="str">
        <f>AE39</f>
        <v>Dunstan Vella/Cyril Lastimosa</v>
      </c>
      <c r="B39" s="45">
        <v>3.0</v>
      </c>
      <c r="C39" s="46">
        <f>IF(B39&gt;B41,1,0)</f>
        <v>0</v>
      </c>
      <c r="D39" s="47"/>
      <c r="E39" s="45">
        <v>6.0</v>
      </c>
      <c r="F39" s="46">
        <f>IF(E39&gt;E41,1,0)</f>
        <v>1</v>
      </c>
      <c r="G39" s="47"/>
      <c r="H39" s="45">
        <v>10.0</v>
      </c>
      <c r="I39" s="32">
        <f>IF(H39&gt;H41,1,0)</f>
        <v>1</v>
      </c>
      <c r="J39" s="32">
        <f>IF(B39="",0,1)</f>
        <v>1</v>
      </c>
      <c r="K39" s="32">
        <f>IF(C39+F39=2,3,IF(C39+F39=1,1,0))</f>
        <v>1</v>
      </c>
      <c r="L39" s="32">
        <f>IF(K39=3,3,IF(I39+K39=2,2,IF(K39=1,1,0)))</f>
        <v>2</v>
      </c>
      <c r="M39" s="32">
        <f>B39+E39</f>
        <v>9</v>
      </c>
      <c r="N39" s="32">
        <f>C39+F39+I39</f>
        <v>2</v>
      </c>
      <c r="O39" s="32"/>
      <c r="P39" s="44" t="str">
        <f>AE39</f>
        <v>Dunstan Vella/Cyril Lastimosa</v>
      </c>
      <c r="Q39" s="45">
        <v>6.0</v>
      </c>
      <c r="R39" s="46">
        <f>IF(Q39&gt;Q41,1,0)</f>
        <v>1</v>
      </c>
      <c r="S39" s="47"/>
      <c r="T39" s="45">
        <v>6.0</v>
      </c>
      <c r="U39" s="46">
        <f>IF(T39&gt;T41,1,0)</f>
        <v>1</v>
      </c>
      <c r="V39" s="47"/>
      <c r="W39" s="48"/>
      <c r="X39" s="32">
        <f>IF(W39&gt;W41,1,0)</f>
        <v>0</v>
      </c>
      <c r="Y39" s="32">
        <f>IF(Q39="",0,1)</f>
        <v>1</v>
      </c>
      <c r="Z39" s="32">
        <f>IF(R39+U39=2,3,IF(R39+U39=1,1,0))</f>
        <v>3</v>
      </c>
      <c r="AA39" s="32">
        <f>IF(Z39=3,3,IF(X39+Z39=2,2,IF(Z39=1,1,0)))</f>
        <v>3</v>
      </c>
      <c r="AB39" s="32">
        <f>Q39+T39</f>
        <v>12</v>
      </c>
      <c r="AC39" s="32">
        <f>R39+U39+X39</f>
        <v>2</v>
      </c>
      <c r="AD39" s="32"/>
      <c r="AE39" s="82" t="str">
        <f>'Players Men'!E22</f>
        <v>Dunstan Vella/Cyril Lastimosa</v>
      </c>
      <c r="AF39" s="50">
        <f>J39+Y39+J43+Y43</f>
        <v>4</v>
      </c>
      <c r="AG39" s="50">
        <f t="shared" ref="AG39:AI39" si="6">L39+AA39+L43+AA43</f>
        <v>11</v>
      </c>
      <c r="AH39" s="50">
        <f t="shared" si="6"/>
        <v>45</v>
      </c>
      <c r="AI39" s="51">
        <f t="shared" si="6"/>
        <v>8</v>
      </c>
    </row>
    <row r="40" ht="15.75" customHeight="1">
      <c r="A40" s="52" t="s">
        <v>63</v>
      </c>
      <c r="H40" s="53"/>
      <c r="I40" s="54"/>
      <c r="J40" s="32"/>
      <c r="K40" s="32"/>
      <c r="L40" s="32"/>
      <c r="M40" s="32"/>
      <c r="N40" s="32"/>
      <c r="O40" s="32"/>
      <c r="P40" s="52" t="s">
        <v>63</v>
      </c>
      <c r="W40" s="53"/>
      <c r="X40" s="54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</row>
    <row r="41" ht="15.75" customHeight="1">
      <c r="A41" s="55" t="str">
        <f>AE41</f>
        <v>Manuel Mifsud/Julian Esposito</v>
      </c>
      <c r="B41" s="45">
        <v>6.0</v>
      </c>
      <c r="C41" s="56">
        <f>IF(B41&gt;B39,1,0)</f>
        <v>1</v>
      </c>
      <c r="D41" s="57"/>
      <c r="E41" s="45">
        <v>3.0</v>
      </c>
      <c r="F41" s="56">
        <f>IF(E41&gt;E39,1,0)</f>
        <v>0</v>
      </c>
      <c r="G41" s="57"/>
      <c r="H41" s="45">
        <v>3.0</v>
      </c>
      <c r="I41" s="32">
        <f>IF(H41&gt;H39,1,0)</f>
        <v>0</v>
      </c>
      <c r="J41" s="32">
        <f>IF(B41="",0,1)</f>
        <v>1</v>
      </c>
      <c r="K41" s="32">
        <f>IF(C41+F41=2,3,IF(C41+F41=1,1,0))</f>
        <v>1</v>
      </c>
      <c r="L41" s="32">
        <f>IF(K41=3,3,IF(I41+K41=2,2,IF(K41=1,1,0)))</f>
        <v>1</v>
      </c>
      <c r="M41" s="32">
        <f>B41+E41</f>
        <v>9</v>
      </c>
      <c r="N41" s="32">
        <f>C41+F41+I41</f>
        <v>1</v>
      </c>
      <c r="O41" s="32"/>
      <c r="P41" s="55" t="str">
        <f>AE43</f>
        <v>David Camilleri/Joseph Zammit</v>
      </c>
      <c r="Q41" s="45">
        <v>2.0</v>
      </c>
      <c r="R41" s="56">
        <f>IF(Q41&gt;Q39,1,0)</f>
        <v>0</v>
      </c>
      <c r="S41" s="57"/>
      <c r="T41" s="45">
        <v>1.0</v>
      </c>
      <c r="U41" s="56">
        <f>IF(T41&gt;T39,1,0)</f>
        <v>0</v>
      </c>
      <c r="V41" s="57"/>
      <c r="W41" s="48"/>
      <c r="X41" s="32">
        <f>IF(W41&gt;W39,1,0)</f>
        <v>0</v>
      </c>
      <c r="Y41" s="32">
        <f>IF(Q41="",0,1)</f>
        <v>1</v>
      </c>
      <c r="Z41" s="32">
        <f>IF(R41+U41=2,3,IF(R41+U41=1,1,0))</f>
        <v>0</v>
      </c>
      <c r="AA41" s="32">
        <f>IF(Z41=3,3,IF(X41+Z41=2,2,IF(Z41=1,1,0)))</f>
        <v>0</v>
      </c>
      <c r="AB41" s="32">
        <f>Q41+T41</f>
        <v>3</v>
      </c>
      <c r="AC41" s="32">
        <f>R41+U41+X41</f>
        <v>0</v>
      </c>
      <c r="AD41" s="32"/>
      <c r="AE41" s="82" t="str">
        <f>'Players Men'!E23</f>
        <v>Manuel Mifsud/Julian Esposito</v>
      </c>
      <c r="AF41" s="50">
        <f>J41+J55+Y51+J51</f>
        <v>4</v>
      </c>
      <c r="AG41" s="50">
        <f t="shared" ref="AG41:AI41" si="7">L41+L55+AA51+L51</f>
        <v>8</v>
      </c>
      <c r="AH41" s="50">
        <f t="shared" si="7"/>
        <v>40</v>
      </c>
      <c r="AI41" s="51">
        <f t="shared" si="7"/>
        <v>6</v>
      </c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9"/>
      <c r="AG42" s="39"/>
      <c r="AH42" s="39"/>
      <c r="AI42" s="39"/>
    </row>
    <row r="43">
      <c r="A43" s="44" t="str">
        <f>AE39</f>
        <v>Dunstan Vella/Cyril Lastimosa</v>
      </c>
      <c r="B43" s="45">
        <v>6.0</v>
      </c>
      <c r="C43" s="46">
        <f>IF(B43&gt;B45,1,0)</f>
        <v>1</v>
      </c>
      <c r="D43" s="47"/>
      <c r="E43" s="45">
        <v>6.0</v>
      </c>
      <c r="F43" s="46">
        <f>IF(E43&gt;E45,1,0)</f>
        <v>1</v>
      </c>
      <c r="G43" s="47"/>
      <c r="H43" s="48"/>
      <c r="I43" s="32">
        <f>IF(H43&gt;H45,1,0)</f>
        <v>0</v>
      </c>
      <c r="J43" s="32">
        <f>IF(B43="",0,1)</f>
        <v>1</v>
      </c>
      <c r="K43" s="32">
        <f>IF(C43+F43=2,3,IF(C43+F43=1,1,0))</f>
        <v>3</v>
      </c>
      <c r="L43" s="32">
        <f>IF(K43=3,3,IF(I43+K43=2,2,IF(K43=1,1,0)))</f>
        <v>3</v>
      </c>
      <c r="M43" s="32">
        <f>B43+E43</f>
        <v>12</v>
      </c>
      <c r="N43" s="32">
        <f>C43+F43+I43</f>
        <v>2</v>
      </c>
      <c r="O43" s="32"/>
      <c r="P43" s="44" t="str">
        <f>AE39</f>
        <v>Dunstan Vella/Cyril Lastimosa</v>
      </c>
      <c r="Q43" s="45">
        <v>6.0</v>
      </c>
      <c r="R43" s="46">
        <f>IF(Q43&gt;Q45,1,0)</f>
        <v>1</v>
      </c>
      <c r="S43" s="47"/>
      <c r="T43" s="45">
        <v>6.0</v>
      </c>
      <c r="U43" s="46">
        <f>IF(T43&gt;T45,1,0)</f>
        <v>1</v>
      </c>
      <c r="V43" s="47"/>
      <c r="W43" s="48"/>
      <c r="X43" s="32">
        <f>IF(W43&gt;W45,1,0)</f>
        <v>0</v>
      </c>
      <c r="Y43" s="32">
        <f>IF(Q43="",0,1)</f>
        <v>1</v>
      </c>
      <c r="Z43" s="32">
        <f>IF(R43+U43=2,3,IF(R43+U43=1,1,0))</f>
        <v>3</v>
      </c>
      <c r="AA43" s="32">
        <f>IF(Z43=3,3,IF(X43+Z43=2,2,IF(Z43=1,1,0)))</f>
        <v>3</v>
      </c>
      <c r="AB43" s="32">
        <f>Q43+T43</f>
        <v>12</v>
      </c>
      <c r="AC43" s="32">
        <f>R43+U43+X43</f>
        <v>2</v>
      </c>
      <c r="AD43" s="32"/>
      <c r="AE43" s="82" t="str">
        <f>'Players Men'!E24</f>
        <v>David Camilleri/Joseph Zammit</v>
      </c>
      <c r="AF43" s="50">
        <f>Y47+Y41+J47+J53</f>
        <v>4</v>
      </c>
      <c r="AG43" s="50">
        <f t="shared" ref="AG43:AI43" si="8">AA47+AA41+L47+L53</f>
        <v>1</v>
      </c>
      <c r="AH43" s="50">
        <f t="shared" si="8"/>
        <v>20</v>
      </c>
      <c r="AI43" s="51">
        <f t="shared" si="8"/>
        <v>1</v>
      </c>
    </row>
    <row r="44" ht="15.75" customHeight="1">
      <c r="A44" s="52" t="s">
        <v>63</v>
      </c>
      <c r="H44" s="53"/>
      <c r="I44" s="54"/>
      <c r="J44" s="32"/>
      <c r="K44" s="32"/>
      <c r="L44" s="32"/>
      <c r="M44" s="32"/>
      <c r="N44" s="32"/>
      <c r="O44" s="32"/>
      <c r="P44" s="52" t="s">
        <v>63</v>
      </c>
      <c r="W44" s="53"/>
      <c r="X44" s="54"/>
      <c r="Y44" s="32"/>
      <c r="Z44" s="32"/>
      <c r="AA44" s="32"/>
      <c r="AB44" s="32"/>
      <c r="AC44" s="32"/>
      <c r="AD44" s="32"/>
      <c r="AE44" s="32"/>
      <c r="AF44" s="39"/>
      <c r="AG44" s="39"/>
      <c r="AH44" s="39"/>
      <c r="AI44" s="39"/>
    </row>
    <row r="45" ht="15.0" customHeight="1">
      <c r="A45" s="55" t="str">
        <f>AE45</f>
        <v>Cory Greenland/Christan Xuereb</v>
      </c>
      <c r="B45" s="45">
        <v>1.0</v>
      </c>
      <c r="C45" s="56">
        <f>IF(B45&gt;B43,1,0)</f>
        <v>0</v>
      </c>
      <c r="D45" s="57"/>
      <c r="E45" s="45">
        <v>1.0</v>
      </c>
      <c r="F45" s="56">
        <f>IF(E45&gt;E43,1,0)</f>
        <v>0</v>
      </c>
      <c r="G45" s="57"/>
      <c r="H45" s="48"/>
      <c r="I45" s="32">
        <f>IF(H45&gt;H43,1,0)</f>
        <v>0</v>
      </c>
      <c r="J45" s="32">
        <f>IF(B45="",0,1)</f>
        <v>1</v>
      </c>
      <c r="K45" s="32">
        <f>IF(C45+F45=2,3,IF(C45+F45=1,1,0))</f>
        <v>0</v>
      </c>
      <c r="L45" s="32">
        <f>IF(K45=3,3,IF(I45+K45=2,2,IF(K45=1,1,0)))</f>
        <v>0</v>
      </c>
      <c r="M45" s="32">
        <f>B45+E45</f>
        <v>2</v>
      </c>
      <c r="N45" s="32">
        <f>C45+F45+I45</f>
        <v>0</v>
      </c>
      <c r="O45" s="32"/>
      <c r="P45" s="55" t="str">
        <f>AE47</f>
        <v>Aaron Micallef Piccione/Clinton Cutajar</v>
      </c>
      <c r="Q45" s="45">
        <v>2.0</v>
      </c>
      <c r="R45" s="56">
        <f>IF(Q45&gt;Q43,1,0)</f>
        <v>0</v>
      </c>
      <c r="S45" s="57"/>
      <c r="T45" s="45">
        <v>2.0</v>
      </c>
      <c r="U45" s="56">
        <f>IF(T45&gt;T43,1,0)</f>
        <v>0</v>
      </c>
      <c r="V45" s="57"/>
      <c r="W45" s="48"/>
      <c r="X45" s="32">
        <f>IF(W45&gt;W43,1,0)</f>
        <v>0</v>
      </c>
      <c r="Y45" s="32">
        <f>IF(Q45="",0,1)</f>
        <v>1</v>
      </c>
      <c r="Z45" s="32">
        <f>IF(R45+U45=2,3,IF(R45+U45=1,1,0))</f>
        <v>0</v>
      </c>
      <c r="AA45" s="32">
        <f>IF(Z45=3,3,IF(X45+Z45=2,2,IF(Z45=1,1,0)))</f>
        <v>0</v>
      </c>
      <c r="AB45" s="32">
        <f>Q45+T45</f>
        <v>4</v>
      </c>
      <c r="AC45" s="32">
        <f>R45+U45+X45</f>
        <v>0</v>
      </c>
      <c r="AD45" s="32"/>
      <c r="AE45" s="82" t="str">
        <f>'Players Men'!E25</f>
        <v>Cory Greenland/Christan Xuereb</v>
      </c>
      <c r="AF45" s="50">
        <f>Y49+J59+J45+Y53</f>
        <v>4</v>
      </c>
      <c r="AG45" s="50">
        <f t="shared" ref="AG45:AI45" si="9">AA49+L59+L45+AA53</f>
        <v>8</v>
      </c>
      <c r="AH45" s="50">
        <f t="shared" si="9"/>
        <v>33</v>
      </c>
      <c r="AI45" s="51">
        <f t="shared" si="9"/>
        <v>6</v>
      </c>
    </row>
    <row r="46" ht="15.75" customHeight="1">
      <c r="A46" s="32"/>
      <c r="B46" s="39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9"/>
      <c r="AG46" s="39"/>
      <c r="AH46" s="39"/>
      <c r="AI46" s="39"/>
    </row>
    <row r="47" ht="15.0" customHeight="1">
      <c r="A47" s="44" t="str">
        <f>AE43</f>
        <v>David Camilleri/Joseph Zammit</v>
      </c>
      <c r="B47" s="45">
        <v>6.0</v>
      </c>
      <c r="C47" s="46">
        <f>IF(B47&gt;B49,1,0)</f>
        <v>1</v>
      </c>
      <c r="D47" s="47"/>
      <c r="E47" s="45">
        <v>4.0</v>
      </c>
      <c r="F47" s="46">
        <f>IF(E47&gt;E49,1,0)</f>
        <v>0</v>
      </c>
      <c r="G47" s="47"/>
      <c r="H47" s="45">
        <v>24.0</v>
      </c>
      <c r="I47" s="32">
        <f>IF(H47&gt;H49,1,0)</f>
        <v>0</v>
      </c>
      <c r="J47" s="32">
        <f>IF(B47="",0,1)</f>
        <v>1</v>
      </c>
      <c r="K47" s="32">
        <f>IF(C47+F47=2,3,IF(C47+F47=1,1,0))</f>
        <v>1</v>
      </c>
      <c r="L47" s="32">
        <f>IF(K47=3,3,IF(I47+K47=2,2,IF(K47=1,1,0)))</f>
        <v>1</v>
      </c>
      <c r="M47" s="32">
        <f>B47+E47</f>
        <v>10</v>
      </c>
      <c r="N47" s="32">
        <f>C47+F47+I47</f>
        <v>1</v>
      </c>
      <c r="O47" s="32"/>
      <c r="P47" s="44" t="str">
        <f>AE43</f>
        <v>David Camilleri/Joseph Zammit</v>
      </c>
      <c r="Q47" s="45">
        <v>1.0</v>
      </c>
      <c r="R47" s="46">
        <f>IF(Q47&gt;Q49,1,0)</f>
        <v>0</v>
      </c>
      <c r="S47" s="47"/>
      <c r="T47" s="45">
        <v>3.0</v>
      </c>
      <c r="U47" s="46">
        <f>IF(T47&gt;T49,1,0)</f>
        <v>0</v>
      </c>
      <c r="V47" s="47"/>
      <c r="W47" s="48"/>
      <c r="X47" s="32">
        <f>IF(W47&gt;W49,1,0)</f>
        <v>0</v>
      </c>
      <c r="Y47" s="32">
        <f>IF(Q47="",0,1)</f>
        <v>1</v>
      </c>
      <c r="Z47" s="32">
        <f>IF(R47+U47=2,3,IF(R47+U47=1,1,0))</f>
        <v>0</v>
      </c>
      <c r="AA47" s="32">
        <f>IF(Z47=3,3,IF(X47+Z47=2,2,IF(Z47=1,1,0)))</f>
        <v>0</v>
      </c>
      <c r="AB47" s="32">
        <f>Q47+T47</f>
        <v>4</v>
      </c>
      <c r="AC47" s="32">
        <f>R47+U47+X47</f>
        <v>0</v>
      </c>
      <c r="AD47" s="32"/>
      <c r="AE47" s="82" t="str">
        <f>'Players Men'!E26</f>
        <v>Aaron Micallef Piccione/Clinton Cutajar</v>
      </c>
      <c r="AF47" s="50">
        <f>J61+J57+Y45+J49</f>
        <v>4</v>
      </c>
      <c r="AG47" s="50">
        <f t="shared" ref="AG47:AI47" si="10">L61+L57+AA45+L49</f>
        <v>2</v>
      </c>
      <c r="AH47" s="50">
        <f t="shared" si="10"/>
        <v>23</v>
      </c>
      <c r="AI47" s="51">
        <f t="shared" si="10"/>
        <v>2</v>
      </c>
    </row>
    <row r="48">
      <c r="A48" s="52" t="s">
        <v>63</v>
      </c>
      <c r="H48" s="53"/>
      <c r="I48" s="54"/>
      <c r="J48" s="32"/>
      <c r="K48" s="32"/>
      <c r="L48" s="32"/>
      <c r="M48" s="32"/>
      <c r="N48" s="32"/>
      <c r="O48" s="32"/>
      <c r="P48" s="52" t="s">
        <v>63</v>
      </c>
      <c r="W48" s="53"/>
      <c r="X48" s="54"/>
      <c r="Y48" s="32"/>
      <c r="Z48" s="32"/>
      <c r="AA48" s="32"/>
      <c r="AB48" s="32"/>
      <c r="AC48" s="32"/>
      <c r="AD48" s="32"/>
      <c r="AE48" s="32"/>
      <c r="AF48" s="39"/>
      <c r="AG48" s="39"/>
      <c r="AH48" s="39"/>
      <c r="AI48" s="39"/>
    </row>
    <row r="49" ht="15.75" customHeight="1">
      <c r="A49" s="55" t="str">
        <f>AE47</f>
        <v>Aaron Micallef Piccione/Clinton Cutajar</v>
      </c>
      <c r="B49" s="45">
        <v>4.0</v>
      </c>
      <c r="C49" s="56">
        <f>IF(B49&gt;B47,1,0)</f>
        <v>0</v>
      </c>
      <c r="D49" s="57"/>
      <c r="E49" s="45">
        <v>6.0</v>
      </c>
      <c r="F49" s="56">
        <f>IF(E49&gt;E47,1,0)</f>
        <v>1</v>
      </c>
      <c r="G49" s="57"/>
      <c r="H49" s="45">
        <v>26.0</v>
      </c>
      <c r="I49" s="32">
        <f>IF(H49&gt;H47,1,0)</f>
        <v>1</v>
      </c>
      <c r="J49" s="32">
        <f>IF(B49="",0,1)</f>
        <v>1</v>
      </c>
      <c r="K49" s="32">
        <f>IF(C49+F49=2,3,IF(C49+F49=1,1,0))</f>
        <v>1</v>
      </c>
      <c r="L49" s="32">
        <f>IF(K49=3,3,IF(I49+K49=2,2,IF(K49=1,1,0)))</f>
        <v>2</v>
      </c>
      <c r="M49" s="32">
        <f>B49+E49</f>
        <v>10</v>
      </c>
      <c r="N49" s="32">
        <f>C49+F49+I49</f>
        <v>2</v>
      </c>
      <c r="O49" s="32"/>
      <c r="P49" s="55" t="str">
        <f>AE45</f>
        <v>Cory Greenland/Christan Xuereb</v>
      </c>
      <c r="Q49" s="45">
        <v>6.0</v>
      </c>
      <c r="R49" s="56">
        <f>IF(Q49&gt;Q47,1,0)</f>
        <v>1</v>
      </c>
      <c r="S49" s="57"/>
      <c r="T49" s="45">
        <v>6.0</v>
      </c>
      <c r="U49" s="56">
        <f>IF(T49&gt;T47,1,0)</f>
        <v>1</v>
      </c>
      <c r="V49" s="57"/>
      <c r="W49" s="48"/>
      <c r="X49" s="32">
        <f>IF(W49&gt;W47,1,0)</f>
        <v>0</v>
      </c>
      <c r="Y49" s="32">
        <f>IF(Q49="",0,1)</f>
        <v>1</v>
      </c>
      <c r="Z49" s="32">
        <f>IF(R49+U49=2,3,IF(R49+U49=1,1,0))</f>
        <v>3</v>
      </c>
      <c r="AA49" s="32">
        <f>IF(Z49=3,3,IF(X49+Z49=2,2,IF(Z49=1,1,0)))</f>
        <v>3</v>
      </c>
      <c r="AB49" s="32">
        <f>Q49+T49</f>
        <v>12</v>
      </c>
      <c r="AC49" s="32">
        <f>R49+U49+X49</f>
        <v>2</v>
      </c>
      <c r="AD49" s="32"/>
      <c r="AE49" s="80" t="s">
        <v>73</v>
      </c>
      <c r="AF49" s="35"/>
      <c r="AG49" s="35"/>
      <c r="AH49" s="35"/>
      <c r="AI49" s="36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60" t="s">
        <v>20</v>
      </c>
      <c r="AF50" s="35"/>
      <c r="AG50" s="35"/>
      <c r="AH50" s="35"/>
      <c r="AI50" s="36"/>
    </row>
    <row r="51" ht="15.75" customHeight="1">
      <c r="A51" s="44" t="str">
        <f>AE41</f>
        <v>Manuel Mifsud/Julian Esposito</v>
      </c>
      <c r="B51" s="45">
        <v>6.0</v>
      </c>
      <c r="C51" s="46">
        <f>IF(B51&gt;B53,1,0)</f>
        <v>1</v>
      </c>
      <c r="D51" s="47"/>
      <c r="E51" s="45">
        <v>6.0</v>
      </c>
      <c r="F51" s="46">
        <f>IF(E51&gt;E53,1,0)</f>
        <v>1</v>
      </c>
      <c r="G51" s="47"/>
      <c r="H51" s="48"/>
      <c r="I51" s="32">
        <f>IF(H51&gt;H53,1,0)</f>
        <v>0</v>
      </c>
      <c r="J51" s="32">
        <f>IF(B51="",0,1)</f>
        <v>1</v>
      </c>
      <c r="K51" s="32">
        <f>IF(C51+F51=2,3,IF(C51+F51=1,1,0))</f>
        <v>3</v>
      </c>
      <c r="L51" s="32">
        <f>IF(K51=3,3,IF(I51+K51=2,2,IF(K51=1,1,0)))</f>
        <v>3</v>
      </c>
      <c r="M51" s="32">
        <f>B51+E51</f>
        <v>12</v>
      </c>
      <c r="N51" s="32">
        <f>C51+F51+I51</f>
        <v>2</v>
      </c>
      <c r="O51" s="32"/>
      <c r="P51" s="44" t="str">
        <f>AE41</f>
        <v>Manuel Mifsud/Julian Esposito</v>
      </c>
      <c r="Q51" s="45">
        <v>1.0</v>
      </c>
      <c r="R51" s="46">
        <f>IF(Q51&gt;Q53,1,0)</f>
        <v>0</v>
      </c>
      <c r="S51" s="47"/>
      <c r="T51" s="45">
        <v>6.0</v>
      </c>
      <c r="U51" s="46">
        <f>IF(T51&gt;T53,1,0)</f>
        <v>1</v>
      </c>
      <c r="V51" s="47"/>
      <c r="W51" s="45">
        <v>5.0</v>
      </c>
      <c r="X51" s="32">
        <f>IF(W51&gt;W53,1,0)</f>
        <v>0</v>
      </c>
      <c r="Y51" s="32">
        <f>IF(Q51="",0,1)</f>
        <v>1</v>
      </c>
      <c r="Z51" s="32">
        <f>IF(R51+U51=2,3,IF(R51+U51=1,1,0))</f>
        <v>1</v>
      </c>
      <c r="AA51" s="32">
        <f>IF(Z51=3,3,IF(X51+Z51=2,2,IF(Z51=1,1,0)))</f>
        <v>1</v>
      </c>
      <c r="AB51" s="32">
        <f>Q51+T51</f>
        <v>7</v>
      </c>
      <c r="AC51" s="32">
        <f>R51+U51+X51</f>
        <v>1</v>
      </c>
      <c r="AD51" s="32"/>
    </row>
    <row r="52" ht="15.75" customHeight="1">
      <c r="A52" s="52" t="s">
        <v>63</v>
      </c>
      <c r="H52" s="53"/>
      <c r="I52" s="54"/>
      <c r="J52" s="32"/>
      <c r="K52" s="32"/>
      <c r="L52" s="32"/>
      <c r="M52" s="32"/>
      <c r="N52" s="32"/>
      <c r="O52" s="32"/>
      <c r="P52" s="52" t="s">
        <v>63</v>
      </c>
      <c r="W52" s="53"/>
      <c r="X52" s="54"/>
      <c r="Y52" s="32"/>
      <c r="Z52" s="32"/>
      <c r="AA52" s="32"/>
      <c r="AB52" s="32"/>
      <c r="AC52" s="32"/>
      <c r="AD52" s="32"/>
    </row>
    <row r="53" ht="15.75" customHeight="1">
      <c r="A53" s="55" t="str">
        <f>AE43</f>
        <v>David Camilleri/Joseph Zammit</v>
      </c>
      <c r="B53" s="45">
        <v>2.0</v>
      </c>
      <c r="C53" s="56">
        <f>IF(B53&gt;B51,1,0)</f>
        <v>0</v>
      </c>
      <c r="D53" s="57"/>
      <c r="E53" s="45">
        <v>1.0</v>
      </c>
      <c r="F53" s="56">
        <f>IF(E53&gt;E51,1,0)</f>
        <v>0</v>
      </c>
      <c r="G53" s="57"/>
      <c r="H53" s="48"/>
      <c r="I53" s="32">
        <f>IF(H53&gt;H51,1,0)</f>
        <v>0</v>
      </c>
      <c r="J53" s="32">
        <f>IF(B53="",0,1)</f>
        <v>1</v>
      </c>
      <c r="K53" s="32">
        <f>IF(C53+F53=2,3,IF(C53+F53=1,1,0))</f>
        <v>0</v>
      </c>
      <c r="L53" s="32">
        <f>IF(K53=3,3,IF(I53+K53=2,2,IF(K53=1,1,0)))</f>
        <v>0</v>
      </c>
      <c r="M53" s="32">
        <f>B53+E53</f>
        <v>3</v>
      </c>
      <c r="N53" s="32">
        <f>C53+F53+I53</f>
        <v>0</v>
      </c>
      <c r="O53" s="32"/>
      <c r="P53" s="55" t="str">
        <f>AE45</f>
        <v>Cory Greenland/Christan Xuereb</v>
      </c>
      <c r="Q53" s="45">
        <v>6.0</v>
      </c>
      <c r="R53" s="56">
        <f>IF(Q53&gt;Q51,1,0)</f>
        <v>1</v>
      </c>
      <c r="S53" s="57"/>
      <c r="T53" s="45">
        <v>1.0</v>
      </c>
      <c r="U53" s="56">
        <f>IF(T53&gt;T51,1,0)</f>
        <v>0</v>
      </c>
      <c r="V53" s="57"/>
      <c r="W53" s="45">
        <v>10.0</v>
      </c>
      <c r="X53" s="32">
        <f>IF(W53&gt;W51,1,0)</f>
        <v>1</v>
      </c>
      <c r="Y53" s="32">
        <f>IF(Q53="",0,1)</f>
        <v>1</v>
      </c>
      <c r="Z53" s="32">
        <f>IF(R53+U53=2,3,IF(R53+U53=1,1,0))</f>
        <v>1</v>
      </c>
      <c r="AA53" s="32">
        <f>IF(Z53=3,3,IF(X53+Z53=2,2,IF(Z53=1,1,0)))</f>
        <v>2</v>
      </c>
      <c r="AB53" s="32">
        <f>Q53+T53</f>
        <v>7</v>
      </c>
      <c r="AC53" s="32">
        <f>R53+U53+X53</f>
        <v>2</v>
      </c>
      <c r="AD53" s="32"/>
      <c r="AE53" s="32"/>
      <c r="AF53" s="32"/>
      <c r="AG53" s="32"/>
      <c r="AH53" s="32"/>
      <c r="AI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</row>
    <row r="55" ht="15.75" customHeight="1">
      <c r="A55" s="44" t="str">
        <f>AE41</f>
        <v>Manuel Mifsud/Julian Esposito</v>
      </c>
      <c r="B55" s="45">
        <v>6.0</v>
      </c>
      <c r="C55" s="46">
        <f>IF(B55&gt;B57,1,0)</f>
        <v>1</v>
      </c>
      <c r="D55" s="47"/>
      <c r="E55" s="45">
        <v>6.0</v>
      </c>
      <c r="F55" s="46">
        <f>IF(E55&gt;E57,1,0)</f>
        <v>1</v>
      </c>
      <c r="G55" s="47"/>
      <c r="H55" s="48"/>
      <c r="I55" s="32">
        <f>IF(H55&gt;H57,1,0)</f>
        <v>0</v>
      </c>
      <c r="J55" s="32">
        <f>IF(B55="",0,1)</f>
        <v>1</v>
      </c>
      <c r="K55" s="32">
        <f>IF(C55+F55=2,3,IF(C55+F55=1,1,0))</f>
        <v>3</v>
      </c>
      <c r="L55" s="32">
        <f>IF(K55=3,3,IF(I55+K55=2,2,IF(K55=1,1,0)))</f>
        <v>3</v>
      </c>
      <c r="M55" s="32">
        <f>B55+E55</f>
        <v>12</v>
      </c>
      <c r="N55" s="32">
        <f>C55+F55+I55</f>
        <v>2</v>
      </c>
      <c r="O55" s="32"/>
      <c r="P55" s="32"/>
      <c r="Q55" s="39"/>
      <c r="R55" s="32"/>
      <c r="S55" s="39"/>
      <c r="T55" s="39"/>
      <c r="U55" s="32"/>
      <c r="V55" s="39"/>
      <c r="W55" s="39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</row>
    <row r="56" ht="15.75" customHeight="1">
      <c r="A56" s="52" t="s">
        <v>63</v>
      </c>
      <c r="H56" s="53"/>
      <c r="I56" s="54"/>
      <c r="J56" s="32"/>
      <c r="K56" s="32"/>
      <c r="L56" s="32"/>
      <c r="M56" s="32"/>
      <c r="N56" s="32"/>
      <c r="O56" s="32"/>
      <c r="P56" s="32"/>
      <c r="X56" s="54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</row>
    <row r="57" ht="15.75" customHeight="1">
      <c r="A57" s="55" t="str">
        <f>AE47</f>
        <v>Aaron Micallef Piccione/Clinton Cutajar</v>
      </c>
      <c r="B57" s="45">
        <v>1.0</v>
      </c>
      <c r="C57" s="56">
        <f>IF(B57&gt;B55,1,0)</f>
        <v>0</v>
      </c>
      <c r="D57" s="57"/>
      <c r="E57" s="45">
        <v>4.0</v>
      </c>
      <c r="F57" s="56">
        <f>IF(E57&gt;E55,1,0)</f>
        <v>0</v>
      </c>
      <c r="G57" s="57"/>
      <c r="H57" s="48"/>
      <c r="I57" s="32">
        <f>IF(H57&gt;H55,1,0)</f>
        <v>0</v>
      </c>
      <c r="J57" s="32">
        <f>IF(B57="",0,1)</f>
        <v>1</v>
      </c>
      <c r="K57" s="32">
        <f>IF(C57+F57=2,3,IF(C57+F57=1,1,0))</f>
        <v>0</v>
      </c>
      <c r="L57" s="32">
        <f>IF(K57=3,3,IF(I57+K57=2,2,IF(K57=1,1,0)))</f>
        <v>0</v>
      </c>
      <c r="M57" s="32">
        <f>B57+E57</f>
        <v>5</v>
      </c>
      <c r="N57" s="32">
        <f>C57+F57+I57</f>
        <v>0</v>
      </c>
      <c r="O57" s="32"/>
      <c r="P57" s="32"/>
      <c r="Q57" s="39"/>
      <c r="R57" s="32"/>
      <c r="S57" s="39"/>
      <c r="T57" s="39"/>
      <c r="U57" s="32"/>
      <c r="V57" s="39"/>
      <c r="W57" s="39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9"/>
      <c r="AI58" s="32"/>
    </row>
    <row r="59" ht="15.75" customHeight="1">
      <c r="A59" s="44" t="str">
        <f>AE45</f>
        <v>Cory Greenland/Christan Xuereb</v>
      </c>
      <c r="B59" s="45">
        <v>6.0</v>
      </c>
      <c r="C59" s="46">
        <f>IF(B59&gt;B61,1,0)</f>
        <v>1</v>
      </c>
      <c r="D59" s="47"/>
      <c r="E59" s="45">
        <v>6.0</v>
      </c>
      <c r="F59" s="46">
        <f>IF(E59&gt;E61,1,0)</f>
        <v>1</v>
      </c>
      <c r="G59" s="47"/>
      <c r="H59" s="48"/>
      <c r="I59" s="32">
        <f>IF(H59&gt;H61,1,0)</f>
        <v>0</v>
      </c>
      <c r="J59" s="32">
        <f>IF(B59="",0,1)</f>
        <v>1</v>
      </c>
      <c r="K59" s="32">
        <f>IF(C59+F59=2,3,IF(C59+F59=1,1,0))</f>
        <v>3</v>
      </c>
      <c r="L59" s="32">
        <f>IF(K59=3,3,IF(I59+K59=2,2,IF(K59=1,1,0)))</f>
        <v>3</v>
      </c>
      <c r="M59" s="32">
        <f>B59+E59</f>
        <v>12</v>
      </c>
      <c r="N59" s="32">
        <f>C59+F59+I59</f>
        <v>2</v>
      </c>
      <c r="O59" s="32"/>
      <c r="AD59" s="32"/>
      <c r="AE59" s="32"/>
      <c r="AF59" s="32"/>
      <c r="AG59" s="32"/>
      <c r="AH59" s="32"/>
      <c r="AI59" s="32"/>
    </row>
    <row r="60" ht="15.75" customHeight="1">
      <c r="A60" s="52" t="s">
        <v>63</v>
      </c>
      <c r="H60" s="53"/>
      <c r="I60" s="54"/>
      <c r="J60" s="32"/>
      <c r="K60" s="32"/>
      <c r="L60" s="32"/>
      <c r="M60" s="32"/>
      <c r="N60" s="32"/>
      <c r="O60" s="32"/>
      <c r="AD60" s="32"/>
      <c r="AE60" s="32"/>
      <c r="AF60" s="32"/>
      <c r="AG60" s="32"/>
      <c r="AH60" s="32"/>
      <c r="AI60" s="32"/>
    </row>
    <row r="61" ht="15.75" customHeight="1">
      <c r="A61" s="55" t="str">
        <f>AE47</f>
        <v>Aaron Micallef Piccione/Clinton Cutajar</v>
      </c>
      <c r="B61" s="45">
        <v>2.0</v>
      </c>
      <c r="C61" s="56">
        <f>IF(B61&gt;B59,1,0)</f>
        <v>0</v>
      </c>
      <c r="D61" s="57"/>
      <c r="E61" s="45">
        <v>2.0</v>
      </c>
      <c r="F61" s="56">
        <f>IF(E61&gt;E59,1,0)</f>
        <v>0</v>
      </c>
      <c r="G61" s="57"/>
      <c r="H61" s="48"/>
      <c r="I61" s="32">
        <f>IF(H61&gt;H59,1,0)</f>
        <v>0</v>
      </c>
      <c r="J61" s="32">
        <f>IF(B61="",0,1)</f>
        <v>1</v>
      </c>
      <c r="K61" s="32">
        <f>IF(C61+F61=2,3,IF(C61+F61=1,1,0))</f>
        <v>0</v>
      </c>
      <c r="L61" s="32">
        <f>IF(K61=3,3,IF(I61+K61=2,2,IF(K61=1,1,0)))</f>
        <v>0</v>
      </c>
      <c r="M61" s="32">
        <f>B61+E61</f>
        <v>4</v>
      </c>
      <c r="N61" s="32">
        <f>C61+F61+I61</f>
        <v>0</v>
      </c>
      <c r="O61" s="32"/>
      <c r="AD61" s="32"/>
      <c r="AE61" s="32"/>
      <c r="AF61" s="32"/>
      <c r="AG61" s="32"/>
      <c r="AH61" s="32"/>
      <c r="AI61" s="32"/>
    </row>
    <row r="62" ht="15.75" customHeight="1">
      <c r="A62" s="32"/>
      <c r="B62" s="32"/>
      <c r="C62" s="32"/>
      <c r="D62" s="32"/>
      <c r="E62" s="39"/>
      <c r="F62" s="32"/>
      <c r="G62" s="32"/>
      <c r="H62" s="39"/>
      <c r="I62" s="32"/>
      <c r="J62" s="39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9"/>
      <c r="Z62" s="32"/>
      <c r="AA62" s="32"/>
      <c r="AB62" s="32"/>
      <c r="AC62" s="32"/>
      <c r="AD62" s="32"/>
      <c r="AE62" s="32"/>
      <c r="AF62" s="32"/>
      <c r="AG62" s="32"/>
      <c r="AH62" s="32"/>
      <c r="AI62" s="32"/>
    </row>
    <row r="63" ht="15.75" customHeight="1">
      <c r="A63" s="32"/>
      <c r="B63" s="32"/>
      <c r="C63" s="32"/>
      <c r="D63" s="32"/>
      <c r="E63" s="39"/>
      <c r="F63" s="32"/>
      <c r="G63" s="32"/>
      <c r="H63" s="39"/>
      <c r="I63" s="32"/>
      <c r="J63" s="39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9"/>
      <c r="Z63" s="32"/>
      <c r="AA63" s="32"/>
      <c r="AB63" s="32"/>
      <c r="AC63" s="32"/>
      <c r="AD63" s="32"/>
      <c r="AE63" s="32"/>
      <c r="AF63" s="32"/>
      <c r="AG63" s="32"/>
      <c r="AH63" s="32"/>
      <c r="AI63" s="32"/>
    </row>
    <row r="64" ht="15.75" customHeight="1">
      <c r="O64" s="32"/>
      <c r="P64" s="32"/>
      <c r="Q64" s="39"/>
      <c r="R64" s="32"/>
      <c r="S64" s="39"/>
      <c r="T64" s="39"/>
      <c r="U64" s="32"/>
      <c r="V64" s="39"/>
      <c r="W64" s="39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</row>
    <row r="65" ht="15.75" customHeight="1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4"/>
      <c r="P65" s="85"/>
      <c r="Q65" s="30"/>
      <c r="R65" s="30"/>
      <c r="S65" s="30"/>
      <c r="T65" s="30"/>
      <c r="U65" s="30"/>
      <c r="V65" s="30"/>
      <c r="W65" s="31"/>
      <c r="X65" s="86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</row>
    <row r="66" ht="15.75" customHeight="1"/>
    <row r="67" ht="15.75" customHeight="1">
      <c r="P67" s="87" t="s">
        <v>74</v>
      </c>
      <c r="Q67" s="35"/>
      <c r="R67" s="35"/>
      <c r="S67" s="35"/>
      <c r="T67" s="35"/>
      <c r="U67" s="35"/>
      <c r="V67" s="35"/>
      <c r="W67" s="88"/>
      <c r="X67" s="32"/>
      <c r="Y67" s="32"/>
      <c r="Z67" s="32"/>
      <c r="AA67" s="32"/>
      <c r="AB67" s="32"/>
      <c r="AC67" s="32"/>
    </row>
    <row r="68" ht="15.75" customHeight="1"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</row>
    <row r="69" ht="15.75" customHeight="1">
      <c r="P69" s="89" t="s">
        <v>43</v>
      </c>
      <c r="Q69" s="87" t="s">
        <v>44</v>
      </c>
      <c r="R69" s="35"/>
      <c r="S69" s="35"/>
      <c r="T69" s="36"/>
      <c r="U69" s="90"/>
      <c r="V69" s="91"/>
      <c r="W69" s="89" t="s">
        <v>45</v>
      </c>
      <c r="X69" s="32"/>
      <c r="Y69" s="32"/>
      <c r="Z69" s="32"/>
      <c r="AA69" s="32"/>
      <c r="AB69" s="32"/>
      <c r="AC69" s="32"/>
    </row>
    <row r="70" ht="15.75" customHeight="1">
      <c r="P70" s="92" t="s">
        <v>75</v>
      </c>
      <c r="Q70" s="42" t="s">
        <v>51</v>
      </c>
      <c r="R70" s="42" t="s">
        <v>52</v>
      </c>
      <c r="S70" s="42"/>
      <c r="T70" s="42" t="s">
        <v>51</v>
      </c>
      <c r="U70" s="42" t="s">
        <v>53</v>
      </c>
      <c r="V70" s="42"/>
      <c r="W70" s="42" t="s">
        <v>51</v>
      </c>
      <c r="X70" s="42" t="s">
        <v>54</v>
      </c>
      <c r="Y70" s="42" t="s">
        <v>55</v>
      </c>
      <c r="Z70" s="42" t="s">
        <v>56</v>
      </c>
      <c r="AA70" s="42" t="s">
        <v>57</v>
      </c>
      <c r="AB70" s="42" t="s">
        <v>58</v>
      </c>
      <c r="AC70" s="42" t="s">
        <v>59</v>
      </c>
    </row>
    <row r="71" ht="15.75" customHeight="1">
      <c r="P71" s="93" t="s">
        <v>76</v>
      </c>
      <c r="Q71" s="45">
        <v>6.0</v>
      </c>
      <c r="R71" s="46">
        <f>IF(Q71&gt;Q74,1,0)</f>
        <v>1</v>
      </c>
      <c r="S71" s="47"/>
      <c r="T71" s="45">
        <v>0.0</v>
      </c>
      <c r="U71" s="46">
        <f>IF(T71&gt;T74,1,0)</f>
        <v>0</v>
      </c>
      <c r="V71" s="47"/>
      <c r="W71" s="48"/>
      <c r="X71" s="32">
        <f>IF(W71&gt;W74,1,0)</f>
        <v>0</v>
      </c>
      <c r="Y71" s="32">
        <f>IF(Q71="",0,1)</f>
        <v>1</v>
      </c>
      <c r="Z71" s="32">
        <f>IF(R71+U71=2,3,IF(R71+U71=1,1,0))</f>
        <v>1</v>
      </c>
      <c r="AA71" s="32">
        <f>IF(Z71=3,3,IF(X71+Z71=2,2,IF(Z71=1,1,0)))</f>
        <v>1</v>
      </c>
      <c r="AB71" s="32">
        <f>Q71+T71</f>
        <v>6</v>
      </c>
      <c r="AC71" s="32">
        <f>R71+U71+X71</f>
        <v>1</v>
      </c>
    </row>
    <row r="72" ht="15.75" customHeight="1">
      <c r="P72" s="52" t="s">
        <v>63</v>
      </c>
      <c r="W72" s="53"/>
      <c r="X72" s="54"/>
      <c r="Y72" s="32"/>
      <c r="Z72" s="32"/>
      <c r="AA72" s="32"/>
      <c r="AB72" s="32"/>
      <c r="AC72" s="32"/>
    </row>
    <row r="73" ht="15.75" customHeight="1">
      <c r="P73" s="94" t="s">
        <v>77</v>
      </c>
      <c r="Q73" s="95">
        <v>7.0</v>
      </c>
      <c r="R73" s="32"/>
      <c r="S73" s="39"/>
      <c r="T73" s="95">
        <v>6.0</v>
      </c>
      <c r="U73" s="32"/>
      <c r="V73" s="39"/>
      <c r="W73" s="96"/>
      <c r="X73" s="32"/>
      <c r="Y73" s="32"/>
      <c r="Z73" s="32"/>
      <c r="AA73" s="32"/>
      <c r="AB73" s="32"/>
      <c r="AC73" s="32"/>
    </row>
    <row r="74" ht="15.75" customHeight="1">
      <c r="P74" s="93" t="s">
        <v>78</v>
      </c>
      <c r="Q74" s="48"/>
      <c r="R74" s="56">
        <f>IF(Q74&gt;Q71,1,0)</f>
        <v>0</v>
      </c>
      <c r="S74" s="57"/>
      <c r="T74" s="48"/>
      <c r="U74" s="56">
        <f>IF(T74&gt;T71,1,0)</f>
        <v>0</v>
      </c>
      <c r="V74" s="57"/>
      <c r="W74" s="48"/>
      <c r="X74" s="32">
        <f>IF(W74&gt;W71,1,0)</f>
        <v>0</v>
      </c>
      <c r="Y74" s="32">
        <f>IF(Q74="",0,1)</f>
        <v>0</v>
      </c>
      <c r="Z74" s="32">
        <f>IF(R74+U74=2,3,IF(R74+U74=1,1,0))</f>
        <v>0</v>
      </c>
      <c r="AA74" s="32">
        <f>IF(Z74=3,3,IF(X74+Z74=2,2,IF(Z74=1,1,0)))</f>
        <v>0</v>
      </c>
      <c r="AB74" s="32">
        <f>Q74+T74</f>
        <v>0</v>
      </c>
      <c r="AC74" s="32">
        <f>R74+U74+X74</f>
        <v>0</v>
      </c>
    </row>
    <row r="75" ht="15.75" customHeight="1"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ht="15.75" customHeight="1">
      <c r="P76" s="87" t="s">
        <v>79</v>
      </c>
      <c r="Q76" s="35"/>
      <c r="R76" s="35"/>
      <c r="S76" s="35"/>
      <c r="T76" s="35"/>
      <c r="U76" s="35"/>
      <c r="V76" s="35"/>
      <c r="W76" s="36"/>
      <c r="X76" s="32"/>
      <c r="Y76" s="32"/>
      <c r="Z76" s="32"/>
      <c r="AA76" s="32"/>
      <c r="AB76" s="32"/>
      <c r="AC76" s="32"/>
    </row>
    <row r="77" ht="15.75" customHeight="1">
      <c r="P77" s="97" t="s">
        <v>21</v>
      </c>
      <c r="Q77" s="98"/>
      <c r="R77" s="98"/>
      <c r="S77" s="98"/>
      <c r="T77" s="98"/>
      <c r="U77" s="98"/>
      <c r="V77" s="98"/>
      <c r="W77" s="99"/>
      <c r="X77" s="32"/>
      <c r="Y77" s="32"/>
      <c r="Z77" s="32"/>
      <c r="AA77" s="32"/>
      <c r="AB77" s="32"/>
      <c r="AC77" s="32"/>
    </row>
    <row r="78" ht="15.75" customHeight="1"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</row>
    <row r="79" ht="15.75" customHeight="1"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</row>
    <row r="80" ht="15.75" customHeight="1">
      <c r="P80" s="87" t="s">
        <v>80</v>
      </c>
      <c r="Q80" s="35"/>
      <c r="R80" s="35"/>
      <c r="S80" s="35"/>
      <c r="T80" s="35"/>
      <c r="U80" s="35"/>
      <c r="V80" s="35"/>
      <c r="W80" s="36"/>
      <c r="X80" s="32"/>
      <c r="Y80" s="32"/>
      <c r="Z80" s="32"/>
      <c r="AA80" s="32"/>
      <c r="AB80" s="32"/>
      <c r="AC80" s="32"/>
    </row>
    <row r="81" ht="15.75" customHeight="1">
      <c r="P81" s="97" t="s">
        <v>20</v>
      </c>
      <c r="Q81" s="98"/>
      <c r="R81" s="98"/>
      <c r="S81" s="98"/>
      <c r="T81" s="98"/>
      <c r="U81" s="98"/>
      <c r="V81" s="98"/>
      <c r="W81" s="99"/>
      <c r="X81" s="32"/>
      <c r="Y81" s="32"/>
      <c r="Z81" s="32"/>
      <c r="AA81" s="32"/>
      <c r="AB81" s="32"/>
      <c r="AC81" s="32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44">
    <mergeCell ref="A1:AI2"/>
    <mergeCell ref="A5:AI5"/>
    <mergeCell ref="B7:E7"/>
    <mergeCell ref="Q7:T7"/>
    <mergeCell ref="A10:H10"/>
    <mergeCell ref="P10:W10"/>
    <mergeCell ref="P14:W14"/>
    <mergeCell ref="A14:H14"/>
    <mergeCell ref="A18:H18"/>
    <mergeCell ref="P18:W18"/>
    <mergeCell ref="AE19:AI19"/>
    <mergeCell ref="AE20:AI20"/>
    <mergeCell ref="P22:W22"/>
    <mergeCell ref="P26:W26"/>
    <mergeCell ref="P48:W48"/>
    <mergeCell ref="AE49:AI49"/>
    <mergeCell ref="AE50:AI50"/>
    <mergeCell ref="P52:W52"/>
    <mergeCell ref="AE25:AI25"/>
    <mergeCell ref="AE26:AI26"/>
    <mergeCell ref="P30:W30"/>
    <mergeCell ref="A35:AI35"/>
    <mergeCell ref="Q37:T37"/>
    <mergeCell ref="P40:W40"/>
    <mergeCell ref="P44:W44"/>
    <mergeCell ref="A22:H22"/>
    <mergeCell ref="A26:H26"/>
    <mergeCell ref="A30:H30"/>
    <mergeCell ref="B37:E37"/>
    <mergeCell ref="A40:H40"/>
    <mergeCell ref="A44:H44"/>
    <mergeCell ref="A48:H48"/>
    <mergeCell ref="P72:W72"/>
    <mergeCell ref="P76:W76"/>
    <mergeCell ref="P77:W77"/>
    <mergeCell ref="P80:W80"/>
    <mergeCell ref="P81:W81"/>
    <mergeCell ref="A52:H52"/>
    <mergeCell ref="A56:H56"/>
    <mergeCell ref="P56:W56"/>
    <mergeCell ref="A60:H60"/>
    <mergeCell ref="P65:W65"/>
    <mergeCell ref="P67:W67"/>
    <mergeCell ref="Q69:T69"/>
  </mergeCells>
  <printOptions/>
  <pageMargins bottom="0.75" footer="0.0" header="0.0" left="0.25" right="0.25" top="0.75"/>
  <pageSetup paperSize="9" scale="6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63"/>
    <col customWidth="1" min="2" max="2" width="7.0"/>
    <col customWidth="1" hidden="1" min="3" max="3" width="3.88"/>
    <col customWidth="1" min="4" max="4" width="1.63"/>
    <col customWidth="1" min="5" max="5" width="7.0"/>
    <col customWidth="1" hidden="1" min="6" max="6" width="3.38"/>
    <col customWidth="1" min="7" max="7" width="1.63"/>
    <col customWidth="1" min="8" max="8" width="7.0"/>
    <col customWidth="1" hidden="1" min="9" max="9" width="4.38"/>
    <col customWidth="1" hidden="1" min="10" max="11" width="3.13"/>
    <col customWidth="1" hidden="1" min="12" max="12" width="4.13"/>
    <col customWidth="1" hidden="1" min="13" max="13" width="3.63"/>
    <col customWidth="1" hidden="1" min="14" max="14" width="4.13"/>
    <col customWidth="1" min="15" max="15" width="5.63"/>
    <col customWidth="1" min="16" max="16" width="41.88"/>
    <col customWidth="1" min="17" max="17" width="7.0"/>
    <col customWidth="1" hidden="1" min="18" max="18" width="3.5"/>
    <col customWidth="1" min="19" max="19" width="1.63"/>
    <col customWidth="1" min="20" max="20" width="7.0"/>
    <col customWidth="1" hidden="1" min="21" max="21" width="3.0"/>
    <col customWidth="1" min="22" max="22" width="1.63"/>
    <col customWidth="1" min="23" max="23" width="7.0"/>
    <col customWidth="1" hidden="1" min="24" max="24" width="5.88"/>
    <col customWidth="1" hidden="1" min="25" max="25" width="4.63"/>
    <col customWidth="1" hidden="1" min="26" max="26" width="6.63"/>
    <col customWidth="1" hidden="1" min="27" max="27" width="7.13"/>
    <col customWidth="1" hidden="1" min="28" max="28" width="6.88"/>
    <col customWidth="1" hidden="1" min="29" max="29" width="4.13"/>
    <col customWidth="1" min="30" max="30" width="4.38"/>
    <col customWidth="1" min="31" max="31" width="43.63"/>
    <col customWidth="1" min="32" max="32" width="12.0"/>
    <col customWidth="1" min="33" max="35" width="8.63"/>
  </cols>
  <sheetData>
    <row r="1" ht="21.0" customHeight="1">
      <c r="A1" s="27" t="s">
        <v>41</v>
      </c>
      <c r="AJ1" s="3"/>
      <c r="AK1" s="3"/>
      <c r="AL1" s="3"/>
    </row>
    <row r="2" ht="21.0" customHeight="1">
      <c r="AJ2" s="3"/>
      <c r="AK2" s="3"/>
      <c r="AL2" s="3"/>
    </row>
    <row r="3" ht="15.0" customHeight="1">
      <c r="A3" s="28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ht="15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ht="22.5" customHeight="1">
      <c r="A5" s="100" t="s">
        <v>29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1"/>
      <c r="AJ5" s="32"/>
      <c r="AK5" s="32"/>
      <c r="AL5" s="32"/>
      <c r="AM5" s="32"/>
      <c r="AN5" s="32"/>
    </row>
    <row r="6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</row>
    <row r="7" ht="30.0" customHeight="1">
      <c r="A7" s="101" t="s">
        <v>43</v>
      </c>
      <c r="B7" s="102" t="s">
        <v>44</v>
      </c>
      <c r="C7" s="35"/>
      <c r="D7" s="35"/>
      <c r="E7" s="36"/>
      <c r="F7" s="37"/>
      <c r="G7" s="38"/>
      <c r="H7" s="101" t="s">
        <v>45</v>
      </c>
      <c r="I7" s="32"/>
      <c r="J7" s="32"/>
      <c r="K7" s="32"/>
      <c r="L7" s="32"/>
      <c r="M7" s="39"/>
      <c r="N7" s="39"/>
      <c r="O7" s="32"/>
      <c r="P7" s="101" t="s">
        <v>43</v>
      </c>
      <c r="Q7" s="102" t="s">
        <v>44</v>
      </c>
      <c r="R7" s="35"/>
      <c r="S7" s="35"/>
      <c r="T7" s="36"/>
      <c r="U7" s="37"/>
      <c r="V7" s="38"/>
      <c r="W7" s="101" t="s">
        <v>45</v>
      </c>
      <c r="X7" s="32"/>
      <c r="Y7" s="39"/>
      <c r="Z7" s="39"/>
      <c r="AA7" s="39"/>
      <c r="AB7" s="39"/>
      <c r="AC7" s="39"/>
      <c r="AD7" s="32"/>
      <c r="AE7" s="101" t="s">
        <v>46</v>
      </c>
      <c r="AF7" s="101" t="s">
        <v>47</v>
      </c>
      <c r="AG7" s="101" t="s">
        <v>48</v>
      </c>
      <c r="AH7" s="101" t="s">
        <v>49</v>
      </c>
      <c r="AI7" s="101" t="s">
        <v>50</v>
      </c>
      <c r="AJ7" s="39"/>
      <c r="AK7" s="39"/>
      <c r="AL7" s="39"/>
      <c r="AM7" s="32"/>
      <c r="AN7" s="32"/>
    </row>
    <row r="8" ht="15.0" hidden="1" customHeight="1">
      <c r="A8" s="32"/>
      <c r="B8" s="42" t="s">
        <v>51</v>
      </c>
      <c r="C8" s="42" t="s">
        <v>52</v>
      </c>
      <c r="D8" s="42"/>
      <c r="E8" s="42" t="s">
        <v>51</v>
      </c>
      <c r="F8" s="42" t="s">
        <v>53</v>
      </c>
      <c r="G8" s="42"/>
      <c r="H8" s="42" t="s">
        <v>51</v>
      </c>
      <c r="I8" s="42" t="s">
        <v>54</v>
      </c>
      <c r="J8" s="42" t="s">
        <v>55</v>
      </c>
      <c r="K8" s="42" t="s">
        <v>56</v>
      </c>
      <c r="L8" s="42" t="s">
        <v>57</v>
      </c>
      <c r="M8" s="42" t="s">
        <v>58</v>
      </c>
      <c r="N8" s="42" t="s">
        <v>59</v>
      </c>
      <c r="O8" s="32"/>
      <c r="P8" s="32"/>
      <c r="Q8" s="42" t="s">
        <v>51</v>
      </c>
      <c r="R8" s="42" t="s">
        <v>52</v>
      </c>
      <c r="S8" s="42"/>
      <c r="T8" s="42" t="s">
        <v>51</v>
      </c>
      <c r="U8" s="42" t="s">
        <v>53</v>
      </c>
      <c r="V8" s="42"/>
      <c r="W8" s="42" t="s">
        <v>51</v>
      </c>
      <c r="X8" s="42" t="s">
        <v>54</v>
      </c>
      <c r="Y8" s="42" t="s">
        <v>55</v>
      </c>
      <c r="Z8" s="42" t="s">
        <v>56</v>
      </c>
      <c r="AA8" s="42" t="s">
        <v>57</v>
      </c>
      <c r="AB8" s="42" t="s">
        <v>58</v>
      </c>
      <c r="AC8" s="42" t="s">
        <v>59</v>
      </c>
      <c r="AD8" s="32"/>
      <c r="AE8" s="39"/>
      <c r="AF8" s="39"/>
      <c r="AG8" s="39"/>
      <c r="AH8" s="39"/>
      <c r="AI8" s="39"/>
      <c r="AJ8" s="42" t="s">
        <v>60</v>
      </c>
      <c r="AK8" s="42" t="s">
        <v>68</v>
      </c>
      <c r="AL8" s="66" t="s">
        <v>61</v>
      </c>
      <c r="AM8" s="67" t="s">
        <v>62</v>
      </c>
      <c r="AN8" s="67" t="s">
        <v>69</v>
      </c>
    </row>
    <row r="9" ht="15.0" customHeight="1">
      <c r="A9" s="44" t="str">
        <f>AE9</f>
        <v>Steve Gambin/Luke Gambin</v>
      </c>
      <c r="B9" s="45">
        <v>6.0</v>
      </c>
      <c r="C9" s="46">
        <f>IF(B9&gt;B11,1,0)</f>
        <v>1</v>
      </c>
      <c r="D9" s="47"/>
      <c r="E9" s="45">
        <v>6.0</v>
      </c>
      <c r="F9" s="46">
        <f>IF(E9&gt;E11,1,0)</f>
        <v>1</v>
      </c>
      <c r="G9" s="47"/>
      <c r="H9" s="48"/>
      <c r="I9" s="32">
        <f>IF(H9&gt;H11,1,0)</f>
        <v>0</v>
      </c>
      <c r="J9" s="32">
        <f>IF(B9="",0,1)</f>
        <v>1</v>
      </c>
      <c r="K9" s="32">
        <f>IF(C9+F9=2,3,IF(C9+F9=1,1,0))</f>
        <v>3</v>
      </c>
      <c r="L9" s="32">
        <f>IF(K9=3,3,IF(I9+K9=2,2,IF(K9=1,1,0)))</f>
        <v>3</v>
      </c>
      <c r="M9" s="32">
        <f>B9+E9</f>
        <v>12</v>
      </c>
      <c r="N9" s="32">
        <f>C9+F9+I9</f>
        <v>2</v>
      </c>
      <c r="O9" s="32"/>
      <c r="P9" s="44" t="str">
        <f>AE9</f>
        <v>Steve Gambin/Luke Gambin</v>
      </c>
      <c r="Q9" s="45">
        <v>6.0</v>
      </c>
      <c r="R9" s="46">
        <f>IF(Q9&gt;Q11,1,0)</f>
        <v>1</v>
      </c>
      <c r="S9" s="47"/>
      <c r="T9" s="45">
        <v>7.0</v>
      </c>
      <c r="U9" s="46">
        <f>IF(T9&gt;T11,1,0)</f>
        <v>1</v>
      </c>
      <c r="V9" s="47"/>
      <c r="W9" s="48"/>
      <c r="X9" s="32">
        <f>IF(W9&gt;W11,1,0)</f>
        <v>0</v>
      </c>
      <c r="Y9" s="32">
        <f>IF(Q9="",0,1)</f>
        <v>1</v>
      </c>
      <c r="Z9" s="32">
        <f>IF(R9+U9=2,3,IF(R9+U9=1,1,0))</f>
        <v>3</v>
      </c>
      <c r="AA9" s="32">
        <f>IF(Z9=3,3,IF(X9+Z9=2,2,IF(Z9=1,1,0)))</f>
        <v>3</v>
      </c>
      <c r="AB9" s="32">
        <f>Q9+T9</f>
        <v>13</v>
      </c>
      <c r="AC9" s="32">
        <f>R9+U9+X9</f>
        <v>2</v>
      </c>
      <c r="AD9" s="32"/>
      <c r="AE9" s="103" t="str">
        <f>'Players Men'!B29</f>
        <v>Steve Gambin/Luke Gambin</v>
      </c>
      <c r="AF9" s="50">
        <f>J9+Y9+J13+Y13</f>
        <v>4</v>
      </c>
      <c r="AG9" s="50">
        <f t="shared" ref="AG9:AI9" si="1">L9+AA9+L13+AA13</f>
        <v>11</v>
      </c>
      <c r="AH9" s="50">
        <f t="shared" si="1"/>
        <v>49</v>
      </c>
      <c r="AI9" s="51">
        <f t="shared" si="1"/>
        <v>8</v>
      </c>
      <c r="AJ9" s="32"/>
      <c r="AK9" s="32"/>
      <c r="AL9" s="32"/>
      <c r="AM9" s="32"/>
      <c r="AN9" s="32"/>
    </row>
    <row r="10">
      <c r="A10" s="52" t="s">
        <v>63</v>
      </c>
      <c r="H10" s="53"/>
      <c r="I10" s="54"/>
      <c r="J10" s="32"/>
      <c r="K10" s="32"/>
      <c r="L10" s="32"/>
      <c r="M10" s="32"/>
      <c r="N10" s="32"/>
      <c r="O10" s="32"/>
      <c r="P10" s="52" t="s">
        <v>63</v>
      </c>
      <c r="W10" s="53"/>
      <c r="X10" s="54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9"/>
      <c r="AL10" s="39"/>
      <c r="AM10" s="32"/>
      <c r="AN10" s="32"/>
    </row>
    <row r="11" ht="15.0" customHeight="1">
      <c r="A11" s="55" t="str">
        <f>AE11</f>
        <v>JP Sciberras/Justin Scicluna</v>
      </c>
      <c r="B11" s="45">
        <v>3.0</v>
      </c>
      <c r="C11" s="56">
        <f>IF(B11&gt;B9,1,0)</f>
        <v>0</v>
      </c>
      <c r="D11" s="57"/>
      <c r="E11" s="45">
        <v>2.0</v>
      </c>
      <c r="F11" s="56">
        <f>IF(E11&gt;E9,1,0)</f>
        <v>0</v>
      </c>
      <c r="G11" s="57"/>
      <c r="H11" s="48"/>
      <c r="I11" s="32">
        <f>IF(H11&gt;H9,1,0)</f>
        <v>0</v>
      </c>
      <c r="J11" s="32">
        <f>IF(B11="",0,1)</f>
        <v>1</v>
      </c>
      <c r="K11" s="32">
        <f>IF(C11+F11=2,3,IF(C11+F11=1,1,0))</f>
        <v>0</v>
      </c>
      <c r="L11" s="32">
        <f>IF(K11=3,3,IF(I11+K11=2,2,IF(K11=1,1,0)))</f>
        <v>0</v>
      </c>
      <c r="M11" s="32">
        <f>B11+E11</f>
        <v>5</v>
      </c>
      <c r="N11" s="32">
        <f>C11+F11+I11</f>
        <v>0</v>
      </c>
      <c r="O11" s="32"/>
      <c r="P11" s="55" t="str">
        <f>AE13</f>
        <v>Kevin Sciberras/Liam Vella</v>
      </c>
      <c r="Q11" s="45">
        <v>2.0</v>
      </c>
      <c r="R11" s="56">
        <f>IF(Q11&gt;Q9,1,0)</f>
        <v>0</v>
      </c>
      <c r="S11" s="57"/>
      <c r="T11" s="45">
        <v>5.0</v>
      </c>
      <c r="U11" s="56">
        <f>IF(T11&gt;T9,1,0)</f>
        <v>0</v>
      </c>
      <c r="V11" s="57"/>
      <c r="W11" s="48"/>
      <c r="X11" s="32">
        <f>IF(W11&gt;W9,1,0)</f>
        <v>0</v>
      </c>
      <c r="Y11" s="32">
        <f>IF(Q11="",0,1)</f>
        <v>1</v>
      </c>
      <c r="Z11" s="32">
        <f>IF(R11+U11=2,3,IF(R11+U11=1,1,0))</f>
        <v>0</v>
      </c>
      <c r="AA11" s="32">
        <f>IF(Z11=3,3,IF(X11+Z11=2,2,IF(Z11=1,1,0)))</f>
        <v>0</v>
      </c>
      <c r="AB11" s="32">
        <f>Q11+T11</f>
        <v>7</v>
      </c>
      <c r="AC11" s="32">
        <f>R11+U11+X11</f>
        <v>0</v>
      </c>
      <c r="AD11" s="32"/>
      <c r="AE11" s="103" t="str">
        <f>'Players Men'!B30</f>
        <v>JP Sciberras/Justin Scicluna</v>
      </c>
      <c r="AF11" s="50">
        <f>J11+J25+Y21+J21</f>
        <v>4</v>
      </c>
      <c r="AG11" s="50">
        <f t="shared" ref="AG11:AI11" si="2">L11+L25+AA21+L21</f>
        <v>4</v>
      </c>
      <c r="AH11" s="50">
        <f t="shared" si="2"/>
        <v>33</v>
      </c>
      <c r="AI11" s="51">
        <f t="shared" si="2"/>
        <v>4</v>
      </c>
      <c r="AJ11" s="39"/>
      <c r="AK11" s="39"/>
      <c r="AL11" s="39"/>
      <c r="AM11" s="32"/>
      <c r="AN11" s="32"/>
    </row>
    <row r="12" ht="15.0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9"/>
      <c r="AG12" s="39"/>
      <c r="AH12" s="39"/>
      <c r="AI12" s="39"/>
      <c r="AJ12" s="39"/>
      <c r="AK12" s="39"/>
      <c r="AL12" s="39"/>
      <c r="AM12" s="32"/>
      <c r="AN12" s="32"/>
    </row>
    <row r="13" ht="15.0" customHeight="1">
      <c r="A13" s="44" t="str">
        <f>AE9</f>
        <v>Steve Gambin/Luke Gambin</v>
      </c>
      <c r="B13" s="45">
        <v>7.0</v>
      </c>
      <c r="C13" s="46">
        <f>IF(B13&gt;B15,1,0)</f>
        <v>1</v>
      </c>
      <c r="D13" s="47"/>
      <c r="E13" s="45">
        <v>6.0</v>
      </c>
      <c r="F13" s="46">
        <f>IF(E13&gt;E15,1,0)</f>
        <v>1</v>
      </c>
      <c r="G13" s="47"/>
      <c r="H13" s="48"/>
      <c r="I13" s="32">
        <f>IF(H13&gt;H15,1,0)</f>
        <v>0</v>
      </c>
      <c r="J13" s="32">
        <f>IF(B13="",0,1)</f>
        <v>1</v>
      </c>
      <c r="K13" s="32">
        <f>IF(C13+F13=2,3,IF(C13+F13=1,1,0))</f>
        <v>3</v>
      </c>
      <c r="L13" s="32">
        <f>IF(K13=3,3,IF(I13+K13=2,2,IF(K13=1,1,0)))</f>
        <v>3</v>
      </c>
      <c r="M13" s="32">
        <f>B13+E13</f>
        <v>13</v>
      </c>
      <c r="N13" s="32">
        <f>C13+F13+I13</f>
        <v>2</v>
      </c>
      <c r="O13" s="32"/>
      <c r="P13" s="44" t="str">
        <f>AE9</f>
        <v>Steve Gambin/Luke Gambin</v>
      </c>
      <c r="Q13" s="45">
        <v>4.0</v>
      </c>
      <c r="R13" s="46">
        <f>IF(Q13&gt;Q15,1,0)</f>
        <v>0</v>
      </c>
      <c r="S13" s="47"/>
      <c r="T13" s="45">
        <v>7.0</v>
      </c>
      <c r="U13" s="46">
        <f>IF(T13&gt;T15,1,0)</f>
        <v>1</v>
      </c>
      <c r="V13" s="47"/>
      <c r="W13" s="45">
        <v>12.0</v>
      </c>
      <c r="X13" s="32">
        <f>IF(W13&gt;W15,1,0)</f>
        <v>1</v>
      </c>
      <c r="Y13" s="32">
        <f>IF(Q13="",0,1)</f>
        <v>1</v>
      </c>
      <c r="Z13" s="32">
        <f>IF(R13+U13=2,3,IF(R13+U13=1,1,0))</f>
        <v>1</v>
      </c>
      <c r="AA13" s="32">
        <f>IF(Z13=3,3,IF(X13+Z13=2,2,IF(Z13=1,1,0)))</f>
        <v>2</v>
      </c>
      <c r="AB13" s="32">
        <f>Q13+T13</f>
        <v>11</v>
      </c>
      <c r="AC13" s="32">
        <f>R13+U13+X13</f>
        <v>2</v>
      </c>
      <c r="AD13" s="32"/>
      <c r="AE13" s="103" t="str">
        <f>'Players Men'!B31</f>
        <v>Kevin Sciberras/Liam Vella</v>
      </c>
      <c r="AF13" s="50">
        <f>Y17+Y11+J17+J23</f>
        <v>4</v>
      </c>
      <c r="AG13" s="50">
        <f t="shared" ref="AG13:AI13" si="3">AA17+AA11+L17+L23</f>
        <v>5</v>
      </c>
      <c r="AH13" s="50">
        <f t="shared" si="3"/>
        <v>40</v>
      </c>
      <c r="AI13" s="51">
        <f t="shared" si="3"/>
        <v>4</v>
      </c>
      <c r="AJ13" s="39"/>
      <c r="AK13" s="39"/>
      <c r="AL13" s="39"/>
      <c r="AM13" s="32"/>
      <c r="AN13" s="32"/>
    </row>
    <row r="14" ht="15.0" customHeight="1">
      <c r="A14" s="52" t="s">
        <v>63</v>
      </c>
      <c r="H14" s="53"/>
      <c r="I14" s="54"/>
      <c r="J14" s="32"/>
      <c r="K14" s="32"/>
      <c r="L14" s="32"/>
      <c r="M14" s="32"/>
      <c r="N14" s="32"/>
      <c r="O14" s="32"/>
      <c r="P14" s="52" t="s">
        <v>63</v>
      </c>
      <c r="W14" s="53"/>
      <c r="X14" s="54"/>
      <c r="Y14" s="32"/>
      <c r="Z14" s="32"/>
      <c r="AA14" s="32"/>
      <c r="AB14" s="32"/>
      <c r="AC14" s="32"/>
      <c r="AD14" s="32"/>
      <c r="AE14" s="32"/>
      <c r="AF14" s="39"/>
      <c r="AG14" s="39"/>
      <c r="AH14" s="39"/>
      <c r="AI14" s="39"/>
      <c r="AJ14" s="39"/>
      <c r="AK14" s="39"/>
      <c r="AL14" s="39"/>
      <c r="AM14" s="32"/>
      <c r="AN14" s="32"/>
    </row>
    <row r="15">
      <c r="A15" s="55" t="str">
        <f>AE15</f>
        <v>Conrad Treeby Ward/Mark Treeby Ward</v>
      </c>
      <c r="B15" s="45">
        <v>5.0</v>
      </c>
      <c r="C15" s="56">
        <f>IF(B15&gt;B13,1,0)</f>
        <v>0</v>
      </c>
      <c r="D15" s="57"/>
      <c r="E15" s="45">
        <v>1.0</v>
      </c>
      <c r="F15" s="56">
        <f>IF(E15&gt;E13,1,0)</f>
        <v>0</v>
      </c>
      <c r="G15" s="57"/>
      <c r="H15" s="48"/>
      <c r="I15" s="32">
        <f>IF(H15&gt;H13,1,0)</f>
        <v>0</v>
      </c>
      <c r="J15" s="32">
        <f>IF(B15="",0,1)</f>
        <v>1</v>
      </c>
      <c r="K15" s="32">
        <f>IF(C15+F15=2,3,IF(C15+F15=1,1,0))</f>
        <v>0</v>
      </c>
      <c r="L15" s="32">
        <f>IF(K15=3,3,IF(I15+K15=2,2,IF(K15=1,1,0)))</f>
        <v>0</v>
      </c>
      <c r="M15" s="32">
        <f>B15+E15</f>
        <v>6</v>
      </c>
      <c r="N15" s="32">
        <f>C15+F15+I15</f>
        <v>0</v>
      </c>
      <c r="O15" s="32"/>
      <c r="P15" s="55" t="str">
        <f>AE17</f>
        <v>Adam Green/Franco Montesin</v>
      </c>
      <c r="Q15" s="45">
        <v>6.0</v>
      </c>
      <c r="R15" s="56">
        <f>IF(Q15&gt;Q13,1,0)</f>
        <v>1</v>
      </c>
      <c r="S15" s="57"/>
      <c r="T15" s="45">
        <v>6.0</v>
      </c>
      <c r="U15" s="56">
        <f>IF(T15&gt;T13,1,0)</f>
        <v>0</v>
      </c>
      <c r="V15" s="57"/>
      <c r="W15" s="45">
        <v>10.0</v>
      </c>
      <c r="X15" s="32">
        <f>IF(W15&gt;W13,1,0)</f>
        <v>0</v>
      </c>
      <c r="Y15" s="32">
        <f>IF(Q15="",0,1)</f>
        <v>1</v>
      </c>
      <c r="Z15" s="32">
        <f>IF(R15+U15=2,3,IF(R15+U15=1,1,0))</f>
        <v>1</v>
      </c>
      <c r="AA15" s="32">
        <f>IF(Z15=3,3,IF(X15+Z15=2,2,IF(Z15=1,1,0)))</f>
        <v>1</v>
      </c>
      <c r="AB15" s="32">
        <f>Q15+T15</f>
        <v>12</v>
      </c>
      <c r="AC15" s="32">
        <f>R15+U15+X15</f>
        <v>1</v>
      </c>
      <c r="AD15" s="32"/>
      <c r="AE15" s="103" t="str">
        <f>'Players Men'!B32</f>
        <v>Conrad Treeby Ward/Mark Treeby Ward</v>
      </c>
      <c r="AF15" s="50">
        <f>Y19+J29+J15+Y23</f>
        <v>4</v>
      </c>
      <c r="AG15" s="50">
        <f t="shared" ref="AG15:AI15" si="4">AA19+L29+L15+AA23</f>
        <v>2</v>
      </c>
      <c r="AH15" s="50">
        <f t="shared" si="4"/>
        <v>33</v>
      </c>
      <c r="AI15" s="51">
        <f t="shared" si="4"/>
        <v>2</v>
      </c>
      <c r="AJ15" s="39"/>
      <c r="AK15" s="39"/>
      <c r="AL15" s="39"/>
      <c r="AM15" s="32"/>
      <c r="AN15" s="32"/>
    </row>
    <row r="16" ht="15.0" customHeight="1">
      <c r="AF16" s="39"/>
      <c r="AG16" s="39"/>
      <c r="AH16" s="39"/>
      <c r="AI16" s="39"/>
    </row>
    <row r="17" ht="15.0" customHeight="1">
      <c r="A17" s="44" t="str">
        <f>AE13</f>
        <v>Kevin Sciberras/Liam Vella</v>
      </c>
      <c r="B17" s="45">
        <v>4.0</v>
      </c>
      <c r="C17" s="46">
        <f>IF(B17&gt;B19,1,0)</f>
        <v>0</v>
      </c>
      <c r="D17" s="47"/>
      <c r="E17" s="45">
        <v>6.0</v>
      </c>
      <c r="F17" s="46">
        <f>IF(E17&gt;E19,1,0)</f>
        <v>0</v>
      </c>
      <c r="G17" s="47"/>
      <c r="H17" s="48"/>
      <c r="I17" s="32">
        <f>IF(H17&gt;H19,1,0)</f>
        <v>0</v>
      </c>
      <c r="J17" s="32">
        <f>IF(B17="",0,1)</f>
        <v>1</v>
      </c>
      <c r="K17" s="32">
        <f>IF(C17+F17=2,3,IF(C17+F17=1,1,0))</f>
        <v>0</v>
      </c>
      <c r="L17" s="32">
        <f>IF(K17=3,3,IF(I17+K17=2,2,IF(K17=1,1,0)))</f>
        <v>0</v>
      </c>
      <c r="M17" s="32">
        <f>B17+E17</f>
        <v>10</v>
      </c>
      <c r="N17" s="32">
        <f>C17+F17+I17</f>
        <v>0</v>
      </c>
      <c r="O17" s="32"/>
      <c r="P17" s="44" t="str">
        <f>AE13</f>
        <v>Kevin Sciberras/Liam Vella</v>
      </c>
      <c r="Q17" s="45">
        <v>6.0</v>
      </c>
      <c r="R17" s="46">
        <f>IF(Q17&gt;Q19,1,0)</f>
        <v>1</v>
      </c>
      <c r="S17" s="47"/>
      <c r="T17" s="45">
        <v>5.0</v>
      </c>
      <c r="U17" s="46">
        <f>IF(T17&gt;T19,1,0)</f>
        <v>0</v>
      </c>
      <c r="V17" s="47"/>
      <c r="W17" s="45">
        <v>10.0</v>
      </c>
      <c r="X17" s="32">
        <f>IF(W17&gt;W19,1,0)</f>
        <v>1</v>
      </c>
      <c r="Y17" s="32">
        <f>IF(Q17="",0,1)</f>
        <v>1</v>
      </c>
      <c r="Z17" s="32">
        <f>IF(R17+U17=2,3,IF(R17+U17=1,1,0))</f>
        <v>1</v>
      </c>
      <c r="AA17" s="32">
        <f>IF(Z17=3,3,IF(X17+Z17=2,2,IF(Z17=1,1,0)))</f>
        <v>2</v>
      </c>
      <c r="AB17" s="32">
        <f>Q17+T17</f>
        <v>11</v>
      </c>
      <c r="AC17" s="32">
        <f>R17+U17+X17</f>
        <v>2</v>
      </c>
      <c r="AD17" s="32"/>
      <c r="AE17" s="103" t="str">
        <f>'Players Men'!B33</f>
        <v>Adam Green/Franco Montesin</v>
      </c>
      <c r="AF17" s="50">
        <f>J31+J27+Y15+J19</f>
        <v>4</v>
      </c>
      <c r="AG17" s="50">
        <f t="shared" ref="AG17:AI17" si="5">L31+L27+AA15+L19</f>
        <v>8</v>
      </c>
      <c r="AH17" s="50">
        <f t="shared" si="5"/>
        <v>47</v>
      </c>
      <c r="AI17" s="51">
        <f t="shared" si="5"/>
        <v>6</v>
      </c>
    </row>
    <row r="18" ht="15.0" customHeight="1">
      <c r="A18" s="52" t="s">
        <v>63</v>
      </c>
      <c r="H18" s="53"/>
      <c r="I18" s="54"/>
      <c r="J18" s="32"/>
      <c r="K18" s="32"/>
      <c r="L18" s="32"/>
      <c r="M18" s="32"/>
      <c r="N18" s="32"/>
      <c r="O18" s="32"/>
      <c r="P18" s="52" t="s">
        <v>63</v>
      </c>
      <c r="W18" s="53"/>
      <c r="X18" s="54"/>
      <c r="Y18" s="32"/>
      <c r="Z18" s="32"/>
      <c r="AA18" s="32"/>
      <c r="AB18" s="32"/>
      <c r="AC18" s="32"/>
      <c r="AD18" s="32"/>
      <c r="AE18" s="32"/>
      <c r="AF18" s="39"/>
      <c r="AG18" s="39"/>
      <c r="AH18" s="39"/>
      <c r="AI18" s="39"/>
    </row>
    <row r="19" ht="15.0" customHeight="1">
      <c r="A19" s="55" t="str">
        <f>AE17</f>
        <v>Adam Green/Franco Montesin</v>
      </c>
      <c r="B19" s="45">
        <v>6.0</v>
      </c>
      <c r="C19" s="56">
        <f>IF(B19&gt;B17,1,0)</f>
        <v>1</v>
      </c>
      <c r="D19" s="57"/>
      <c r="E19" s="45">
        <v>7.0</v>
      </c>
      <c r="F19" s="56">
        <f>IF(E19&gt;E17,1,0)</f>
        <v>1</v>
      </c>
      <c r="G19" s="57"/>
      <c r="H19" s="48"/>
      <c r="I19" s="32">
        <f>IF(H19&gt;H17,1,0)</f>
        <v>0</v>
      </c>
      <c r="J19" s="32">
        <f>IF(B19="",0,1)</f>
        <v>1</v>
      </c>
      <c r="K19" s="32">
        <f>IF(C19+F19=2,3,IF(C19+F19=1,1,0))</f>
        <v>3</v>
      </c>
      <c r="L19" s="32">
        <f>IF(K19=3,3,IF(I19+K19=2,2,IF(K19=1,1,0)))</f>
        <v>3</v>
      </c>
      <c r="M19" s="32">
        <f>B19+E19</f>
        <v>13</v>
      </c>
      <c r="N19" s="32">
        <f>C19+F19+I19</f>
        <v>2</v>
      </c>
      <c r="O19" s="32"/>
      <c r="P19" s="55" t="str">
        <f>AE15</f>
        <v>Conrad Treeby Ward/Mark Treeby Ward</v>
      </c>
      <c r="Q19" s="45">
        <v>4.0</v>
      </c>
      <c r="R19" s="56">
        <f>IF(Q19&gt;Q17,1,0)</f>
        <v>0</v>
      </c>
      <c r="S19" s="57"/>
      <c r="T19" s="45">
        <v>7.0</v>
      </c>
      <c r="U19" s="56">
        <f>IF(T19&gt;T17,1,0)</f>
        <v>1</v>
      </c>
      <c r="V19" s="57"/>
      <c r="W19" s="48"/>
      <c r="X19" s="32">
        <f>IF(W19&gt;W17,1,0)</f>
        <v>0</v>
      </c>
      <c r="Y19" s="32">
        <f>IF(Q19="",0,1)</f>
        <v>1</v>
      </c>
      <c r="Z19" s="32">
        <f>IF(R19+U19=2,3,IF(R19+U19=1,1,0))</f>
        <v>1</v>
      </c>
      <c r="AA19" s="32">
        <f>IF(Z19=3,3,IF(X19+Z19=2,2,IF(Z19=1,1,0)))</f>
        <v>1</v>
      </c>
      <c r="AB19" s="32">
        <f>Q19+T19</f>
        <v>11</v>
      </c>
      <c r="AC19" s="32">
        <f>R19+U19+X19</f>
        <v>1</v>
      </c>
      <c r="AD19" s="32"/>
      <c r="AE19" s="102" t="s">
        <v>70</v>
      </c>
      <c r="AF19" s="35"/>
      <c r="AG19" s="35"/>
      <c r="AH19" s="35"/>
      <c r="AI19" s="36"/>
    </row>
    <row r="20" ht="15.0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60" t="s">
        <v>31</v>
      </c>
      <c r="AF20" s="35"/>
      <c r="AG20" s="35"/>
      <c r="AH20" s="35"/>
      <c r="AI20" s="36"/>
    </row>
    <row r="21" ht="15.0" customHeight="1">
      <c r="A21" s="44" t="str">
        <f>AE11</f>
        <v>JP Sciberras/Justin Scicluna</v>
      </c>
      <c r="B21" s="45">
        <v>3.0</v>
      </c>
      <c r="C21" s="46">
        <f>IF(B21&gt;B23,1,0)</f>
        <v>0</v>
      </c>
      <c r="D21" s="47"/>
      <c r="E21" s="45">
        <v>3.0</v>
      </c>
      <c r="F21" s="46">
        <f>IF(E21&gt;E23,1,0)</f>
        <v>0</v>
      </c>
      <c r="G21" s="47"/>
      <c r="H21" s="48"/>
      <c r="I21" s="32">
        <f>IF(H21&gt;H23,1,0)</f>
        <v>0</v>
      </c>
      <c r="J21" s="32">
        <f>IF(B21="",0,1)</f>
        <v>1</v>
      </c>
      <c r="K21" s="32">
        <f>IF(C21+F21=2,3,IF(C21+F21=1,1,0))</f>
        <v>0</v>
      </c>
      <c r="L21" s="32">
        <f>IF(K21=3,3,IF(I21+K21=2,2,IF(K21=1,1,0)))</f>
        <v>0</v>
      </c>
      <c r="M21" s="32">
        <f>B21+E21</f>
        <v>6</v>
      </c>
      <c r="N21" s="32">
        <f>C21+F21+I21</f>
        <v>0</v>
      </c>
      <c r="O21" s="32"/>
      <c r="P21" s="44" t="str">
        <f>AE11</f>
        <v>JP Sciberras/Justin Scicluna</v>
      </c>
      <c r="Q21" s="45">
        <v>6.0</v>
      </c>
      <c r="R21" s="46">
        <f>IF(Q21&gt;Q23,1,0)</f>
        <v>1</v>
      </c>
      <c r="S21" s="47"/>
      <c r="T21" s="45">
        <v>4.0</v>
      </c>
      <c r="U21" s="46">
        <f>IF(T21&gt;T23,1,0)</f>
        <v>0</v>
      </c>
      <c r="V21" s="47"/>
      <c r="W21" s="45">
        <v>10.0</v>
      </c>
      <c r="X21" s="32">
        <f>IF(W21&gt;W23,1,0)</f>
        <v>1</v>
      </c>
      <c r="Y21" s="32">
        <f>IF(Q21="",0,1)</f>
        <v>1</v>
      </c>
      <c r="Z21" s="32">
        <f>IF(R21+U21=2,3,IF(R21+U21=1,1,0))</f>
        <v>1</v>
      </c>
      <c r="AA21" s="32">
        <f>IF(Z21=3,3,IF(X21+Z21=2,2,IF(Z21=1,1,0)))</f>
        <v>2</v>
      </c>
      <c r="AB21" s="32">
        <f>Q21+T21</f>
        <v>10</v>
      </c>
      <c r="AC21" s="32">
        <f>R21+U21+X21</f>
        <v>2</v>
      </c>
      <c r="AD21" s="32"/>
    </row>
    <row r="22" ht="15.0" customHeight="1">
      <c r="A22" s="52" t="s">
        <v>63</v>
      </c>
      <c r="H22" s="53"/>
      <c r="I22" s="54"/>
      <c r="J22" s="32"/>
      <c r="K22" s="32"/>
      <c r="L22" s="32"/>
      <c r="M22" s="32"/>
      <c r="N22" s="32"/>
      <c r="O22" s="32"/>
      <c r="P22" s="52" t="s">
        <v>63</v>
      </c>
      <c r="W22" s="53"/>
      <c r="X22" s="54"/>
      <c r="Y22" s="32"/>
      <c r="Z22" s="32"/>
      <c r="AA22" s="32"/>
      <c r="AB22" s="32"/>
      <c r="AC22" s="32"/>
      <c r="AD22" s="32"/>
    </row>
    <row r="23">
      <c r="A23" s="55" t="str">
        <f>AE13</f>
        <v>Kevin Sciberras/Liam Vella</v>
      </c>
      <c r="B23" s="45">
        <v>6.0</v>
      </c>
      <c r="C23" s="56">
        <f>IF(B23&gt;B21,1,0)</f>
        <v>1</v>
      </c>
      <c r="D23" s="57"/>
      <c r="E23" s="45">
        <v>6.0</v>
      </c>
      <c r="F23" s="56">
        <f>IF(E23&gt;E21,1,0)</f>
        <v>1</v>
      </c>
      <c r="G23" s="57"/>
      <c r="H23" s="48"/>
      <c r="I23" s="32">
        <f>IF(H23&gt;H21,1,0)</f>
        <v>0</v>
      </c>
      <c r="J23" s="32">
        <f>IF(B23="",0,1)</f>
        <v>1</v>
      </c>
      <c r="K23" s="32">
        <f>IF(C23+F23=2,3,IF(C23+F23=1,1,0))</f>
        <v>3</v>
      </c>
      <c r="L23" s="32">
        <f>IF(K23=3,3,IF(I23+K23=2,2,IF(K23=1,1,0)))</f>
        <v>3</v>
      </c>
      <c r="M23" s="32">
        <f>B23+E23</f>
        <v>12</v>
      </c>
      <c r="N23" s="32">
        <f>C23+F23+I23</f>
        <v>2</v>
      </c>
      <c r="O23" s="32"/>
      <c r="P23" s="55" t="str">
        <f>AE15</f>
        <v>Conrad Treeby Ward/Mark Treeby Ward</v>
      </c>
      <c r="Q23" s="45">
        <v>2.0</v>
      </c>
      <c r="R23" s="56">
        <f>IF(Q23&gt;Q21,1,0)</f>
        <v>0</v>
      </c>
      <c r="S23" s="57"/>
      <c r="T23" s="45">
        <v>6.0</v>
      </c>
      <c r="U23" s="56">
        <f>IF(T23&gt;T21,1,0)</f>
        <v>1</v>
      </c>
      <c r="V23" s="57"/>
      <c r="W23" s="45">
        <v>4.0</v>
      </c>
      <c r="X23" s="32">
        <f>IF(W23&gt;W21,1,0)</f>
        <v>0</v>
      </c>
      <c r="Y23" s="32">
        <f>IF(Q23="",0,1)</f>
        <v>1</v>
      </c>
      <c r="Z23" s="32">
        <f>IF(R23+U23=2,3,IF(R23+U23=1,1,0))</f>
        <v>1</v>
      </c>
      <c r="AA23" s="32">
        <f>IF(Z23=3,3,IF(X23+Z23=2,2,IF(Z23=1,1,0)))</f>
        <v>1</v>
      </c>
      <c r="AB23" s="32">
        <f>Q23+T23</f>
        <v>8</v>
      </c>
      <c r="AC23" s="32">
        <f>R23+U23+X23</f>
        <v>1</v>
      </c>
      <c r="AD23" s="32"/>
      <c r="AE23" s="32"/>
      <c r="AF23" s="32"/>
      <c r="AG23" s="32"/>
      <c r="AH23" s="32"/>
      <c r="AI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</row>
    <row r="25" ht="15.0" customHeight="1">
      <c r="A25" s="44" t="str">
        <f>AE11</f>
        <v>JP Sciberras/Justin Scicluna</v>
      </c>
      <c r="B25" s="45">
        <v>6.0</v>
      </c>
      <c r="C25" s="46">
        <f>IF(B25&gt;B27,1,0)</f>
        <v>0</v>
      </c>
      <c r="D25" s="47"/>
      <c r="E25" s="45">
        <v>6.0</v>
      </c>
      <c r="F25" s="46">
        <f>IF(E25&gt;E27,1,0)</f>
        <v>1</v>
      </c>
      <c r="G25" s="47"/>
      <c r="H25" s="45">
        <v>10.0</v>
      </c>
      <c r="I25" s="32">
        <f>IF(H25&gt;H27,1,0)</f>
        <v>1</v>
      </c>
      <c r="J25" s="32">
        <f>IF(B25="",0,1)</f>
        <v>1</v>
      </c>
      <c r="K25" s="32">
        <f>IF(C25+F25=2,3,IF(C25+F25=1,1,0))</f>
        <v>1</v>
      </c>
      <c r="L25" s="32">
        <f>IF(K25=3,3,IF(I25+K25=2,2,IF(K25=1,1,0)))</f>
        <v>2</v>
      </c>
      <c r="M25" s="32">
        <f>B25+E25</f>
        <v>12</v>
      </c>
      <c r="N25" s="32">
        <f>C25+F25+I25</f>
        <v>2</v>
      </c>
      <c r="O25" s="32"/>
      <c r="P25" s="32"/>
      <c r="Q25" s="39"/>
      <c r="R25" s="32"/>
      <c r="S25" s="39"/>
      <c r="T25" s="39"/>
      <c r="U25" s="32"/>
      <c r="V25" s="39"/>
      <c r="W25" s="39"/>
      <c r="X25" s="32"/>
      <c r="Y25" s="32"/>
      <c r="Z25" s="32"/>
      <c r="AA25" s="32"/>
      <c r="AB25" s="32"/>
      <c r="AC25" s="32"/>
      <c r="AD25" s="32"/>
      <c r="AE25" s="77"/>
    </row>
    <row r="26" ht="15.0" customHeight="1">
      <c r="A26" s="52" t="s">
        <v>63</v>
      </c>
      <c r="H26" s="53"/>
      <c r="I26" s="54"/>
      <c r="J26" s="32"/>
      <c r="K26" s="32"/>
      <c r="L26" s="32"/>
      <c r="M26" s="32"/>
      <c r="N26" s="32"/>
      <c r="O26" s="32"/>
      <c r="P26" s="32"/>
      <c r="X26" s="54"/>
      <c r="Y26" s="32"/>
      <c r="Z26" s="32"/>
      <c r="AA26" s="32"/>
      <c r="AB26" s="32"/>
      <c r="AC26" s="32"/>
      <c r="AD26" s="32"/>
      <c r="AE26" s="77"/>
    </row>
    <row r="27" ht="15.0" customHeight="1">
      <c r="A27" s="55" t="str">
        <f>A31</f>
        <v>Adam Green/Franco Montesin</v>
      </c>
      <c r="B27" s="45">
        <v>7.0</v>
      </c>
      <c r="C27" s="56">
        <f>IF(B27&gt;B25,1,0)</f>
        <v>1</v>
      </c>
      <c r="D27" s="57"/>
      <c r="E27" s="45">
        <v>2.0</v>
      </c>
      <c r="F27" s="56">
        <f>IF(E27&gt;E25,1,0)</f>
        <v>0</v>
      </c>
      <c r="G27" s="57"/>
      <c r="H27" s="45">
        <v>6.0</v>
      </c>
      <c r="I27" s="32">
        <f>IF(H27&gt;H25,1,0)</f>
        <v>0</v>
      </c>
      <c r="J27" s="32">
        <f>IF(B27="",0,1)</f>
        <v>1</v>
      </c>
      <c r="K27" s="32">
        <f>IF(C27+F27=2,3,IF(C27+F27=1,1,0))</f>
        <v>1</v>
      </c>
      <c r="L27" s="32">
        <f>IF(K27=3,3,IF(I27+K27=2,2,IF(K27=1,1,0)))</f>
        <v>1</v>
      </c>
      <c r="M27" s="32">
        <f>B27+E27</f>
        <v>9</v>
      </c>
      <c r="N27" s="32">
        <f>C27+F27+I27</f>
        <v>1</v>
      </c>
      <c r="O27" s="32"/>
      <c r="P27" s="32"/>
      <c r="Q27" s="39"/>
      <c r="R27" s="32"/>
      <c r="S27" s="39"/>
      <c r="T27" s="39"/>
      <c r="U27" s="32"/>
      <c r="V27" s="39"/>
      <c r="W27" s="39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</row>
    <row r="28" ht="15.0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9"/>
      <c r="AI28" s="32"/>
    </row>
    <row r="29" ht="15.0" customHeight="1">
      <c r="A29" s="44" t="str">
        <f>AE15</f>
        <v>Conrad Treeby Ward/Mark Treeby Ward</v>
      </c>
      <c r="B29" s="45">
        <v>6.0</v>
      </c>
      <c r="C29" s="46">
        <f>IF(B29&gt;B31,1,0)</f>
        <v>0</v>
      </c>
      <c r="D29" s="47"/>
      <c r="E29" s="45">
        <v>2.0</v>
      </c>
      <c r="F29" s="46">
        <f>IF(E29&gt;E31,1,0)</f>
        <v>0</v>
      </c>
      <c r="G29" s="47"/>
      <c r="H29" s="48"/>
      <c r="I29" s="32">
        <f>IF(H29&gt;H31,1,0)</f>
        <v>0</v>
      </c>
      <c r="J29" s="32">
        <f>IF(B29="",0,1)</f>
        <v>1</v>
      </c>
      <c r="K29" s="32">
        <f>IF(C29+F29=2,3,IF(C29+F29=1,1,0))</f>
        <v>0</v>
      </c>
      <c r="L29" s="32">
        <f>IF(K29=3,3,IF(I29+K29=2,2,IF(K29=1,1,0)))</f>
        <v>0</v>
      </c>
      <c r="M29" s="32">
        <f>B29+E29</f>
        <v>8</v>
      </c>
      <c r="N29" s="32">
        <f>C29+F29+I29</f>
        <v>0</v>
      </c>
      <c r="O29" s="32"/>
      <c r="P29" s="32"/>
      <c r="Q29" s="39"/>
      <c r="R29" s="32"/>
      <c r="S29" s="39"/>
      <c r="T29" s="39"/>
      <c r="U29" s="32"/>
      <c r="V29" s="39"/>
      <c r="W29" s="39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</row>
    <row r="30" ht="15.0" customHeight="1">
      <c r="A30" s="52" t="s">
        <v>63</v>
      </c>
      <c r="H30" s="53"/>
      <c r="I30" s="54"/>
      <c r="J30" s="32"/>
      <c r="K30" s="32"/>
      <c r="L30" s="32"/>
      <c r="M30" s="32"/>
      <c r="N30" s="32"/>
      <c r="O30" s="32"/>
      <c r="P30" s="32"/>
      <c r="X30" s="54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</row>
    <row r="31">
      <c r="A31" s="55" t="str">
        <f>AE17</f>
        <v>Adam Green/Franco Montesin</v>
      </c>
      <c r="B31" s="45">
        <v>7.0</v>
      </c>
      <c r="C31" s="56">
        <f>IF(B31&gt;B29,1,0)</f>
        <v>1</v>
      </c>
      <c r="D31" s="57"/>
      <c r="E31" s="45">
        <v>6.0</v>
      </c>
      <c r="F31" s="56">
        <f>IF(E31&gt;E29,1,0)</f>
        <v>1</v>
      </c>
      <c r="G31" s="57"/>
      <c r="H31" s="48"/>
      <c r="I31" s="32">
        <f>IF(H31&gt;H29,1,0)</f>
        <v>0</v>
      </c>
      <c r="J31" s="32">
        <f>IF(B31="",0,1)</f>
        <v>1</v>
      </c>
      <c r="K31" s="32">
        <f>IF(C31+F31=2,3,IF(C31+F31=1,1,0))</f>
        <v>3</v>
      </c>
      <c r="L31" s="32">
        <f>IF(K31=3,3,IF(I31+K31=2,2,IF(K31=1,1,0)))</f>
        <v>3</v>
      </c>
      <c r="M31" s="32">
        <f>B31+E31</f>
        <v>13</v>
      </c>
      <c r="N31" s="32">
        <f>C31+F31+I31</f>
        <v>2</v>
      </c>
      <c r="O31" s="32"/>
      <c r="P31" s="32"/>
      <c r="Q31" s="39"/>
      <c r="R31" s="32"/>
      <c r="S31" s="39"/>
      <c r="T31" s="39"/>
      <c r="U31" s="32"/>
      <c r="V31" s="39"/>
      <c r="W31" s="39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</row>
    <row r="32" ht="15.75" customHeight="1"/>
    <row r="33" ht="15.75" customHeight="1"/>
    <row r="34" ht="15.75" customHeight="1"/>
    <row r="35" ht="22.5" customHeight="1">
      <c r="A35" s="104" t="s">
        <v>30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1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</row>
    <row r="37">
      <c r="A37" s="105" t="s">
        <v>43</v>
      </c>
      <c r="B37" s="106" t="s">
        <v>44</v>
      </c>
      <c r="C37" s="35"/>
      <c r="D37" s="35"/>
      <c r="E37" s="36"/>
      <c r="F37" s="37"/>
      <c r="G37" s="38"/>
      <c r="H37" s="105" t="s">
        <v>45</v>
      </c>
      <c r="I37" s="32"/>
      <c r="J37" s="32"/>
      <c r="K37" s="32"/>
      <c r="L37" s="32"/>
      <c r="M37" s="39"/>
      <c r="N37" s="39"/>
      <c r="O37" s="32"/>
      <c r="P37" s="105" t="s">
        <v>43</v>
      </c>
      <c r="Q37" s="106" t="s">
        <v>44</v>
      </c>
      <c r="R37" s="35"/>
      <c r="S37" s="35"/>
      <c r="T37" s="36"/>
      <c r="U37" s="37"/>
      <c r="V37" s="38"/>
      <c r="W37" s="105" t="s">
        <v>45</v>
      </c>
      <c r="X37" s="32"/>
      <c r="Y37" s="39"/>
      <c r="Z37" s="39"/>
      <c r="AA37" s="39"/>
      <c r="AB37" s="39"/>
      <c r="AC37" s="39"/>
      <c r="AD37" s="32"/>
      <c r="AE37" s="105" t="s">
        <v>46</v>
      </c>
      <c r="AF37" s="105" t="s">
        <v>47</v>
      </c>
      <c r="AG37" s="105" t="s">
        <v>48</v>
      </c>
      <c r="AH37" s="105" t="s">
        <v>49</v>
      </c>
      <c r="AI37" s="105" t="s">
        <v>50</v>
      </c>
    </row>
    <row r="38" ht="15.75" hidden="1" customHeight="1">
      <c r="A38" s="32"/>
      <c r="B38" s="42" t="s">
        <v>51</v>
      </c>
      <c r="C38" s="42" t="s">
        <v>52</v>
      </c>
      <c r="D38" s="42"/>
      <c r="E38" s="42" t="s">
        <v>51</v>
      </c>
      <c r="F38" s="42" t="s">
        <v>53</v>
      </c>
      <c r="G38" s="42"/>
      <c r="H38" s="42" t="s">
        <v>51</v>
      </c>
      <c r="I38" s="42" t="s">
        <v>54</v>
      </c>
      <c r="J38" s="42" t="s">
        <v>55</v>
      </c>
      <c r="K38" s="42" t="s">
        <v>56</v>
      </c>
      <c r="L38" s="42" t="s">
        <v>57</v>
      </c>
      <c r="M38" s="42" t="s">
        <v>58</v>
      </c>
      <c r="N38" s="42" t="s">
        <v>59</v>
      </c>
      <c r="O38" s="32"/>
      <c r="P38" s="32"/>
      <c r="Q38" s="42" t="s">
        <v>51</v>
      </c>
      <c r="R38" s="42" t="s">
        <v>52</v>
      </c>
      <c r="S38" s="42"/>
      <c r="T38" s="42" t="s">
        <v>51</v>
      </c>
      <c r="U38" s="42" t="s">
        <v>53</v>
      </c>
      <c r="V38" s="42"/>
      <c r="W38" s="42" t="s">
        <v>51</v>
      </c>
      <c r="X38" s="42" t="s">
        <v>54</v>
      </c>
      <c r="Y38" s="42" t="s">
        <v>55</v>
      </c>
      <c r="Z38" s="42" t="s">
        <v>56</v>
      </c>
      <c r="AA38" s="42" t="s">
        <v>57</v>
      </c>
      <c r="AB38" s="42" t="s">
        <v>58</v>
      </c>
      <c r="AC38" s="42" t="s">
        <v>59</v>
      </c>
      <c r="AD38" s="32"/>
      <c r="AE38" s="39"/>
      <c r="AF38" s="39"/>
      <c r="AG38" s="39"/>
      <c r="AH38" s="39"/>
      <c r="AI38" s="39"/>
    </row>
    <row r="39" ht="15.75" customHeight="1">
      <c r="A39" s="44" t="str">
        <f>AE39</f>
        <v>Clifford Debono/Glenn Micallef</v>
      </c>
      <c r="B39" s="45">
        <v>0.0</v>
      </c>
      <c r="C39" s="46">
        <f>IF(B39&gt;B41,1,0)</f>
        <v>0</v>
      </c>
      <c r="D39" s="47"/>
      <c r="E39" s="45">
        <v>6.0</v>
      </c>
      <c r="F39" s="46">
        <f>IF(E39&gt;E41,1,0)</f>
        <v>1</v>
      </c>
      <c r="G39" s="47"/>
      <c r="H39" s="45">
        <v>4.0</v>
      </c>
      <c r="I39" s="32">
        <f>IF(H39&gt;H41,1,0)</f>
        <v>0</v>
      </c>
      <c r="J39" s="32">
        <f>IF(B39="",0,1)</f>
        <v>1</v>
      </c>
      <c r="K39" s="32">
        <f>IF(C39+F39=2,3,IF(C39+F39=1,1,0))</f>
        <v>1</v>
      </c>
      <c r="L39" s="32">
        <f>IF(K39=3,3,IF(I39+K39=2,2,IF(K39=1,1,0)))</f>
        <v>1</v>
      </c>
      <c r="M39" s="32">
        <f>B39+E39</f>
        <v>6</v>
      </c>
      <c r="N39" s="32">
        <f>C39+F39+I39</f>
        <v>1</v>
      </c>
      <c r="O39" s="32"/>
      <c r="P39" s="44" t="str">
        <f>AE39</f>
        <v>Clifford Debono/Glenn Micallef</v>
      </c>
      <c r="Q39" s="45">
        <v>4.0</v>
      </c>
      <c r="R39" s="46">
        <f>IF(Q39&gt;Q41,1,0)</f>
        <v>0</v>
      </c>
      <c r="S39" s="47"/>
      <c r="T39" s="45">
        <v>6.0</v>
      </c>
      <c r="U39" s="46">
        <f>IF(T39&gt;T41,1,0)</f>
        <v>1</v>
      </c>
      <c r="V39" s="47"/>
      <c r="W39" s="45">
        <v>13.0</v>
      </c>
      <c r="X39" s="32">
        <f>IF(W39&gt;W41,1,0)</f>
        <v>1</v>
      </c>
      <c r="Y39" s="32">
        <f>IF(Q39="",0,1)</f>
        <v>1</v>
      </c>
      <c r="Z39" s="32">
        <f>IF(R39+U39=2,3,IF(R39+U39=1,1,0))</f>
        <v>1</v>
      </c>
      <c r="AA39" s="32">
        <f>IF(Z39=3,3,IF(X39+Z39=2,2,IF(Z39=1,1,0)))</f>
        <v>2</v>
      </c>
      <c r="AB39" s="32">
        <f>Q39+T39</f>
        <v>10</v>
      </c>
      <c r="AC39" s="32">
        <f>R39+U39+X39</f>
        <v>2</v>
      </c>
      <c r="AD39" s="32"/>
      <c r="AE39" s="107" t="str">
        <f>'Players Men'!E29</f>
        <v>Clifford Debono/Glenn Micallef</v>
      </c>
      <c r="AF39" s="50">
        <f>J39+Y39+J43+Y43</f>
        <v>4</v>
      </c>
      <c r="AG39" s="50">
        <f t="shared" ref="AG39:AI39" si="6">L39+AA39+L43+AA43</f>
        <v>4</v>
      </c>
      <c r="AH39" s="50">
        <f t="shared" si="6"/>
        <v>31</v>
      </c>
      <c r="AI39" s="51">
        <f t="shared" si="6"/>
        <v>4</v>
      </c>
    </row>
    <row r="40" ht="15.75" customHeight="1">
      <c r="A40" s="52" t="s">
        <v>63</v>
      </c>
      <c r="H40" s="53"/>
      <c r="I40" s="54"/>
      <c r="J40" s="32"/>
      <c r="K40" s="32"/>
      <c r="L40" s="32"/>
      <c r="M40" s="32"/>
      <c r="N40" s="32"/>
      <c r="O40" s="32"/>
      <c r="P40" s="52" t="s">
        <v>63</v>
      </c>
      <c r="W40" s="53"/>
      <c r="X40" s="54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</row>
    <row r="41" ht="15.75" customHeight="1">
      <c r="A41" s="55" t="str">
        <f>AE41</f>
        <v>Robert Attard/ Isaac Baldacchino</v>
      </c>
      <c r="B41" s="45">
        <v>6.0</v>
      </c>
      <c r="C41" s="56">
        <f>IF(B41&gt;B39,1,0)</f>
        <v>1</v>
      </c>
      <c r="D41" s="57"/>
      <c r="E41" s="45">
        <v>4.0</v>
      </c>
      <c r="F41" s="56">
        <f>IF(E41&gt;E39,1,0)</f>
        <v>0</v>
      </c>
      <c r="G41" s="57"/>
      <c r="H41" s="45">
        <v>10.0</v>
      </c>
      <c r="I41" s="32">
        <f>IF(H41&gt;H39,1,0)</f>
        <v>1</v>
      </c>
      <c r="J41" s="32">
        <f>IF(B41="",0,1)</f>
        <v>1</v>
      </c>
      <c r="K41" s="32">
        <f>IF(C41+F41=2,3,IF(C41+F41=1,1,0))</f>
        <v>1</v>
      </c>
      <c r="L41" s="32">
        <f>IF(K41=3,3,IF(I41+K41=2,2,IF(K41=1,1,0)))</f>
        <v>2</v>
      </c>
      <c r="M41" s="32">
        <f>B41+E41</f>
        <v>10</v>
      </c>
      <c r="N41" s="32">
        <f>C41+F41+I41</f>
        <v>2</v>
      </c>
      <c r="O41" s="32"/>
      <c r="P41" s="55" t="str">
        <f>AE43</f>
        <v>Matthias Cremona/Oliver Brincat</v>
      </c>
      <c r="Q41" s="45">
        <v>6.0</v>
      </c>
      <c r="R41" s="56">
        <f>IF(Q41&gt;Q39,1,0)</f>
        <v>1</v>
      </c>
      <c r="S41" s="57"/>
      <c r="T41" s="45">
        <v>2.0</v>
      </c>
      <c r="U41" s="56">
        <f>IF(T41&gt;T39,1,0)</f>
        <v>0</v>
      </c>
      <c r="V41" s="57"/>
      <c r="W41" s="45">
        <v>11.0</v>
      </c>
      <c r="X41" s="32">
        <f>IF(W41&gt;W39,1,0)</f>
        <v>0</v>
      </c>
      <c r="Y41" s="32">
        <f>IF(Q41="",0,1)</f>
        <v>1</v>
      </c>
      <c r="Z41" s="32">
        <f>IF(R41+U41=2,3,IF(R41+U41=1,1,0))</f>
        <v>1</v>
      </c>
      <c r="AA41" s="32">
        <f>IF(Z41=3,3,IF(X41+Z41=2,2,IF(Z41=1,1,0)))</f>
        <v>1</v>
      </c>
      <c r="AB41" s="32">
        <f>Q41+T41</f>
        <v>8</v>
      </c>
      <c r="AC41" s="32">
        <f>R41+U41+X41</f>
        <v>1</v>
      </c>
      <c r="AD41" s="32"/>
      <c r="AE41" s="107" t="str">
        <f>'Players Men'!E30</f>
        <v>Robert Attard/ Isaac Baldacchino</v>
      </c>
      <c r="AF41" s="50">
        <f>J41+J55+Y51+J51</f>
        <v>4</v>
      </c>
      <c r="AG41" s="50">
        <f t="shared" ref="AG41:AI41" si="7">L41+L55+AA51+L51</f>
        <v>3</v>
      </c>
      <c r="AH41" s="50">
        <f t="shared" si="7"/>
        <v>36</v>
      </c>
      <c r="AI41" s="51">
        <f t="shared" si="7"/>
        <v>3</v>
      </c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9"/>
      <c r="AG42" s="39"/>
      <c r="AH42" s="39"/>
      <c r="AI42" s="39"/>
    </row>
    <row r="43" ht="15.75" customHeight="1">
      <c r="A43" s="44" t="str">
        <f>AE39</f>
        <v>Clifford Debono/Glenn Micallef</v>
      </c>
      <c r="B43" s="45">
        <v>6.0</v>
      </c>
      <c r="C43" s="46">
        <f>IF(B43&gt;B45,1,0)</f>
        <v>1</v>
      </c>
      <c r="D43" s="47"/>
      <c r="E43" s="45">
        <v>5.0</v>
      </c>
      <c r="F43" s="46">
        <f>IF(E43&gt;E45,1,0)</f>
        <v>0</v>
      </c>
      <c r="G43" s="47"/>
      <c r="H43" s="45">
        <v>17.0</v>
      </c>
      <c r="I43" s="32">
        <f>IF(H43&gt;H45,1,0)</f>
        <v>0</v>
      </c>
      <c r="J43" s="32">
        <f>IF(B43="",0,1)</f>
        <v>1</v>
      </c>
      <c r="K43" s="32">
        <f>IF(C43+F43=2,3,IF(C43+F43=1,1,0))</f>
        <v>1</v>
      </c>
      <c r="L43" s="32">
        <f>IF(K43=3,3,IF(I43+K43=2,2,IF(K43=1,1,0)))</f>
        <v>1</v>
      </c>
      <c r="M43" s="32">
        <f>B43+E43</f>
        <v>11</v>
      </c>
      <c r="N43" s="32">
        <f>C43+F43+I43</f>
        <v>1</v>
      </c>
      <c r="O43" s="32"/>
      <c r="P43" s="44" t="str">
        <f>AE39</f>
        <v>Clifford Debono/Glenn Micallef</v>
      </c>
      <c r="Q43" s="45">
        <v>3.0</v>
      </c>
      <c r="R43" s="46">
        <f>IF(Q43&gt;Q45,1,0)</f>
        <v>0</v>
      </c>
      <c r="S43" s="47"/>
      <c r="T43" s="45">
        <v>1.0</v>
      </c>
      <c r="U43" s="46">
        <f>IF(T43&gt;T45,1,0)</f>
        <v>0</v>
      </c>
      <c r="V43" s="47"/>
      <c r="W43" s="48"/>
      <c r="X43" s="32">
        <f>IF(W43&gt;W45,1,0)</f>
        <v>0</v>
      </c>
      <c r="Y43" s="32">
        <f>IF(Q43="",0,1)</f>
        <v>1</v>
      </c>
      <c r="Z43" s="32">
        <f>IF(R43+U43=2,3,IF(R43+U43=1,1,0))</f>
        <v>0</v>
      </c>
      <c r="AA43" s="32">
        <f>IF(Z43=3,3,IF(X43+Z43=2,2,IF(Z43=1,1,0)))</f>
        <v>0</v>
      </c>
      <c r="AB43" s="32">
        <f>Q43+T43</f>
        <v>4</v>
      </c>
      <c r="AC43" s="32">
        <f>R43+U43+X43</f>
        <v>0</v>
      </c>
      <c r="AD43" s="32"/>
      <c r="AE43" s="107" t="str">
        <f>'Players Men'!E31</f>
        <v>Matthias Cremona/Oliver Brincat</v>
      </c>
      <c r="AF43" s="50">
        <f>Y47+Y41+J47+J53</f>
        <v>4</v>
      </c>
      <c r="AG43" s="50">
        <f t="shared" ref="AG43:AI43" si="8">AA47+AA41+L47+L53</f>
        <v>6</v>
      </c>
      <c r="AH43" s="50">
        <f t="shared" si="8"/>
        <v>40</v>
      </c>
      <c r="AI43" s="51">
        <f t="shared" si="8"/>
        <v>5</v>
      </c>
    </row>
    <row r="44" ht="15.75" customHeight="1">
      <c r="A44" s="52" t="s">
        <v>63</v>
      </c>
      <c r="H44" s="53"/>
      <c r="I44" s="54"/>
      <c r="J44" s="32"/>
      <c r="K44" s="32"/>
      <c r="L44" s="32"/>
      <c r="M44" s="32"/>
      <c r="N44" s="32"/>
      <c r="O44" s="32"/>
      <c r="P44" s="52" t="s">
        <v>63</v>
      </c>
      <c r="W44" s="53"/>
      <c r="X44" s="54"/>
      <c r="Y44" s="32"/>
      <c r="Z44" s="32"/>
      <c r="AA44" s="32"/>
      <c r="AB44" s="32"/>
      <c r="AC44" s="32"/>
      <c r="AD44" s="32"/>
      <c r="AE44" s="32"/>
      <c r="AF44" s="39"/>
      <c r="AG44" s="39"/>
      <c r="AH44" s="39"/>
      <c r="AI44" s="39"/>
    </row>
    <row r="45">
      <c r="A45" s="55" t="str">
        <f>AE45</f>
        <v>Braydon Galea/Gabriel Gauci</v>
      </c>
      <c r="B45" s="45">
        <v>4.0</v>
      </c>
      <c r="C45" s="56">
        <f>IF(B45&gt;B43,1,0)</f>
        <v>0</v>
      </c>
      <c r="D45" s="57"/>
      <c r="E45" s="45">
        <v>7.0</v>
      </c>
      <c r="F45" s="56">
        <f>IF(E45&gt;E43,1,0)</f>
        <v>1</v>
      </c>
      <c r="G45" s="57"/>
      <c r="H45" s="45">
        <v>19.0</v>
      </c>
      <c r="I45" s="32">
        <f>IF(H45&gt;H43,1,0)</f>
        <v>1</v>
      </c>
      <c r="J45" s="32">
        <f>IF(B45="",0,1)</f>
        <v>1</v>
      </c>
      <c r="K45" s="32">
        <f>IF(C45+F45=2,3,IF(C45+F45=1,1,0))</f>
        <v>1</v>
      </c>
      <c r="L45" s="32">
        <f>IF(K45=3,3,IF(I45+K45=2,2,IF(K45=1,1,0)))</f>
        <v>2</v>
      </c>
      <c r="M45" s="32">
        <f>B45+E45</f>
        <v>11</v>
      </c>
      <c r="N45" s="32">
        <f>C45+F45+I45</f>
        <v>2</v>
      </c>
      <c r="O45" s="32"/>
      <c r="P45" s="55" t="str">
        <f>AE47</f>
        <v>Jason Lee Evans/Sammy Ben Tamer</v>
      </c>
      <c r="Q45" s="45">
        <v>6.0</v>
      </c>
      <c r="R45" s="56">
        <f>IF(Q45&gt;Q43,1,0)</f>
        <v>1</v>
      </c>
      <c r="S45" s="57"/>
      <c r="T45" s="45">
        <v>6.0</v>
      </c>
      <c r="U45" s="56">
        <f>IF(T45&gt;T43,1,0)</f>
        <v>1</v>
      </c>
      <c r="V45" s="57"/>
      <c r="W45" s="48"/>
      <c r="X45" s="32">
        <f>IF(W45&gt;W43,1,0)</f>
        <v>0</v>
      </c>
      <c r="Y45" s="32">
        <f>IF(Q45="",0,1)</f>
        <v>1</v>
      </c>
      <c r="Z45" s="32">
        <f>IF(R45+U45=2,3,IF(R45+U45=1,1,0))</f>
        <v>3</v>
      </c>
      <c r="AA45" s="32">
        <f>IF(Z45=3,3,IF(X45+Z45=2,2,IF(Z45=1,1,0)))</f>
        <v>3</v>
      </c>
      <c r="AB45" s="32">
        <f>Q45+T45</f>
        <v>12</v>
      </c>
      <c r="AC45" s="32">
        <f>R45+U45+X45</f>
        <v>2</v>
      </c>
      <c r="AD45" s="32"/>
      <c r="AE45" s="107" t="str">
        <f>'Players Men'!E32</f>
        <v>Braydon Galea/Gabriel Gauci</v>
      </c>
      <c r="AF45" s="50">
        <f>Y49+J59+J45+Y53</f>
        <v>4</v>
      </c>
      <c r="AG45" s="50">
        <f t="shared" ref="AG45:AI45" si="9">AA49+L59+L45+AA53</f>
        <v>7</v>
      </c>
      <c r="AH45" s="50">
        <f t="shared" si="9"/>
        <v>36</v>
      </c>
      <c r="AI45" s="51">
        <f t="shared" si="9"/>
        <v>6</v>
      </c>
    </row>
    <row r="46" ht="15.75" customHeight="1">
      <c r="AF46" s="39"/>
      <c r="AG46" s="39"/>
      <c r="AH46" s="39"/>
      <c r="AI46" s="39"/>
    </row>
    <row r="47" ht="15.75" customHeight="1">
      <c r="A47" s="44" t="str">
        <f>AE43</f>
        <v>Matthias Cremona/Oliver Brincat</v>
      </c>
      <c r="B47" s="45">
        <v>4.0</v>
      </c>
      <c r="C47" s="46">
        <f>IF(B47&gt;B49,1,0)</f>
        <v>0</v>
      </c>
      <c r="D47" s="47"/>
      <c r="E47" s="45">
        <v>5.0</v>
      </c>
      <c r="F47" s="46">
        <f>IF(E47&gt;E49,1,0)</f>
        <v>0</v>
      </c>
      <c r="G47" s="47"/>
      <c r="H47" s="48"/>
      <c r="I47" s="32">
        <f>IF(H47&gt;H49,1,0)</f>
        <v>0</v>
      </c>
      <c r="J47" s="32">
        <f>IF(B47="",0,1)</f>
        <v>1</v>
      </c>
      <c r="K47" s="32">
        <f>IF(C47+F47=2,3,IF(C47+F47=1,1,0))</f>
        <v>0</v>
      </c>
      <c r="L47" s="32">
        <f>IF(K47=3,3,IF(I47+K47=2,2,IF(K47=1,1,0)))</f>
        <v>0</v>
      </c>
      <c r="M47" s="32">
        <f>B47+E47</f>
        <v>9</v>
      </c>
      <c r="N47" s="32">
        <f>C47+F47+I47</f>
        <v>0</v>
      </c>
      <c r="O47" s="32"/>
      <c r="P47" s="44" t="str">
        <f>AE43</f>
        <v>Matthias Cremona/Oliver Brincat</v>
      </c>
      <c r="Q47" s="45">
        <v>6.0</v>
      </c>
      <c r="R47" s="46">
        <f>IF(Q47&gt;Q49,1,0)</f>
        <v>1</v>
      </c>
      <c r="S47" s="47"/>
      <c r="T47" s="45">
        <v>6.0</v>
      </c>
      <c r="U47" s="46">
        <f>IF(T47&gt;T49,1,0)</f>
        <v>1</v>
      </c>
      <c r="V47" s="47"/>
      <c r="W47" s="48"/>
      <c r="X47" s="32">
        <f>IF(W47&gt;W49,1,0)</f>
        <v>0</v>
      </c>
      <c r="Y47" s="32">
        <f>IF(Q47="",0,1)</f>
        <v>1</v>
      </c>
      <c r="Z47" s="32">
        <f>IF(R47+U47=2,3,IF(R47+U47=1,1,0))</f>
        <v>3</v>
      </c>
      <c r="AA47" s="32">
        <f>IF(Z47=3,3,IF(X47+Z47=2,2,IF(Z47=1,1,0)))</f>
        <v>3</v>
      </c>
      <c r="AB47" s="32">
        <f>Q47+T47</f>
        <v>12</v>
      </c>
      <c r="AC47" s="32">
        <f>R47+U47+X47</f>
        <v>2</v>
      </c>
      <c r="AD47" s="32"/>
      <c r="AE47" s="107" t="str">
        <f>'Players Men'!E33</f>
        <v>Jason Lee Evans/Sammy Ben Tamer</v>
      </c>
      <c r="AF47" s="50">
        <f>J61+J57+Y45+J49</f>
        <v>4</v>
      </c>
      <c r="AG47" s="50">
        <f t="shared" ref="AG47:AI47" si="10">L61+L57+AA45+L49</f>
        <v>10</v>
      </c>
      <c r="AH47" s="50">
        <f t="shared" si="10"/>
        <v>48</v>
      </c>
      <c r="AI47" s="51">
        <f t="shared" si="10"/>
        <v>7</v>
      </c>
    </row>
    <row r="48" ht="15.75" customHeight="1">
      <c r="A48" s="52" t="s">
        <v>63</v>
      </c>
      <c r="H48" s="53"/>
      <c r="I48" s="54"/>
      <c r="J48" s="32"/>
      <c r="K48" s="32"/>
      <c r="L48" s="32"/>
      <c r="M48" s="32"/>
      <c r="N48" s="32"/>
      <c r="O48" s="32"/>
      <c r="P48" s="52" t="s">
        <v>63</v>
      </c>
      <c r="W48" s="53"/>
      <c r="X48" s="54"/>
      <c r="Y48" s="32"/>
      <c r="Z48" s="32"/>
      <c r="AA48" s="32"/>
      <c r="AB48" s="32"/>
      <c r="AC48" s="32"/>
      <c r="AD48" s="32"/>
      <c r="AE48" s="32"/>
      <c r="AF48" s="39"/>
      <c r="AG48" s="39"/>
      <c r="AH48" s="39"/>
      <c r="AI48" s="39"/>
    </row>
    <row r="49" ht="15.75" customHeight="1">
      <c r="A49" s="55" t="str">
        <f>AE47</f>
        <v>Jason Lee Evans/Sammy Ben Tamer</v>
      </c>
      <c r="B49" s="45">
        <v>6.0</v>
      </c>
      <c r="C49" s="56">
        <f>IF(B49&gt;B47,1,0)</f>
        <v>1</v>
      </c>
      <c r="D49" s="57"/>
      <c r="E49" s="45">
        <v>7.0</v>
      </c>
      <c r="F49" s="56">
        <f>IF(E49&gt;E47,1,0)</f>
        <v>1</v>
      </c>
      <c r="G49" s="57"/>
      <c r="H49" s="48"/>
      <c r="I49" s="32">
        <f>IF(H49&gt;H47,1,0)</f>
        <v>0</v>
      </c>
      <c r="J49" s="32">
        <f>IF(B49="",0,1)</f>
        <v>1</v>
      </c>
      <c r="K49" s="32">
        <f>IF(C49+F49=2,3,IF(C49+F49=1,1,0))</f>
        <v>3</v>
      </c>
      <c r="L49" s="32">
        <f>IF(K49=3,3,IF(I49+K49=2,2,IF(K49=1,1,0)))</f>
        <v>3</v>
      </c>
      <c r="M49" s="32">
        <f>B49+E49</f>
        <v>13</v>
      </c>
      <c r="N49" s="32">
        <f>C49+F49+I49</f>
        <v>2</v>
      </c>
      <c r="O49" s="32"/>
      <c r="P49" s="55" t="str">
        <f>AE45</f>
        <v>Braydon Galea/Gabriel Gauci</v>
      </c>
      <c r="Q49" s="45">
        <v>2.0</v>
      </c>
      <c r="R49" s="56">
        <f>IF(Q49&gt;Q47,1,0)</f>
        <v>0</v>
      </c>
      <c r="S49" s="57"/>
      <c r="T49" s="45">
        <v>4.0</v>
      </c>
      <c r="U49" s="56">
        <f>IF(T49&gt;T47,1,0)</f>
        <v>0</v>
      </c>
      <c r="V49" s="57"/>
      <c r="W49" s="48"/>
      <c r="X49" s="32">
        <f>IF(W49&gt;W47,1,0)</f>
        <v>0</v>
      </c>
      <c r="Y49" s="32">
        <f>IF(Q49="",0,1)</f>
        <v>1</v>
      </c>
      <c r="Z49" s="32">
        <f>IF(R49+U49=2,3,IF(R49+U49=1,1,0))</f>
        <v>0</v>
      </c>
      <c r="AA49" s="32">
        <f>IF(Z49=3,3,IF(X49+Z49=2,2,IF(Z49=1,1,0)))</f>
        <v>0</v>
      </c>
      <c r="AB49" s="32">
        <f>Q49+T49</f>
        <v>6</v>
      </c>
      <c r="AC49" s="32">
        <f>R49+U49+X49</f>
        <v>0</v>
      </c>
      <c r="AD49" s="32"/>
      <c r="AE49" s="106" t="s">
        <v>73</v>
      </c>
      <c r="AF49" s="35"/>
      <c r="AG49" s="35"/>
      <c r="AH49" s="35"/>
      <c r="AI49" s="36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60" t="s">
        <v>40</v>
      </c>
      <c r="AF50" s="35"/>
      <c r="AG50" s="35"/>
      <c r="AH50" s="35"/>
      <c r="AI50" s="36"/>
    </row>
    <row r="51" ht="15.75" customHeight="1">
      <c r="A51" s="44" t="str">
        <f>AE41</f>
        <v>Robert Attard/ Isaac Baldacchino</v>
      </c>
      <c r="B51" s="45">
        <v>4.0</v>
      </c>
      <c r="C51" s="46">
        <f>IF(B51&gt;B53,1,0)</f>
        <v>0</v>
      </c>
      <c r="D51" s="47"/>
      <c r="E51" s="45">
        <v>7.0</v>
      </c>
      <c r="F51" s="46">
        <f>IF(E51&gt;E53,1,0)</f>
        <v>1</v>
      </c>
      <c r="G51" s="47"/>
      <c r="H51" s="45">
        <v>8.0</v>
      </c>
      <c r="I51" s="32">
        <f>IF(H51&gt;H53,1,0)</f>
        <v>0</v>
      </c>
      <c r="J51" s="32">
        <f>IF(B51="",0,1)</f>
        <v>1</v>
      </c>
      <c r="K51" s="32">
        <f>IF(C51+F51=2,3,IF(C51+F51=1,1,0))</f>
        <v>1</v>
      </c>
      <c r="L51" s="32">
        <f>IF(K51=3,3,IF(I51+K51=2,2,IF(K51=1,1,0)))</f>
        <v>1</v>
      </c>
      <c r="M51" s="32">
        <f>B51+E51</f>
        <v>11</v>
      </c>
      <c r="N51" s="32">
        <f>C51+F51+I51</f>
        <v>1</v>
      </c>
      <c r="O51" s="32"/>
      <c r="P51" s="44" t="str">
        <f>AE41</f>
        <v>Robert Attard/ Isaac Baldacchino</v>
      </c>
      <c r="Q51" s="45">
        <v>2.0</v>
      </c>
      <c r="R51" s="46">
        <f>IF(Q51&gt;Q53,1,0)</f>
        <v>0</v>
      </c>
      <c r="S51" s="47"/>
      <c r="T51" s="45">
        <v>4.0</v>
      </c>
      <c r="U51" s="46">
        <f>IF(T51&gt;T53,1,0)</f>
        <v>0</v>
      </c>
      <c r="V51" s="47"/>
      <c r="W51" s="48"/>
      <c r="X51" s="32">
        <f>IF(W51&gt;W53,1,0)</f>
        <v>0</v>
      </c>
      <c r="Y51" s="32">
        <f>IF(Q51="",0,1)</f>
        <v>1</v>
      </c>
      <c r="Z51" s="32">
        <f>IF(R51+U51=2,3,IF(R51+U51=1,1,0))</f>
        <v>0</v>
      </c>
      <c r="AA51" s="32">
        <f>IF(Z51=3,3,IF(X51+Z51=2,2,IF(Z51=1,1,0)))</f>
        <v>0</v>
      </c>
      <c r="AB51" s="32">
        <f>Q51+T51</f>
        <v>6</v>
      </c>
      <c r="AC51" s="32">
        <f>R51+U51+X51</f>
        <v>0</v>
      </c>
      <c r="AD51" s="32"/>
    </row>
    <row r="52" ht="15.75" customHeight="1">
      <c r="A52" s="52" t="s">
        <v>63</v>
      </c>
      <c r="H52" s="53"/>
      <c r="I52" s="54"/>
      <c r="J52" s="32"/>
      <c r="K52" s="32"/>
      <c r="L52" s="32"/>
      <c r="M52" s="32"/>
      <c r="N52" s="32"/>
      <c r="O52" s="32"/>
      <c r="P52" s="52" t="s">
        <v>63</v>
      </c>
      <c r="W52" s="53"/>
      <c r="X52" s="54"/>
      <c r="Y52" s="32"/>
      <c r="Z52" s="32"/>
      <c r="AA52" s="32"/>
      <c r="AB52" s="32"/>
      <c r="AC52" s="32"/>
      <c r="AD52" s="32"/>
    </row>
    <row r="53">
      <c r="A53" s="55" t="str">
        <f>AE43</f>
        <v>Matthias Cremona/Oliver Brincat</v>
      </c>
      <c r="B53" s="45">
        <v>6.0</v>
      </c>
      <c r="C53" s="56">
        <f>IF(B53&gt;B51,1,0)</f>
        <v>1</v>
      </c>
      <c r="D53" s="56"/>
      <c r="E53" s="45">
        <v>5.0</v>
      </c>
      <c r="F53" s="56">
        <f>IF(E53&gt;E51,1,0)</f>
        <v>0</v>
      </c>
      <c r="G53" s="57"/>
      <c r="H53" s="45">
        <v>10.0</v>
      </c>
      <c r="I53" s="32">
        <f>IF(H53&gt;H51,1,0)</f>
        <v>1</v>
      </c>
      <c r="J53" s="32">
        <f>IF(B53="",0,1)</f>
        <v>1</v>
      </c>
      <c r="K53" s="32">
        <f>IF(C53+F53=2,3,IF(C53+F53=1,1,0))</f>
        <v>1</v>
      </c>
      <c r="L53" s="32">
        <f>IF(K53=3,3,IF(I53+K53=2,2,IF(K53=1,1,0)))</f>
        <v>2</v>
      </c>
      <c r="M53" s="32">
        <f>B53+E53</f>
        <v>11</v>
      </c>
      <c r="N53" s="32">
        <f>C53+F53+I53</f>
        <v>2</v>
      </c>
      <c r="O53" s="32"/>
      <c r="P53" s="55" t="str">
        <f>AE45</f>
        <v>Braydon Galea/Gabriel Gauci</v>
      </c>
      <c r="Q53" s="45">
        <v>6.0</v>
      </c>
      <c r="R53" s="56">
        <f>IF(Q53&gt;Q51,1,0)</f>
        <v>1</v>
      </c>
      <c r="S53" s="57"/>
      <c r="T53" s="45">
        <v>6.0</v>
      </c>
      <c r="U53" s="56">
        <f>IF(T53&gt;T51,1,0)</f>
        <v>1</v>
      </c>
      <c r="V53" s="57"/>
      <c r="W53" s="48"/>
      <c r="X53" s="32">
        <f>IF(W53&gt;W51,1,0)</f>
        <v>0</v>
      </c>
      <c r="Y53" s="32">
        <f>IF(Q53="",0,1)</f>
        <v>1</v>
      </c>
      <c r="Z53" s="32">
        <f>IF(R53+U53=2,3,IF(R53+U53=1,1,0))</f>
        <v>3</v>
      </c>
      <c r="AA53" s="32">
        <f>IF(Z53=3,3,IF(X53+Z53=2,2,IF(Z53=1,1,0)))</f>
        <v>3</v>
      </c>
      <c r="AB53" s="32">
        <f>Q53+T53</f>
        <v>12</v>
      </c>
      <c r="AC53" s="32">
        <f>R53+U53+X53</f>
        <v>2</v>
      </c>
      <c r="AD53" s="32"/>
      <c r="AE53" s="32"/>
      <c r="AF53" s="32"/>
      <c r="AG53" s="32"/>
      <c r="AH53" s="32"/>
      <c r="AI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</row>
    <row r="55" ht="15.75" customHeight="1">
      <c r="A55" s="44" t="str">
        <f>AE41</f>
        <v>Robert Attard/ Isaac Baldacchino</v>
      </c>
      <c r="B55" s="45">
        <v>4.0</v>
      </c>
      <c r="C55" s="46">
        <f>IF(B55&gt;B57,1,0)</f>
        <v>0</v>
      </c>
      <c r="D55" s="47"/>
      <c r="E55" s="45">
        <v>5.0</v>
      </c>
      <c r="F55" s="46">
        <f>IF(E55&gt;E57,1,0)</f>
        <v>0</v>
      </c>
      <c r="G55" s="47"/>
      <c r="H55" s="48"/>
      <c r="I55" s="32">
        <f>IF(H55&gt;H57,1,0)</f>
        <v>0</v>
      </c>
      <c r="J55" s="32">
        <f>IF(B55="",0,1)</f>
        <v>1</v>
      </c>
      <c r="K55" s="32">
        <f>IF(C55+F55=2,3,IF(C55+F55=1,1,0))</f>
        <v>0</v>
      </c>
      <c r="L55" s="32">
        <f>IF(K55=3,3,IF(I55+K55=2,2,IF(K55=1,1,0)))</f>
        <v>0</v>
      </c>
      <c r="M55" s="32">
        <f>B55+E55</f>
        <v>9</v>
      </c>
      <c r="N55" s="32">
        <f>C55+F55+I55</f>
        <v>0</v>
      </c>
      <c r="O55" s="32"/>
      <c r="P55" s="108"/>
      <c r="Q55" s="39"/>
      <c r="R55" s="32"/>
      <c r="S55" s="39"/>
      <c r="T55" s="39"/>
      <c r="U55" s="32"/>
      <c r="V55" s="39"/>
      <c r="W55" s="39"/>
      <c r="X55" s="32"/>
      <c r="Y55" s="32"/>
      <c r="Z55" s="32"/>
      <c r="AA55" s="32"/>
      <c r="AB55" s="32"/>
      <c r="AC55" s="32"/>
      <c r="AD55" s="32"/>
      <c r="AE55" s="77"/>
    </row>
    <row r="56" ht="15.75" customHeight="1">
      <c r="A56" s="52" t="s">
        <v>63</v>
      </c>
      <c r="H56" s="53"/>
      <c r="I56" s="54"/>
      <c r="J56" s="32"/>
      <c r="K56" s="32"/>
      <c r="L56" s="32"/>
      <c r="M56" s="32"/>
      <c r="N56" s="32"/>
      <c r="O56" s="32"/>
      <c r="P56" s="32"/>
      <c r="X56" s="54"/>
      <c r="Y56" s="32"/>
      <c r="Z56" s="32"/>
      <c r="AA56" s="32"/>
      <c r="AB56" s="32"/>
      <c r="AC56" s="32"/>
      <c r="AD56" s="32"/>
      <c r="AE56" s="77" t="str">
        <f>IF(AL39=30,AN39,"")</f>
        <v/>
      </c>
    </row>
    <row r="57" ht="15.75" customHeight="1">
      <c r="A57" s="55" t="str">
        <f>AE47</f>
        <v>Jason Lee Evans/Sammy Ben Tamer</v>
      </c>
      <c r="B57" s="45">
        <v>6.0</v>
      </c>
      <c r="C57" s="56">
        <f>IF(B57&gt;B55,1,0)</f>
        <v>1</v>
      </c>
      <c r="D57" s="57"/>
      <c r="E57" s="45">
        <v>7.0</v>
      </c>
      <c r="F57" s="56">
        <f>IF(E57&gt;E55,1,0)</f>
        <v>1</v>
      </c>
      <c r="G57" s="57"/>
      <c r="H57" s="48"/>
      <c r="I57" s="32">
        <f>IF(H57&gt;H55,1,0)</f>
        <v>0</v>
      </c>
      <c r="J57" s="32">
        <f>IF(B57="",0,1)</f>
        <v>1</v>
      </c>
      <c r="K57" s="32">
        <f>IF(C57+F57=2,3,IF(C57+F57=1,1,0))</f>
        <v>3</v>
      </c>
      <c r="L57" s="32">
        <f>IF(K57=3,3,IF(I57+K57=2,2,IF(K57=1,1,0)))</f>
        <v>3</v>
      </c>
      <c r="M57" s="32">
        <f>B57+E57</f>
        <v>13</v>
      </c>
      <c r="N57" s="32">
        <f>C57+F57+I57</f>
        <v>2</v>
      </c>
      <c r="O57" s="32"/>
      <c r="P57" s="32"/>
      <c r="Q57" s="39"/>
      <c r="R57" s="32"/>
      <c r="S57" s="39"/>
      <c r="T57" s="39"/>
      <c r="U57" s="32"/>
      <c r="V57" s="39"/>
      <c r="W57" s="39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9"/>
      <c r="AI58" s="32"/>
    </row>
    <row r="59" ht="15.75" customHeight="1">
      <c r="A59" s="44" t="str">
        <f>AE45</f>
        <v>Braydon Galea/Gabriel Gauci</v>
      </c>
      <c r="B59" s="45">
        <v>1.0</v>
      </c>
      <c r="C59" s="46">
        <f>IF(B59&gt;B61,1,0)</f>
        <v>0</v>
      </c>
      <c r="D59" s="47"/>
      <c r="E59" s="45">
        <v>6.0</v>
      </c>
      <c r="F59" s="46">
        <f>IF(E59&gt;E61,1,0)</f>
        <v>1</v>
      </c>
      <c r="G59" s="47"/>
      <c r="H59" s="45">
        <v>10.0</v>
      </c>
      <c r="I59" s="32">
        <f>IF(H59&gt;H61,1,0)</f>
        <v>1</v>
      </c>
      <c r="J59" s="32">
        <f>IF(B59="",0,1)</f>
        <v>1</v>
      </c>
      <c r="K59" s="32">
        <f>IF(C59+F59=2,3,IF(C59+F59=1,1,0))</f>
        <v>1</v>
      </c>
      <c r="L59" s="32">
        <f>IF(K59=3,3,IF(I59+K59=2,2,IF(K59=1,1,0)))</f>
        <v>2</v>
      </c>
      <c r="M59" s="32">
        <f>B59+E59</f>
        <v>7</v>
      </c>
      <c r="N59" s="32">
        <f>C59+F59+I59</f>
        <v>2</v>
      </c>
      <c r="O59" s="32"/>
      <c r="P59" s="32"/>
      <c r="Q59" s="39"/>
      <c r="R59" s="32"/>
      <c r="S59" s="39"/>
      <c r="T59" s="39"/>
      <c r="U59" s="32"/>
      <c r="V59" s="39"/>
      <c r="W59" s="39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</row>
    <row r="60">
      <c r="A60" s="52" t="s">
        <v>63</v>
      </c>
      <c r="H60" s="53"/>
      <c r="I60" s="54"/>
      <c r="J60" s="32"/>
      <c r="K60" s="32"/>
      <c r="L60" s="32"/>
      <c r="M60" s="32"/>
      <c r="N60" s="32"/>
      <c r="O60" s="32"/>
      <c r="P60" s="32"/>
      <c r="X60" s="54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</row>
    <row r="61">
      <c r="A61" s="55" t="str">
        <f>AE47</f>
        <v>Jason Lee Evans/Sammy Ben Tamer</v>
      </c>
      <c r="B61" s="45">
        <v>6.0</v>
      </c>
      <c r="C61" s="56">
        <f>IF(B61&gt;B59,1,0)</f>
        <v>1</v>
      </c>
      <c r="D61" s="57"/>
      <c r="E61" s="45">
        <v>4.0</v>
      </c>
      <c r="F61" s="56">
        <f>IF(E61&gt;E59,1,0)</f>
        <v>0</v>
      </c>
      <c r="G61" s="57"/>
      <c r="H61" s="45">
        <v>8.0</v>
      </c>
      <c r="I61" s="32">
        <f>IF(H61&gt;H59,1,0)</f>
        <v>0</v>
      </c>
      <c r="J61" s="32">
        <f>IF(B61="",0,1)</f>
        <v>1</v>
      </c>
      <c r="K61" s="32">
        <f>IF(C61+F61=2,3,IF(C61+F61=1,1,0))</f>
        <v>1</v>
      </c>
      <c r="L61" s="32">
        <f>IF(K61=3,3,IF(I61+K61=2,2,IF(K61=1,1,0)))</f>
        <v>1</v>
      </c>
      <c r="M61" s="32">
        <f>B61+E61</f>
        <v>10</v>
      </c>
      <c r="N61" s="32">
        <f>C61+F61+I61</f>
        <v>1</v>
      </c>
      <c r="O61" s="32"/>
      <c r="P61" s="32"/>
      <c r="Q61" s="39"/>
      <c r="R61" s="32"/>
      <c r="S61" s="39"/>
      <c r="T61" s="39"/>
      <c r="U61" s="32"/>
      <c r="V61" s="39"/>
      <c r="W61" s="39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</row>
    <row r="62" ht="15.75" customHeight="1"/>
    <row r="63" ht="15.75" customHeight="1"/>
    <row r="64" ht="15.75" customHeight="1"/>
    <row r="65" ht="15.75" customHeight="1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4"/>
      <c r="P65" s="85"/>
      <c r="Q65" s="30"/>
      <c r="R65" s="30"/>
      <c r="S65" s="30"/>
      <c r="T65" s="30"/>
      <c r="U65" s="30"/>
      <c r="V65" s="30"/>
      <c r="W65" s="31"/>
      <c r="X65" s="86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</row>
    <row r="66" ht="15.75" customHeight="1"/>
    <row r="67" ht="15.75" customHeight="1">
      <c r="P67" s="87" t="s">
        <v>74</v>
      </c>
      <c r="Q67" s="35"/>
      <c r="R67" s="35"/>
      <c r="S67" s="35"/>
      <c r="T67" s="35"/>
      <c r="U67" s="35"/>
      <c r="V67" s="35"/>
      <c r="W67" s="88"/>
      <c r="X67" s="32"/>
      <c r="Y67" s="32"/>
      <c r="Z67" s="32"/>
      <c r="AA67" s="32"/>
      <c r="AB67" s="32"/>
      <c r="AC67" s="32"/>
    </row>
    <row r="68" ht="15.75" customHeight="1"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</row>
    <row r="69" ht="15.75" customHeight="1">
      <c r="P69" s="89" t="s">
        <v>43</v>
      </c>
      <c r="Q69" s="87" t="s">
        <v>44</v>
      </c>
      <c r="R69" s="35"/>
      <c r="S69" s="35"/>
      <c r="T69" s="36"/>
      <c r="U69" s="90"/>
      <c r="V69" s="91"/>
      <c r="W69" s="89" t="s">
        <v>45</v>
      </c>
      <c r="X69" s="32"/>
      <c r="Y69" s="32"/>
      <c r="Z69" s="32"/>
      <c r="AA69" s="32"/>
      <c r="AB69" s="32"/>
      <c r="AC69" s="32"/>
    </row>
    <row r="70" ht="15.75" customHeight="1">
      <c r="P70" s="32" t="str">
        <f>AE20</f>
        <v>Steve Gambin/Luke Gambin</v>
      </c>
      <c r="Q70" s="42" t="s">
        <v>51</v>
      </c>
      <c r="R70" s="42" t="s">
        <v>52</v>
      </c>
      <c r="S70" s="42"/>
      <c r="T70" s="42" t="s">
        <v>51</v>
      </c>
      <c r="U70" s="42" t="s">
        <v>53</v>
      </c>
      <c r="V70" s="42"/>
      <c r="W70" s="42" t="s">
        <v>51</v>
      </c>
      <c r="X70" s="42" t="s">
        <v>54</v>
      </c>
      <c r="Y70" s="42" t="s">
        <v>55</v>
      </c>
      <c r="Z70" s="42" t="s">
        <v>56</v>
      </c>
      <c r="AA70" s="42" t="s">
        <v>57</v>
      </c>
      <c r="AB70" s="42" t="s">
        <v>58</v>
      </c>
      <c r="AC70" s="42" t="s">
        <v>59</v>
      </c>
    </row>
    <row r="71" ht="15.75" customHeight="1">
      <c r="P71" s="44"/>
      <c r="Q71" s="45">
        <v>2.0</v>
      </c>
      <c r="R71" s="46">
        <f>IF(Q71&gt;Q73,1,0)</f>
        <v>0</v>
      </c>
      <c r="S71" s="47"/>
      <c r="T71" s="45">
        <v>6.0</v>
      </c>
      <c r="U71" s="46">
        <f>IF(T71&gt;T73,1,0)</f>
        <v>1</v>
      </c>
      <c r="V71" s="47"/>
      <c r="W71" s="45">
        <v>8.0</v>
      </c>
      <c r="X71" s="32">
        <f>IF(W71&gt;W73,1,0)</f>
        <v>0</v>
      </c>
      <c r="Y71" s="32">
        <f>IF(Q71="",0,1)</f>
        <v>1</v>
      </c>
      <c r="Z71" s="32">
        <f>IF(R71+U71=2,3,IF(R71+U71=1,1,0))</f>
        <v>1</v>
      </c>
      <c r="AA71" s="32">
        <f>IF(Z71=3,3,IF(X71+Z71=2,2,IF(Z71=1,1,0)))</f>
        <v>1</v>
      </c>
      <c r="AB71" s="32">
        <f>Q71+T71</f>
        <v>8</v>
      </c>
      <c r="AC71" s="32">
        <f>R71+U71+X71</f>
        <v>1</v>
      </c>
    </row>
    <row r="72" ht="15.75" customHeight="1">
      <c r="P72" s="52" t="s">
        <v>63</v>
      </c>
      <c r="W72" s="53"/>
      <c r="X72" s="54"/>
      <c r="Y72" s="32"/>
      <c r="Z72" s="32"/>
      <c r="AA72" s="32"/>
      <c r="AB72" s="32"/>
      <c r="AC72" s="32"/>
    </row>
    <row r="73" ht="15.75" customHeight="1">
      <c r="P73" s="55" t="str">
        <f>AE50</f>
        <v>Jason Lee Evans/Sammy Ben Tamer</v>
      </c>
      <c r="Q73" s="45">
        <v>6.0</v>
      </c>
      <c r="R73" s="56">
        <f>IF(Q73&gt;Q71,1,0)</f>
        <v>1</v>
      </c>
      <c r="S73" s="57"/>
      <c r="T73" s="45">
        <v>1.0</v>
      </c>
      <c r="U73" s="56">
        <f>IF(T73&gt;T71,1,0)</f>
        <v>0</v>
      </c>
      <c r="V73" s="57"/>
      <c r="W73" s="45">
        <v>10.0</v>
      </c>
      <c r="X73" s="32">
        <f>IF(W73&gt;W71,1,0)</f>
        <v>1</v>
      </c>
      <c r="Y73" s="32">
        <f>IF(Q73="",0,1)</f>
        <v>1</v>
      </c>
      <c r="Z73" s="32">
        <f>IF(R73+U73=2,3,IF(R73+U73=1,1,0))</f>
        <v>1</v>
      </c>
      <c r="AA73" s="32">
        <f>IF(Z73=3,3,IF(X73+Z73=2,2,IF(Z73=1,1,0)))</f>
        <v>2</v>
      </c>
      <c r="AB73" s="32">
        <f>Q73+T73</f>
        <v>7</v>
      </c>
      <c r="AC73" s="32">
        <f>R73+U73+X73</f>
        <v>2</v>
      </c>
    </row>
    <row r="74" ht="15.75" customHeight="1"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ht="15.75" customHeight="1">
      <c r="P75" s="87" t="s">
        <v>79</v>
      </c>
      <c r="Q75" s="35"/>
      <c r="R75" s="35"/>
      <c r="S75" s="35"/>
      <c r="T75" s="35"/>
      <c r="U75" s="35"/>
      <c r="V75" s="35"/>
      <c r="W75" s="36"/>
      <c r="X75" s="32"/>
      <c r="Y75" s="32"/>
      <c r="Z75" s="32"/>
      <c r="AA75" s="32"/>
      <c r="AB75" s="32"/>
      <c r="AC75" s="32"/>
    </row>
    <row r="76" ht="15.75" customHeight="1">
      <c r="P76" s="109" t="str">
        <f>IF(AA71&gt;AA73,P71,P73)</f>
        <v>Jason Lee Evans/Sammy Ben Tamer</v>
      </c>
      <c r="Q76" s="98"/>
      <c r="R76" s="98"/>
      <c r="S76" s="98"/>
      <c r="T76" s="98"/>
      <c r="U76" s="98"/>
      <c r="V76" s="98"/>
      <c r="W76" s="99"/>
      <c r="X76" s="32"/>
      <c r="Y76" s="32"/>
      <c r="Z76" s="32"/>
      <c r="AA76" s="32"/>
      <c r="AB76" s="32"/>
      <c r="AC76" s="32"/>
    </row>
    <row r="77" ht="15.75" customHeight="1"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</row>
    <row r="78" ht="15.75" customHeight="1"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</row>
    <row r="79" ht="15.75" customHeight="1">
      <c r="P79" s="87" t="s">
        <v>80</v>
      </c>
      <c r="Q79" s="35"/>
      <c r="R79" s="35"/>
      <c r="S79" s="35"/>
      <c r="T79" s="35"/>
      <c r="U79" s="35"/>
      <c r="V79" s="35"/>
      <c r="W79" s="36"/>
      <c r="X79" s="32"/>
      <c r="Y79" s="32"/>
      <c r="Z79" s="32"/>
      <c r="AA79" s="32"/>
      <c r="AB79" s="32"/>
      <c r="AC79" s="32"/>
    </row>
    <row r="80" ht="15.75" customHeight="1">
      <c r="P80" s="92" t="s">
        <v>31</v>
      </c>
      <c r="X80" s="32"/>
      <c r="Y80" s="32"/>
      <c r="Z80" s="32"/>
      <c r="AA80" s="32"/>
      <c r="AB80" s="32"/>
      <c r="AC80" s="32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47">
    <mergeCell ref="A1:AI2"/>
    <mergeCell ref="A5:AI5"/>
    <mergeCell ref="B7:E7"/>
    <mergeCell ref="Q7:T7"/>
    <mergeCell ref="A10:H10"/>
    <mergeCell ref="P10:W10"/>
    <mergeCell ref="P14:W14"/>
    <mergeCell ref="A14:H14"/>
    <mergeCell ref="A18:H18"/>
    <mergeCell ref="P18:W18"/>
    <mergeCell ref="AE19:AI19"/>
    <mergeCell ref="AE20:AI20"/>
    <mergeCell ref="P22:W22"/>
    <mergeCell ref="P26:W26"/>
    <mergeCell ref="AE25:AI25"/>
    <mergeCell ref="AE26:AI26"/>
    <mergeCell ref="P30:W30"/>
    <mergeCell ref="A35:AI35"/>
    <mergeCell ref="Q37:T37"/>
    <mergeCell ref="P40:W40"/>
    <mergeCell ref="P44:W44"/>
    <mergeCell ref="A52:H52"/>
    <mergeCell ref="A56:H56"/>
    <mergeCell ref="A60:H60"/>
    <mergeCell ref="A22:H22"/>
    <mergeCell ref="A26:H26"/>
    <mergeCell ref="A30:H30"/>
    <mergeCell ref="B37:E37"/>
    <mergeCell ref="A40:H40"/>
    <mergeCell ref="A44:H44"/>
    <mergeCell ref="A48:H48"/>
    <mergeCell ref="P48:W48"/>
    <mergeCell ref="AE49:AI49"/>
    <mergeCell ref="AE50:AI50"/>
    <mergeCell ref="P52:W52"/>
    <mergeCell ref="AE55:AI55"/>
    <mergeCell ref="P56:W56"/>
    <mergeCell ref="AE56:AI56"/>
    <mergeCell ref="P79:W79"/>
    <mergeCell ref="P80:W80"/>
    <mergeCell ref="P60:W60"/>
    <mergeCell ref="P65:W65"/>
    <mergeCell ref="P67:W67"/>
    <mergeCell ref="Q69:T69"/>
    <mergeCell ref="P72:W72"/>
    <mergeCell ref="P75:W75"/>
    <mergeCell ref="P76:W76"/>
  </mergeCells>
  <printOptions/>
  <pageMargins bottom="0.75" footer="0.0" header="0.0" left="0.25" right="0.25" top="0.75"/>
  <pageSetup paperSize="9" scale="6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57.0"/>
    <col customWidth="1" min="3" max="3" width="9.13"/>
    <col customWidth="1" min="4" max="4" width="8.0"/>
    <col customWidth="1" min="5" max="5" width="58.13"/>
    <col customWidth="1" min="6" max="7" width="9.13"/>
  </cols>
  <sheetData>
    <row r="1" ht="21.0" customHeight="1">
      <c r="A1" s="1" t="s">
        <v>0</v>
      </c>
    </row>
    <row r="2" ht="30.0" customHeight="1">
      <c r="A2" s="2" t="s">
        <v>1</v>
      </c>
    </row>
    <row r="3" ht="9.75" customHeight="1">
      <c r="A3" s="3"/>
      <c r="B3" s="3"/>
      <c r="C3" s="3"/>
      <c r="D3" s="3"/>
      <c r="E3" s="3"/>
    </row>
    <row r="4" ht="9.75" customHeight="1">
      <c r="A4" s="3"/>
      <c r="B4" s="3"/>
      <c r="C4" s="3"/>
      <c r="D4" s="3"/>
      <c r="E4" s="3"/>
    </row>
    <row r="5" ht="21.0" customHeight="1">
      <c r="A5" s="5"/>
      <c r="B5" s="110" t="s">
        <v>81</v>
      </c>
      <c r="C5" s="3"/>
      <c r="D5" s="5"/>
      <c r="E5" s="7"/>
    </row>
    <row r="6" ht="21.0" customHeight="1">
      <c r="A6" s="9">
        <v>1.0</v>
      </c>
      <c r="B6" s="10" t="s">
        <v>82</v>
      </c>
      <c r="C6" s="3"/>
      <c r="D6" s="5"/>
    </row>
    <row r="7" ht="21.0" customHeight="1">
      <c r="A7" s="9">
        <v>2.0</v>
      </c>
      <c r="B7" s="10" t="s">
        <v>83</v>
      </c>
      <c r="C7" s="3"/>
      <c r="D7" s="5"/>
    </row>
    <row r="8" ht="21.0" customHeight="1">
      <c r="A8" s="9">
        <v>3.0</v>
      </c>
      <c r="B8" s="22" t="s">
        <v>84</v>
      </c>
      <c r="C8" s="3"/>
      <c r="D8" s="5"/>
    </row>
    <row r="9" ht="21.0" customHeight="1">
      <c r="A9" s="9">
        <v>4.0</v>
      </c>
      <c r="B9" s="111" t="s">
        <v>85</v>
      </c>
      <c r="C9" s="3"/>
      <c r="D9" s="5"/>
    </row>
    <row r="10" ht="21.0" customHeight="1">
      <c r="A10" s="9">
        <v>5.0</v>
      </c>
      <c r="B10" s="10" t="s">
        <v>86</v>
      </c>
      <c r="C10" s="3"/>
      <c r="D10" s="5"/>
    </row>
    <row r="11" ht="21.0" customHeight="1">
      <c r="A11" s="9">
        <v>5.0</v>
      </c>
      <c r="B11" s="10" t="s">
        <v>87</v>
      </c>
      <c r="C11" s="3"/>
      <c r="D11" s="5"/>
    </row>
    <row r="12" ht="21.0" customHeight="1">
      <c r="A12" s="5"/>
      <c r="B12" s="15"/>
      <c r="C12" s="3"/>
      <c r="D12" s="3"/>
      <c r="E12" s="3"/>
    </row>
    <row r="13" ht="21.0" customHeight="1">
      <c r="A13" s="5"/>
      <c r="B13" s="112" t="s">
        <v>88</v>
      </c>
      <c r="C13" s="113"/>
      <c r="D13" s="5"/>
      <c r="E13" s="7"/>
    </row>
    <row r="14" ht="21.0" customHeight="1">
      <c r="A14" s="9">
        <v>1.0</v>
      </c>
      <c r="B14" s="10" t="s">
        <v>89</v>
      </c>
      <c r="C14" s="3"/>
      <c r="D14" s="5"/>
      <c r="E14" s="11"/>
    </row>
    <row r="15" ht="21.0" customHeight="1">
      <c r="A15" s="9">
        <v>2.0</v>
      </c>
      <c r="B15" s="10" t="s">
        <v>90</v>
      </c>
      <c r="C15" s="3"/>
      <c r="D15" s="5"/>
      <c r="E15" s="11"/>
    </row>
    <row r="16" ht="21.0" customHeight="1">
      <c r="A16" s="9">
        <v>3.0</v>
      </c>
      <c r="B16" s="10" t="s">
        <v>91</v>
      </c>
      <c r="C16" s="3"/>
      <c r="D16" s="5"/>
      <c r="E16" s="11"/>
    </row>
    <row r="17" ht="21.0" customHeight="1">
      <c r="A17" s="9">
        <v>4.0</v>
      </c>
      <c r="B17" s="10" t="s">
        <v>92</v>
      </c>
      <c r="C17" s="3"/>
      <c r="D17" s="5"/>
      <c r="E17" s="11"/>
    </row>
    <row r="18">
      <c r="A18" s="9">
        <v>5.0</v>
      </c>
      <c r="B18" s="10" t="s">
        <v>93</v>
      </c>
      <c r="C18" s="3"/>
      <c r="D18" s="5"/>
      <c r="E18" s="11"/>
    </row>
    <row r="19">
      <c r="A19" s="9">
        <v>6.0</v>
      </c>
      <c r="B19" s="10" t="s">
        <v>94</v>
      </c>
      <c r="C19" s="3"/>
      <c r="D19" s="5"/>
      <c r="E19" s="11"/>
    </row>
    <row r="20" ht="21.0" customHeight="1">
      <c r="A20" s="5"/>
      <c r="B20" s="5"/>
      <c r="C20" s="3"/>
      <c r="D20" s="3"/>
      <c r="E20" s="3"/>
    </row>
    <row r="21" ht="21.0" customHeight="1">
      <c r="A21" s="5"/>
      <c r="B21" s="114" t="s">
        <v>95</v>
      </c>
      <c r="C21" s="3"/>
      <c r="D21" s="5"/>
      <c r="E21" s="115" t="s">
        <v>96</v>
      </c>
    </row>
    <row r="22" ht="21.0" customHeight="1">
      <c r="A22" s="9">
        <v>1.0</v>
      </c>
      <c r="B22" s="10" t="s">
        <v>97</v>
      </c>
      <c r="C22" s="3"/>
      <c r="D22" s="9">
        <v>1.0</v>
      </c>
      <c r="E22" s="10" t="s">
        <v>98</v>
      </c>
    </row>
    <row r="23" ht="21.0" customHeight="1">
      <c r="A23" s="9">
        <v>2.0</v>
      </c>
      <c r="B23" s="10" t="s">
        <v>99</v>
      </c>
      <c r="C23" s="3"/>
      <c r="D23" s="9">
        <v>2.0</v>
      </c>
      <c r="E23" s="22" t="s">
        <v>100</v>
      </c>
    </row>
    <row r="24" ht="21.0" customHeight="1">
      <c r="A24" s="9">
        <v>3.0</v>
      </c>
      <c r="B24" s="10" t="s">
        <v>101</v>
      </c>
      <c r="C24" s="3"/>
      <c r="D24" s="9">
        <v>3.0</v>
      </c>
      <c r="E24" s="10" t="s">
        <v>102</v>
      </c>
    </row>
    <row r="25" ht="21.0" customHeight="1">
      <c r="A25" s="9">
        <v>4.0</v>
      </c>
      <c r="B25" s="10" t="s">
        <v>103</v>
      </c>
      <c r="C25" s="3"/>
      <c r="D25" s="9">
        <v>4.0</v>
      </c>
      <c r="E25" s="10" t="s">
        <v>104</v>
      </c>
    </row>
    <row r="26" ht="21.0" customHeight="1">
      <c r="A26" s="9">
        <v>5.0</v>
      </c>
      <c r="B26" s="10" t="s">
        <v>105</v>
      </c>
      <c r="C26" s="3"/>
      <c r="D26" s="9">
        <v>5.0</v>
      </c>
      <c r="E26" s="10" t="s">
        <v>106</v>
      </c>
    </row>
    <row r="27" ht="21.0" customHeight="1">
      <c r="A27" s="9">
        <v>6.0</v>
      </c>
      <c r="B27" s="10" t="s">
        <v>107</v>
      </c>
      <c r="D27" s="9">
        <v>6.0</v>
      </c>
      <c r="E27" s="10" t="s">
        <v>108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A1:J1"/>
    <mergeCell ref="A2:J2"/>
  </mergeCells>
  <printOptions/>
  <pageMargins bottom="0.75" footer="0.0" header="0.0" left="0.7" right="0.7" top="0.75"/>
  <pageSetup paperSize="9" scale="7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63"/>
    <col customWidth="1" min="2" max="2" width="7.0"/>
    <col customWidth="1" hidden="1" min="3" max="3" width="4.38"/>
    <col customWidth="1" min="4" max="4" width="1.63"/>
    <col customWidth="1" min="5" max="5" width="7.0"/>
    <col customWidth="1" hidden="1" min="6" max="6" width="3.38"/>
    <col customWidth="1" min="7" max="7" width="1.63"/>
    <col customWidth="1" min="8" max="8" width="7.0"/>
    <col customWidth="1" hidden="1" min="9" max="9" width="4.38"/>
    <col customWidth="1" hidden="1" min="10" max="11" width="3.13"/>
    <col customWidth="1" hidden="1" min="12" max="12" width="4.13"/>
    <col customWidth="1" hidden="1" min="13" max="13" width="3.63"/>
    <col customWidth="1" hidden="1" min="14" max="14" width="4.13"/>
    <col customWidth="1" min="15" max="15" width="8.63"/>
    <col customWidth="1" min="16" max="16" width="45.63"/>
    <col customWidth="1" min="17" max="17" width="7.0"/>
    <col customWidth="1" hidden="1" min="18" max="18" width="4.5"/>
    <col customWidth="1" min="19" max="19" width="1.63"/>
    <col customWidth="1" min="20" max="20" width="7.0"/>
    <col customWidth="1" hidden="1" min="21" max="21" width="4.13"/>
    <col customWidth="1" min="22" max="22" width="1.63"/>
    <col customWidth="1" min="23" max="23" width="7.0"/>
    <col customWidth="1" hidden="1" min="24" max="24" width="5.88"/>
    <col customWidth="1" hidden="1" min="25" max="25" width="4.63"/>
    <col customWidth="1" hidden="1" min="26" max="26" width="6.63"/>
    <col customWidth="1" hidden="1" min="27" max="27" width="7.13"/>
    <col customWidth="1" hidden="1" min="28" max="28" width="6.88"/>
    <col customWidth="1" hidden="1" min="29" max="29" width="4.13"/>
    <col customWidth="1" min="30" max="30" width="8.63"/>
    <col customWidth="1" min="31" max="31" width="45.63"/>
    <col customWidth="1" min="32" max="32" width="10.5"/>
    <col customWidth="1" min="33" max="35" width="8.63"/>
  </cols>
  <sheetData>
    <row r="1" ht="21.0" customHeight="1">
      <c r="A1" s="27" t="s">
        <v>41</v>
      </c>
      <c r="AJ1" s="3"/>
      <c r="AK1" s="3"/>
      <c r="AL1" s="3"/>
    </row>
    <row r="2" ht="21.0" customHeight="1">
      <c r="AJ2" s="3"/>
      <c r="AK2" s="3"/>
      <c r="AL2" s="3"/>
    </row>
    <row r="3" ht="15.0" customHeight="1">
      <c r="A3" s="28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ht="15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ht="22.5" customHeight="1">
      <c r="A5" s="116" t="s">
        <v>81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1"/>
      <c r="AJ5" s="32"/>
      <c r="AK5" s="32"/>
      <c r="AL5" s="32"/>
      <c r="AM5" s="32"/>
      <c r="AN5" s="32"/>
    </row>
    <row r="6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</row>
    <row r="7" ht="30.0" customHeight="1">
      <c r="A7" s="117" t="s">
        <v>43</v>
      </c>
      <c r="B7" s="118" t="s">
        <v>44</v>
      </c>
      <c r="C7" s="35"/>
      <c r="D7" s="35"/>
      <c r="E7" s="36"/>
      <c r="F7" s="37"/>
      <c r="G7" s="38"/>
      <c r="H7" s="117" t="s">
        <v>45</v>
      </c>
      <c r="I7" s="32"/>
      <c r="J7" s="32"/>
      <c r="K7" s="32"/>
      <c r="L7" s="32"/>
      <c r="M7" s="39"/>
      <c r="N7" s="39"/>
      <c r="O7" s="32"/>
      <c r="P7" s="117" t="s">
        <v>43</v>
      </c>
      <c r="Q7" s="118" t="s">
        <v>44</v>
      </c>
      <c r="R7" s="35"/>
      <c r="S7" s="35"/>
      <c r="T7" s="36"/>
      <c r="U7" s="37"/>
      <c r="V7" s="38"/>
      <c r="W7" s="117" t="s">
        <v>45</v>
      </c>
      <c r="X7" s="32"/>
      <c r="Y7" s="39"/>
      <c r="Z7" s="39"/>
      <c r="AA7" s="39"/>
      <c r="AB7" s="39"/>
      <c r="AC7" s="39"/>
      <c r="AD7" s="32"/>
      <c r="AE7" s="117" t="s">
        <v>46</v>
      </c>
      <c r="AF7" s="117" t="s">
        <v>47</v>
      </c>
      <c r="AG7" s="117" t="s">
        <v>48</v>
      </c>
      <c r="AH7" s="117" t="s">
        <v>49</v>
      </c>
      <c r="AI7" s="117" t="s">
        <v>50</v>
      </c>
      <c r="AJ7" s="39"/>
      <c r="AK7" s="39"/>
      <c r="AL7" s="39"/>
      <c r="AM7" s="32"/>
      <c r="AN7" s="32"/>
    </row>
    <row r="8" ht="15.0" hidden="1" customHeight="1">
      <c r="A8" s="32"/>
      <c r="B8" s="42" t="s">
        <v>51</v>
      </c>
      <c r="C8" s="42" t="s">
        <v>52</v>
      </c>
      <c r="D8" s="42"/>
      <c r="E8" s="42" t="s">
        <v>51</v>
      </c>
      <c r="F8" s="42" t="s">
        <v>53</v>
      </c>
      <c r="G8" s="42"/>
      <c r="H8" s="42" t="s">
        <v>51</v>
      </c>
      <c r="I8" s="42" t="s">
        <v>54</v>
      </c>
      <c r="J8" s="42" t="s">
        <v>55</v>
      </c>
      <c r="K8" s="42" t="s">
        <v>56</v>
      </c>
      <c r="L8" s="42" t="s">
        <v>57</v>
      </c>
      <c r="M8" s="42" t="s">
        <v>58</v>
      </c>
      <c r="N8" s="42" t="s">
        <v>59</v>
      </c>
      <c r="O8" s="32"/>
      <c r="P8" s="32"/>
      <c r="Q8" s="42" t="s">
        <v>51</v>
      </c>
      <c r="R8" s="42" t="s">
        <v>52</v>
      </c>
      <c r="S8" s="42"/>
      <c r="T8" s="42" t="s">
        <v>51</v>
      </c>
      <c r="U8" s="42" t="s">
        <v>53</v>
      </c>
      <c r="V8" s="42"/>
      <c r="W8" s="42" t="s">
        <v>51</v>
      </c>
      <c r="X8" s="42" t="s">
        <v>54</v>
      </c>
      <c r="Y8" s="42" t="s">
        <v>55</v>
      </c>
      <c r="Z8" s="42" t="s">
        <v>56</v>
      </c>
      <c r="AA8" s="42" t="s">
        <v>57</v>
      </c>
      <c r="AB8" s="42" t="s">
        <v>58</v>
      </c>
      <c r="AC8" s="42" t="s">
        <v>59</v>
      </c>
      <c r="AD8" s="32"/>
      <c r="AE8" s="39"/>
      <c r="AF8" s="39"/>
      <c r="AG8" s="39"/>
      <c r="AH8" s="39"/>
      <c r="AI8" s="39"/>
      <c r="AJ8" s="42" t="s">
        <v>60</v>
      </c>
      <c r="AK8" s="42" t="s">
        <v>68</v>
      </c>
      <c r="AL8" s="66" t="s">
        <v>61</v>
      </c>
      <c r="AM8" s="67" t="s">
        <v>62</v>
      </c>
      <c r="AN8" s="67" t="s">
        <v>69</v>
      </c>
    </row>
    <row r="9" ht="15.0" customHeight="1">
      <c r="A9" s="44" t="str">
        <f>AE9</f>
        <v>Renette Magro/Diane Fenech</v>
      </c>
      <c r="B9" s="45">
        <v>6.0</v>
      </c>
      <c r="C9" s="46">
        <f>IF(B9&gt;B11,1,0)</f>
        <v>1</v>
      </c>
      <c r="D9" s="47"/>
      <c r="E9" s="45">
        <v>6.0</v>
      </c>
      <c r="F9" s="46">
        <f>IF(E9&gt;E11,1,0)</f>
        <v>1</v>
      </c>
      <c r="G9" s="47"/>
      <c r="H9" s="48"/>
      <c r="I9" s="32">
        <f>IF(H9&gt;H11,1,0)</f>
        <v>0</v>
      </c>
      <c r="J9" s="32">
        <f>IF(B9="",0,1)</f>
        <v>1</v>
      </c>
      <c r="K9" s="32">
        <f>IF(C9+F9=2,3,IF(C9+F9=1,1,0))</f>
        <v>3</v>
      </c>
      <c r="L9" s="32">
        <f>IF(K9=3,3,IF(I9+K9=2,2,IF(K9=1,1,0)))</f>
        <v>3</v>
      </c>
      <c r="M9" s="32">
        <f>B9+E9</f>
        <v>12</v>
      </c>
      <c r="N9" s="32">
        <f>C9+F9+I9</f>
        <v>2</v>
      </c>
      <c r="O9" s="32"/>
      <c r="P9" s="44" t="str">
        <f>AE9</f>
        <v>Renette Magro/Diane Fenech</v>
      </c>
      <c r="Q9" s="45">
        <v>6.0</v>
      </c>
      <c r="R9" s="46">
        <f>IF(Q9&gt;Q11,1,0)</f>
        <v>1</v>
      </c>
      <c r="S9" s="47"/>
      <c r="T9" s="45">
        <v>6.0</v>
      </c>
      <c r="U9" s="46">
        <f>IF(T9&gt;T11,1,0)</f>
        <v>1</v>
      </c>
      <c r="V9" s="47"/>
      <c r="W9" s="48"/>
      <c r="X9" s="32">
        <f>IF(W9&gt;W11,1,0)</f>
        <v>0</v>
      </c>
      <c r="Y9" s="32">
        <f>IF(Q9="",0,1)</f>
        <v>1</v>
      </c>
      <c r="Z9" s="32">
        <f>IF(R9+U9=2,3,IF(R9+U9=1,1,0))</f>
        <v>3</v>
      </c>
      <c r="AA9" s="32">
        <f>IF(Z9=3,3,IF(X9+Z9=2,2,IF(Z9=1,1,0)))</f>
        <v>3</v>
      </c>
      <c r="AB9" s="32">
        <f>Q9+T9</f>
        <v>12</v>
      </c>
      <c r="AC9" s="32">
        <f>R9+U9+X9</f>
        <v>2</v>
      </c>
      <c r="AD9" s="32"/>
      <c r="AE9" s="119" t="str">
        <f>'Players Ladies'!B6</f>
        <v>Renette Magro/Diane Fenech</v>
      </c>
      <c r="AF9" s="50">
        <f>J9+Y9+J13+Y13+J17</f>
        <v>4</v>
      </c>
      <c r="AG9" s="50">
        <f t="shared" ref="AG9:AI9" si="1">L9+AA9+L13+AA13+L17</f>
        <v>10</v>
      </c>
      <c r="AH9" s="50">
        <f t="shared" si="1"/>
        <v>46</v>
      </c>
      <c r="AI9" s="51">
        <f t="shared" si="1"/>
        <v>7</v>
      </c>
      <c r="AJ9" s="32"/>
      <c r="AK9" s="32"/>
      <c r="AL9" s="32"/>
      <c r="AM9" s="32"/>
      <c r="AN9" s="32"/>
    </row>
    <row r="10" ht="15.0" customHeight="1">
      <c r="A10" s="52" t="s">
        <v>63</v>
      </c>
      <c r="H10" s="53"/>
      <c r="I10" s="54"/>
      <c r="J10" s="32"/>
      <c r="K10" s="32"/>
      <c r="L10" s="32"/>
      <c r="M10" s="32"/>
      <c r="N10" s="32"/>
      <c r="O10" s="32"/>
      <c r="P10" s="52" t="s">
        <v>63</v>
      </c>
      <c r="W10" s="53"/>
      <c r="X10" s="54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9"/>
      <c r="AL10" s="39"/>
      <c r="AM10" s="32"/>
      <c r="AN10" s="32"/>
    </row>
    <row r="11" ht="15.0" customHeight="1">
      <c r="A11" s="55" t="str">
        <f>AE11</f>
        <v>Alexia Spiteri Willets/Pamela Cohen</v>
      </c>
      <c r="B11" s="45">
        <v>2.0</v>
      </c>
      <c r="C11" s="56">
        <f>IF(B11&gt;B9,1,0)</f>
        <v>0</v>
      </c>
      <c r="D11" s="57"/>
      <c r="E11" s="45">
        <v>0.0</v>
      </c>
      <c r="F11" s="56">
        <f>IF(E11&gt;E9,1,0)</f>
        <v>0</v>
      </c>
      <c r="G11" s="57"/>
      <c r="H11" s="48"/>
      <c r="I11" s="32">
        <f>IF(H11&gt;H9,1,0)</f>
        <v>0</v>
      </c>
      <c r="J11" s="32">
        <f>IF(B11="",0,1)</f>
        <v>1</v>
      </c>
      <c r="K11" s="32">
        <f>IF(C11+F11=2,3,IF(C11+F11=1,1,0))</f>
        <v>0</v>
      </c>
      <c r="L11" s="32">
        <f>IF(K11=3,3,IF(I11+K11=2,2,IF(K11=1,1,0)))</f>
        <v>0</v>
      </c>
      <c r="M11" s="32">
        <f>B11+E11</f>
        <v>2</v>
      </c>
      <c r="N11" s="32">
        <f>C11+F11+I11</f>
        <v>0</v>
      </c>
      <c r="O11" s="32"/>
      <c r="P11" s="55" t="str">
        <f>AE13</f>
        <v>Lucienne Meli Belizzi/Alison Muscat</v>
      </c>
      <c r="Q11" s="45">
        <v>0.0</v>
      </c>
      <c r="R11" s="56">
        <f>IF(Q11&gt;Q9,1,0)</f>
        <v>0</v>
      </c>
      <c r="S11" s="57"/>
      <c r="T11" s="45">
        <v>0.0</v>
      </c>
      <c r="U11" s="56">
        <f>IF(T11&gt;T9,1,0)</f>
        <v>0</v>
      </c>
      <c r="V11" s="57"/>
      <c r="W11" s="48"/>
      <c r="X11" s="32">
        <f>IF(W11&gt;W9,1,0)</f>
        <v>0</v>
      </c>
      <c r="Y11" s="32">
        <f>IF(Q11="",0,1)</f>
        <v>1</v>
      </c>
      <c r="Z11" s="32">
        <f>IF(R11+U11=2,3,IF(R11+U11=1,1,0))</f>
        <v>0</v>
      </c>
      <c r="AA11" s="32">
        <f>IF(Z11=3,3,IF(X11+Z11=2,2,IF(Z11=1,1,0)))</f>
        <v>0</v>
      </c>
      <c r="AB11" s="32">
        <f>Q11+T11</f>
        <v>0</v>
      </c>
      <c r="AC11" s="32">
        <f>R11+U11+X11</f>
        <v>0</v>
      </c>
      <c r="AD11" s="32"/>
      <c r="AE11" s="119" t="str">
        <f>'Players Ladies'!B7</f>
        <v>Alexia Spiteri Willets/Pamela Cohen</v>
      </c>
      <c r="AF11" s="50">
        <f>J11+Y25+J25+Y21+J21</f>
        <v>4</v>
      </c>
      <c r="AG11" s="50">
        <f t="shared" ref="AG11:AI11" si="2">L11+AA25+L25+AA21+L21</f>
        <v>6</v>
      </c>
      <c r="AH11" s="50">
        <f t="shared" si="2"/>
        <v>31</v>
      </c>
      <c r="AI11" s="51">
        <f t="shared" si="2"/>
        <v>4</v>
      </c>
      <c r="AJ11" s="39"/>
      <c r="AK11" s="39"/>
      <c r="AL11" s="39"/>
      <c r="AM11" s="32"/>
      <c r="AN11" s="32"/>
    </row>
    <row r="12" ht="15.0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9"/>
      <c r="AG12" s="39"/>
      <c r="AH12" s="39"/>
      <c r="AI12" s="39"/>
      <c r="AJ12" s="39"/>
      <c r="AK12" s="39"/>
      <c r="AL12" s="39"/>
      <c r="AM12" s="32"/>
      <c r="AN12" s="32"/>
    </row>
    <row r="13" ht="15.0" customHeight="1">
      <c r="A13" s="120" t="str">
        <f>AE9</f>
        <v>Renette Magro/Diane Fenech</v>
      </c>
      <c r="B13" s="121"/>
      <c r="C13" s="122">
        <f>IF(B13&gt;B15,1,0)</f>
        <v>0</v>
      </c>
      <c r="D13" s="123"/>
      <c r="E13" s="121"/>
      <c r="F13" s="122">
        <f>IF(E13&gt;E15,1,0)</f>
        <v>0</v>
      </c>
      <c r="G13" s="123"/>
      <c r="H13" s="121"/>
      <c r="I13" s="32">
        <f>IF(H13&gt;H15,1,0)</f>
        <v>0</v>
      </c>
      <c r="J13" s="32">
        <f>IF(B13="",0,1)</f>
        <v>0</v>
      </c>
      <c r="K13" s="32">
        <f>IF(C13+F13=2,3,IF(C13+F13=1,1,0))</f>
        <v>0</v>
      </c>
      <c r="L13" s="32">
        <f>IF(K13=3,3,IF(I13+K13=2,2,IF(K13=1,1,0)))</f>
        <v>0</v>
      </c>
      <c r="M13" s="32">
        <f>B13+E13</f>
        <v>0</v>
      </c>
      <c r="N13" s="32">
        <f>C13+F13+I13</f>
        <v>0</v>
      </c>
      <c r="O13" s="32"/>
      <c r="P13" s="44" t="str">
        <f>AE9</f>
        <v>Renette Magro/Diane Fenech</v>
      </c>
      <c r="Q13" s="45">
        <v>6.0</v>
      </c>
      <c r="R13" s="46">
        <f>IF(Q13&gt;Q15,1,0)</f>
        <v>1</v>
      </c>
      <c r="S13" s="47"/>
      <c r="T13" s="45">
        <v>4.0</v>
      </c>
      <c r="U13" s="46">
        <f>IF(T13&gt;T15,1,0)</f>
        <v>0</v>
      </c>
      <c r="V13" s="47"/>
      <c r="W13" s="45">
        <v>6.0</v>
      </c>
      <c r="X13" s="32">
        <f>IF(W13&gt;W15,1,0)</f>
        <v>0</v>
      </c>
      <c r="Y13" s="32">
        <f>IF(Q13="",0,1)</f>
        <v>1</v>
      </c>
      <c r="Z13" s="32">
        <f>IF(R13+U13=2,3,IF(R13+U13=1,1,0))</f>
        <v>1</v>
      </c>
      <c r="AA13" s="32">
        <f>IF(Z13=3,3,IF(X13+Z13=2,2,IF(Z13=1,1,0)))</f>
        <v>1</v>
      </c>
      <c r="AB13" s="32">
        <f>Q13+T13</f>
        <v>10</v>
      </c>
      <c r="AC13" s="32">
        <f>R13+U13+X13</f>
        <v>1</v>
      </c>
      <c r="AD13" s="32"/>
      <c r="AE13" s="119" t="str">
        <f>'Players Ladies'!B8</f>
        <v>Lucienne Meli Belizzi/Alison Muscat</v>
      </c>
      <c r="AF13" s="50">
        <f>Y29+Y11+Y33+J33+J23</f>
        <v>4</v>
      </c>
      <c r="AG13" s="50">
        <f t="shared" ref="AG13:AI13" si="3">AA29+AA11+AA33+L33+L23</f>
        <v>0</v>
      </c>
      <c r="AH13" s="50">
        <f t="shared" si="3"/>
        <v>9</v>
      </c>
      <c r="AI13" s="51">
        <f t="shared" si="3"/>
        <v>0</v>
      </c>
      <c r="AJ13" s="39"/>
      <c r="AK13" s="39"/>
      <c r="AL13" s="39"/>
      <c r="AM13" s="32"/>
      <c r="AN13" s="32"/>
    </row>
    <row r="14" ht="15.0" customHeight="1">
      <c r="A14" s="124" t="s">
        <v>63</v>
      </c>
      <c r="H14" s="53"/>
      <c r="I14" s="54"/>
      <c r="J14" s="32"/>
      <c r="K14" s="32"/>
      <c r="L14" s="32"/>
      <c r="M14" s="32"/>
      <c r="N14" s="32"/>
      <c r="O14" s="32"/>
      <c r="P14" s="52" t="s">
        <v>63</v>
      </c>
      <c r="W14" s="53"/>
      <c r="X14" s="54"/>
      <c r="Y14" s="32"/>
      <c r="Z14" s="32"/>
      <c r="AA14" s="32"/>
      <c r="AB14" s="32"/>
      <c r="AC14" s="32"/>
      <c r="AD14" s="32"/>
      <c r="AE14" s="32"/>
      <c r="AF14" s="39"/>
      <c r="AG14" s="39"/>
      <c r="AH14" s="39"/>
      <c r="AI14" s="39"/>
      <c r="AJ14" s="39"/>
      <c r="AK14" s="39"/>
      <c r="AL14" s="39"/>
      <c r="AM14" s="32"/>
      <c r="AN14" s="32"/>
    </row>
    <row r="15" ht="15.0" customHeight="1">
      <c r="A15" s="125" t="str">
        <f>AE15</f>
        <v>Martina Cuschieri/Elaine Grech</v>
      </c>
      <c r="B15" s="121"/>
      <c r="C15" s="126">
        <f>IF(B15&gt;B13,1,0)</f>
        <v>0</v>
      </c>
      <c r="D15" s="127"/>
      <c r="E15" s="121"/>
      <c r="F15" s="126">
        <f>IF(E15&gt;E13,1,0)</f>
        <v>0</v>
      </c>
      <c r="G15" s="127"/>
      <c r="H15" s="121"/>
      <c r="I15" s="32">
        <f>IF(H15&gt;H13,1,0)</f>
        <v>0</v>
      </c>
      <c r="J15" s="32">
        <f>IF(B15="",0,1)</f>
        <v>0</v>
      </c>
      <c r="K15" s="32">
        <f>IF(C15+F15=2,3,IF(C15+F15=1,1,0))</f>
        <v>0</v>
      </c>
      <c r="L15" s="32">
        <f>IF(K15=3,3,IF(I15+K15=2,2,IF(K15=1,1,0)))</f>
        <v>0</v>
      </c>
      <c r="M15" s="32">
        <f>B15+E15</f>
        <v>0</v>
      </c>
      <c r="N15" s="32">
        <f>C15+F15+I15</f>
        <v>0</v>
      </c>
      <c r="O15" s="32"/>
      <c r="P15" s="55" t="str">
        <f>AE17</f>
        <v>Kim Fava/Annmarie Mangion</v>
      </c>
      <c r="Q15" s="45">
        <v>3.0</v>
      </c>
      <c r="R15" s="56">
        <f>IF(Q15&gt;Q13,1,0)</f>
        <v>0</v>
      </c>
      <c r="S15" s="57"/>
      <c r="T15" s="45">
        <v>6.0</v>
      </c>
      <c r="U15" s="56">
        <f>IF(T15&gt;T13,1,0)</f>
        <v>1</v>
      </c>
      <c r="V15" s="57"/>
      <c r="W15" s="45">
        <v>10.0</v>
      </c>
      <c r="X15" s="32">
        <f>IF(W15&gt;W13,1,0)</f>
        <v>1</v>
      </c>
      <c r="Y15" s="32">
        <f>IF(Q15="",0,1)</f>
        <v>1</v>
      </c>
      <c r="Z15" s="32">
        <f>IF(R15+U15=2,3,IF(R15+U15=1,1,0))</f>
        <v>1</v>
      </c>
      <c r="AA15" s="32">
        <f>IF(Z15=3,3,IF(X15+Z15=2,2,IF(Z15=1,1,0)))</f>
        <v>2</v>
      </c>
      <c r="AB15" s="32">
        <f>Q15+T15</f>
        <v>9</v>
      </c>
      <c r="AC15" s="32">
        <f>R15+U15+X15</f>
        <v>2</v>
      </c>
      <c r="AD15" s="32"/>
      <c r="AE15" s="119" t="str">
        <f>'Players Ladies'!B9</f>
        <v>Martina Cuschieri/Elaine Grech</v>
      </c>
      <c r="AF15" s="128">
        <f>Y31+J37+J15+Y23+J29</f>
        <v>0</v>
      </c>
      <c r="AG15" s="128">
        <f t="shared" ref="AG15:AI15" si="4">AA31+L37+L15+AA23+L29</f>
        <v>0</v>
      </c>
      <c r="AH15" s="128">
        <f t="shared" si="4"/>
        <v>0</v>
      </c>
      <c r="AI15" s="129">
        <f t="shared" si="4"/>
        <v>0</v>
      </c>
      <c r="AJ15" s="39"/>
      <c r="AK15" s="39"/>
      <c r="AL15" s="39"/>
      <c r="AM15" s="32"/>
      <c r="AN15" s="32"/>
    </row>
    <row r="17" ht="15.0" customHeight="1">
      <c r="A17" s="44" t="str">
        <f>AE9</f>
        <v>Renette Magro/Diane Fenech</v>
      </c>
      <c r="B17" s="45">
        <v>6.0</v>
      </c>
      <c r="C17" s="46">
        <f>IF(B17&gt;B19,1,0)</f>
        <v>1</v>
      </c>
      <c r="D17" s="47"/>
      <c r="E17" s="45">
        <v>6.0</v>
      </c>
      <c r="F17" s="46">
        <f>IF(E17&gt;E19,1,0)</f>
        <v>1</v>
      </c>
      <c r="G17" s="47"/>
      <c r="H17" s="48"/>
      <c r="I17" s="32">
        <f>IF(H17&gt;H19,1,0)</f>
        <v>0</v>
      </c>
      <c r="J17" s="32">
        <f>IF(B17="",0,1)</f>
        <v>1</v>
      </c>
      <c r="K17" s="32">
        <f>IF(C17+F17=2,3,IF(C17+F17=1,1,0))</f>
        <v>3</v>
      </c>
      <c r="L17" s="32">
        <f>IF(K17=3,3,IF(I17+K17=2,2,IF(K17=1,1,0)))</f>
        <v>3</v>
      </c>
      <c r="M17" s="32">
        <f>B17+E17</f>
        <v>12</v>
      </c>
      <c r="N17" s="32">
        <f>C17+F17+I17</f>
        <v>2</v>
      </c>
      <c r="O17" s="32"/>
      <c r="P17" s="44" t="str">
        <f>AE17</f>
        <v>Kim Fava/Annmarie Mangion</v>
      </c>
      <c r="Q17" s="45">
        <v>6.0</v>
      </c>
      <c r="R17" s="46">
        <f>IF(Q17&gt;Q19,1,0)</f>
        <v>1</v>
      </c>
      <c r="S17" s="47"/>
      <c r="T17" s="45">
        <v>6.0</v>
      </c>
      <c r="U17" s="46">
        <f>IF(T17&gt;T19,1,0)</f>
        <v>1</v>
      </c>
      <c r="V17" s="47"/>
      <c r="W17" s="48"/>
      <c r="X17" s="32">
        <f>IF(W17&gt;W19,1,0)</f>
        <v>0</v>
      </c>
      <c r="Y17" s="32">
        <f>IF(Q17="",0,1)</f>
        <v>1</v>
      </c>
      <c r="Z17" s="32">
        <f>IF(R17+U17=2,3,IF(R17+U17=1,1,0))</f>
        <v>3</v>
      </c>
      <c r="AA17" s="32">
        <f>IF(Z17=3,3,IF(X17+Z17=2,2,IF(Z17=1,1,0)))</f>
        <v>3</v>
      </c>
      <c r="AB17" s="32">
        <f>Q17+T17</f>
        <v>12</v>
      </c>
      <c r="AC17" s="32">
        <f>R17+U17+X17</f>
        <v>2</v>
      </c>
      <c r="AD17" s="32"/>
      <c r="AE17" s="119" t="str">
        <f>'Players Ladies'!B10</f>
        <v>Kim Fava/Annmarie Mangion</v>
      </c>
      <c r="AF17" s="50">
        <f>Y17+J39+J27+Y15+J35</f>
        <v>4</v>
      </c>
      <c r="AG17" s="50">
        <f t="shared" ref="AG17:AI17" si="5">AA17+L39+L27+AA15+L35</f>
        <v>11</v>
      </c>
      <c r="AH17" s="50">
        <f t="shared" si="5"/>
        <v>45</v>
      </c>
      <c r="AI17" s="51">
        <f t="shared" si="5"/>
        <v>8</v>
      </c>
    </row>
    <row r="18" ht="15.0" customHeight="1">
      <c r="A18" s="52" t="s">
        <v>63</v>
      </c>
      <c r="H18" s="53"/>
      <c r="I18" s="54"/>
      <c r="J18" s="32"/>
      <c r="K18" s="32"/>
      <c r="L18" s="32"/>
      <c r="M18" s="32"/>
      <c r="N18" s="32"/>
      <c r="O18" s="32"/>
      <c r="P18" s="52" t="s">
        <v>63</v>
      </c>
      <c r="W18" s="53"/>
      <c r="X18" s="54"/>
      <c r="Y18" s="32"/>
      <c r="Z18" s="32"/>
      <c r="AA18" s="32"/>
      <c r="AB18" s="32"/>
      <c r="AC18" s="32"/>
      <c r="AD18" s="32"/>
      <c r="AE18" s="32"/>
      <c r="AF18" s="39"/>
      <c r="AG18" s="39"/>
      <c r="AH18" s="39"/>
      <c r="AI18" s="39"/>
    </row>
    <row r="19" ht="15.0" customHeight="1">
      <c r="A19" s="55" t="str">
        <f>AE19</f>
        <v>Kirsty Mercieca/Christina Bonett</v>
      </c>
      <c r="B19" s="45">
        <v>3.0</v>
      </c>
      <c r="C19" s="56">
        <f>IF(B19&gt;B17,1,0)</f>
        <v>0</v>
      </c>
      <c r="D19" s="57"/>
      <c r="E19" s="45">
        <v>3.0</v>
      </c>
      <c r="F19" s="56">
        <f>IF(E19&gt;E17,1,0)</f>
        <v>0</v>
      </c>
      <c r="G19" s="57"/>
      <c r="H19" s="48"/>
      <c r="I19" s="32">
        <f>IF(H19&gt;H17,1,0)</f>
        <v>0</v>
      </c>
      <c r="J19" s="32">
        <f>IF(B19="",0,1)</f>
        <v>1</v>
      </c>
      <c r="K19" s="32">
        <f>IF(C19+F19=2,3,IF(C19+F19=1,1,0))</f>
        <v>0</v>
      </c>
      <c r="L19" s="32">
        <f>IF(K19=3,3,IF(I19+K19=2,2,IF(K19=1,1,0)))</f>
        <v>0</v>
      </c>
      <c r="M19" s="32">
        <f>B19+E19</f>
        <v>6</v>
      </c>
      <c r="N19" s="32">
        <f>C19+F19+I19</f>
        <v>0</v>
      </c>
      <c r="O19" s="32"/>
      <c r="P19" s="55" t="str">
        <f>AE19</f>
        <v>Kirsty Mercieca/Christina Bonett</v>
      </c>
      <c r="Q19" s="45">
        <v>0.0</v>
      </c>
      <c r="R19" s="56">
        <f>IF(Q19&gt;Q17,1,0)</f>
        <v>0</v>
      </c>
      <c r="S19" s="57"/>
      <c r="T19" s="45">
        <v>0.0</v>
      </c>
      <c r="U19" s="56">
        <f>IF(T19&gt;T17,1,0)</f>
        <v>0</v>
      </c>
      <c r="V19" s="57"/>
      <c r="W19" s="48"/>
      <c r="X19" s="32">
        <f>IF(W19&gt;W17,1,0)</f>
        <v>0</v>
      </c>
      <c r="Y19" s="32">
        <f>IF(Q19="",0,1)</f>
        <v>1</v>
      </c>
      <c r="Z19" s="32">
        <f>IF(R19+U19=2,3,IF(R19+U19=1,1,0))</f>
        <v>0</v>
      </c>
      <c r="AA19" s="32">
        <f>IF(Z19=3,3,IF(X19+Z19=2,2,IF(Z19=1,1,0)))</f>
        <v>0</v>
      </c>
      <c r="AB19" s="32">
        <f>Q19+T19</f>
        <v>0</v>
      </c>
      <c r="AC19" s="32">
        <f>R19+U19+X19</f>
        <v>0</v>
      </c>
      <c r="AD19" s="32"/>
      <c r="AE19" s="119" t="str">
        <f>'Players Ladies'!B11</f>
        <v>Kirsty Mercieca/Christina Bonett</v>
      </c>
      <c r="AF19" s="50">
        <f>Y19+Y27+Y35+J19+J31</f>
        <v>4</v>
      </c>
      <c r="AG19" s="50">
        <f t="shared" ref="AG19:AI19" si="6">AA19+AA27+AA35+L19+L31</f>
        <v>3</v>
      </c>
      <c r="AH19" s="50">
        <f t="shared" si="6"/>
        <v>27</v>
      </c>
      <c r="AI19" s="51">
        <f t="shared" si="6"/>
        <v>2</v>
      </c>
    </row>
    <row r="20" ht="15.0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</row>
    <row r="21" ht="15.0" customHeight="1">
      <c r="A21" s="44" t="str">
        <f>AE11</f>
        <v>Alexia Spiteri Willets/Pamela Cohen</v>
      </c>
      <c r="B21" s="45">
        <v>6.0</v>
      </c>
      <c r="C21" s="46">
        <f>IF(B21&gt;B23,1,0)</f>
        <v>1</v>
      </c>
      <c r="D21" s="47"/>
      <c r="E21" s="45">
        <v>6.0</v>
      </c>
      <c r="F21" s="46">
        <f>IF(E21&gt;E23,1,0)</f>
        <v>1</v>
      </c>
      <c r="G21" s="47"/>
      <c r="H21" s="48"/>
      <c r="I21" s="32">
        <f>IF(H21&gt;H23,1,0)</f>
        <v>0</v>
      </c>
      <c r="J21" s="32">
        <f>IF(B21="",0,1)</f>
        <v>1</v>
      </c>
      <c r="K21" s="32">
        <f>IF(C21+F21=2,3,IF(C21+F21=1,1,0))</f>
        <v>3</v>
      </c>
      <c r="L21" s="32">
        <f>IF(K21=3,3,IF(I21+K21=2,2,IF(K21=1,1,0)))</f>
        <v>3</v>
      </c>
      <c r="M21" s="32">
        <f>B21+E21</f>
        <v>12</v>
      </c>
      <c r="N21" s="32">
        <f>C21+F21+I21</f>
        <v>2</v>
      </c>
      <c r="O21" s="32"/>
      <c r="P21" s="120" t="str">
        <f>AE11</f>
        <v>Alexia Spiteri Willets/Pamela Cohen</v>
      </c>
      <c r="Q21" s="121"/>
      <c r="R21" s="122">
        <f>IF(Q21&gt;Q23,1,0)</f>
        <v>0</v>
      </c>
      <c r="S21" s="123"/>
      <c r="T21" s="121"/>
      <c r="U21" s="122">
        <f>IF(T21&gt;T23,1,0)</f>
        <v>0</v>
      </c>
      <c r="V21" s="123"/>
      <c r="W21" s="121"/>
      <c r="X21" s="32">
        <f>IF(W21&gt;W23,1,0)</f>
        <v>0</v>
      </c>
      <c r="Y21" s="32">
        <f>IF(Q21="",0,1)</f>
        <v>0</v>
      </c>
      <c r="Z21" s="32">
        <f>IF(R21+U21=2,3,IF(R21+U21=1,1,0))</f>
        <v>0</v>
      </c>
      <c r="AA21" s="32">
        <f>IF(Z21=3,3,IF(X21+Z21=2,2,IF(Z21=1,1,0)))</f>
        <v>0</v>
      </c>
      <c r="AB21" s="32">
        <f>Q21+T21</f>
        <v>0</v>
      </c>
      <c r="AC21" s="32">
        <f>R21+U21+X21</f>
        <v>0</v>
      </c>
      <c r="AD21" s="32"/>
      <c r="AE21" s="118" t="s">
        <v>64</v>
      </c>
      <c r="AF21" s="35"/>
      <c r="AG21" s="35"/>
      <c r="AH21" s="35"/>
      <c r="AI21" s="36"/>
    </row>
    <row r="22" ht="15.0" customHeight="1">
      <c r="A22" s="52" t="s">
        <v>63</v>
      </c>
      <c r="H22" s="53"/>
      <c r="I22" s="54"/>
      <c r="J22" s="32"/>
      <c r="K22" s="32"/>
      <c r="L22" s="32"/>
      <c r="M22" s="32"/>
      <c r="N22" s="32"/>
      <c r="O22" s="32"/>
      <c r="P22" s="124" t="s">
        <v>63</v>
      </c>
      <c r="W22" s="53"/>
      <c r="X22" s="54"/>
      <c r="Y22" s="32"/>
      <c r="Z22" s="32"/>
      <c r="AA22" s="32"/>
      <c r="AB22" s="32"/>
      <c r="AC22" s="32"/>
      <c r="AD22" s="32"/>
      <c r="AE22" s="60" t="s">
        <v>86</v>
      </c>
      <c r="AF22" s="35"/>
      <c r="AG22" s="35"/>
      <c r="AH22" s="35"/>
      <c r="AI22" s="36"/>
    </row>
    <row r="23" ht="15.0" customHeight="1">
      <c r="A23" s="55" t="str">
        <f>AE13</f>
        <v>Lucienne Meli Belizzi/Alison Muscat</v>
      </c>
      <c r="B23" s="45">
        <v>0.0</v>
      </c>
      <c r="C23" s="56">
        <f>IF(B23&gt;B21,1,0)</f>
        <v>0</v>
      </c>
      <c r="D23" s="57"/>
      <c r="E23" s="45">
        <v>4.0</v>
      </c>
      <c r="F23" s="56">
        <f>IF(E23&gt;E21,1,0)</f>
        <v>0</v>
      </c>
      <c r="G23" s="57"/>
      <c r="H23" s="48"/>
      <c r="I23" s="32">
        <f>IF(H23&gt;H21,1,0)</f>
        <v>0</v>
      </c>
      <c r="J23" s="32">
        <f>IF(B23="",0,1)</f>
        <v>1</v>
      </c>
      <c r="K23" s="32">
        <f>IF(C23+F23=2,3,IF(C23+F23=1,1,0))</f>
        <v>0</v>
      </c>
      <c r="L23" s="32">
        <f>IF(K23=3,3,IF(I23+K23=2,2,IF(K23=1,1,0)))</f>
        <v>0</v>
      </c>
      <c r="M23" s="32">
        <f>B23+E23</f>
        <v>4</v>
      </c>
      <c r="N23" s="32">
        <f>C23+F23+I23</f>
        <v>0</v>
      </c>
      <c r="O23" s="32"/>
      <c r="P23" s="125" t="str">
        <f>AE15</f>
        <v>Martina Cuschieri/Elaine Grech</v>
      </c>
      <c r="Q23" s="121"/>
      <c r="R23" s="126">
        <f>IF(Q23&gt;Q21,1,0)</f>
        <v>0</v>
      </c>
      <c r="S23" s="127"/>
      <c r="T23" s="121"/>
      <c r="U23" s="126">
        <f>IF(T23&gt;T21,1,0)</f>
        <v>0</v>
      </c>
      <c r="V23" s="127"/>
      <c r="W23" s="121"/>
      <c r="X23" s="32">
        <f>IF(W23&gt;W21,1,0)</f>
        <v>0</v>
      </c>
      <c r="Y23" s="32">
        <f>IF(Q23="",0,1)</f>
        <v>0</v>
      </c>
      <c r="Z23" s="32">
        <f>IF(R23+U23=2,3,IF(R23+U23=1,1,0))</f>
        <v>0</v>
      </c>
      <c r="AA23" s="32">
        <f>IF(Z23=3,3,IF(X23+Z23=2,2,IF(Z23=1,1,0)))</f>
        <v>0</v>
      </c>
      <c r="AB23" s="32">
        <f>Q23+T23</f>
        <v>0</v>
      </c>
      <c r="AC23" s="32">
        <f>R23+U23+X23</f>
        <v>0</v>
      </c>
      <c r="AD23" s="32"/>
      <c r="AE23" s="130" t="s">
        <v>65</v>
      </c>
      <c r="AF23" s="35"/>
      <c r="AG23" s="35"/>
      <c r="AH23" s="35"/>
      <c r="AI23" s="36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70" t="s">
        <v>82</v>
      </c>
    </row>
    <row r="25" ht="15.0" customHeight="1">
      <c r="A25" s="44" t="str">
        <f>AE11</f>
        <v>Alexia Spiteri Willets/Pamela Cohen</v>
      </c>
      <c r="B25" s="45">
        <v>0.0</v>
      </c>
      <c r="C25" s="46">
        <f>IF(B25&gt;B27,1,0)</f>
        <v>0</v>
      </c>
      <c r="D25" s="47"/>
      <c r="E25" s="45">
        <v>4.0</v>
      </c>
      <c r="F25" s="46">
        <f>IF(E25&gt;E27,1,0)</f>
        <v>0</v>
      </c>
      <c r="G25" s="47"/>
      <c r="H25" s="48"/>
      <c r="I25" s="32">
        <f>IF(H25&gt;H27,1,0)</f>
        <v>0</v>
      </c>
      <c r="J25" s="32">
        <f>IF(B25="",0,1)</f>
        <v>1</v>
      </c>
      <c r="K25" s="32">
        <f>IF(C25+F25=2,3,IF(C25+F25=1,1,0))</f>
        <v>0</v>
      </c>
      <c r="L25" s="32">
        <f>IF(K25=3,3,IF(I25+K25=2,2,IF(K25=1,1,0)))</f>
        <v>0</v>
      </c>
      <c r="M25" s="32">
        <f>B25+E25</f>
        <v>4</v>
      </c>
      <c r="N25" s="32">
        <f>C25+F25+I25</f>
        <v>0</v>
      </c>
      <c r="O25" s="32"/>
      <c r="P25" s="44" t="str">
        <f>AE11</f>
        <v>Alexia Spiteri Willets/Pamela Cohen</v>
      </c>
      <c r="Q25" s="45">
        <v>7.0</v>
      </c>
      <c r="R25" s="46">
        <f>IF(Q25&gt;Q27,1,0)</f>
        <v>1</v>
      </c>
      <c r="S25" s="47"/>
      <c r="T25" s="45">
        <v>6.0</v>
      </c>
      <c r="U25" s="46">
        <f>IF(T25&gt;T27,1,0)</f>
        <v>1</v>
      </c>
      <c r="V25" s="47"/>
      <c r="W25" s="48"/>
      <c r="X25" s="32">
        <f>IF(W25&gt;W27,1,0)</f>
        <v>0</v>
      </c>
      <c r="Y25" s="32">
        <f>IF(Q25="",0,1)</f>
        <v>1</v>
      </c>
      <c r="Z25" s="32">
        <f>IF(R25+U25=2,3,IF(R25+U25=1,1,0))</f>
        <v>3</v>
      </c>
      <c r="AA25" s="32">
        <f>IF(Z25=3,3,IF(X25+Z25=2,2,IF(Z25=1,1,0)))</f>
        <v>3</v>
      </c>
      <c r="AB25" s="32">
        <f>Q25+T25</f>
        <v>13</v>
      </c>
      <c r="AC25" s="32">
        <f>R25+U25+X25</f>
        <v>2</v>
      </c>
      <c r="AD25" s="32"/>
      <c r="AE25" s="32"/>
      <c r="AF25" s="32"/>
      <c r="AG25" s="32"/>
      <c r="AH25" s="32"/>
      <c r="AI25" s="32"/>
    </row>
    <row r="26" ht="15.0" customHeight="1">
      <c r="A26" s="52" t="s">
        <v>63</v>
      </c>
      <c r="H26" s="53"/>
      <c r="I26" s="54"/>
      <c r="J26" s="32"/>
      <c r="K26" s="32"/>
      <c r="L26" s="32"/>
      <c r="M26" s="32"/>
      <c r="N26" s="32"/>
      <c r="O26" s="32"/>
      <c r="P26" s="52" t="s">
        <v>63</v>
      </c>
      <c r="W26" s="53"/>
      <c r="X26" s="54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</row>
    <row r="27" ht="15.0" customHeight="1">
      <c r="A27" s="55" t="str">
        <f>AE17</f>
        <v>Kim Fava/Annmarie Mangion</v>
      </c>
      <c r="B27" s="45">
        <v>6.0</v>
      </c>
      <c r="C27" s="56">
        <f>IF(B27&gt;B25,1,0)</f>
        <v>1</v>
      </c>
      <c r="D27" s="57"/>
      <c r="E27" s="45">
        <v>6.0</v>
      </c>
      <c r="F27" s="56">
        <f>IF(E27&gt;E25,1,0)</f>
        <v>1</v>
      </c>
      <c r="G27" s="57"/>
      <c r="H27" s="48"/>
      <c r="I27" s="32">
        <f>IF(H27&gt;H25,1,0)</f>
        <v>0</v>
      </c>
      <c r="J27" s="32">
        <f>IF(B27="",0,1)</f>
        <v>1</v>
      </c>
      <c r="K27" s="32">
        <f>IF(C27+F27=2,3,IF(C27+F27=1,1,0))</f>
        <v>3</v>
      </c>
      <c r="L27" s="32">
        <f>IF(K27=3,3,IF(I27+K27=2,2,IF(K27=1,1,0)))</f>
        <v>3</v>
      </c>
      <c r="M27" s="32">
        <f>B27+E27</f>
        <v>12</v>
      </c>
      <c r="N27" s="32">
        <f>C27+F27+I27</f>
        <v>2</v>
      </c>
      <c r="O27" s="32"/>
      <c r="P27" s="55" t="str">
        <f>AE19</f>
        <v>Kirsty Mercieca/Christina Bonett</v>
      </c>
      <c r="Q27" s="45">
        <v>5.0</v>
      </c>
      <c r="R27" s="56">
        <f>IF(Q27&gt;Q25,1,0)</f>
        <v>0</v>
      </c>
      <c r="S27" s="57"/>
      <c r="T27" s="45">
        <v>4.0</v>
      </c>
      <c r="U27" s="56">
        <f>IF(T27&gt;T25,1,0)</f>
        <v>0</v>
      </c>
      <c r="V27" s="57"/>
      <c r="W27" s="48"/>
      <c r="X27" s="32">
        <f>IF(W27&gt;W25,1,0)</f>
        <v>0</v>
      </c>
      <c r="Y27" s="32">
        <f>IF(Q27="",0,1)</f>
        <v>1</v>
      </c>
      <c r="Z27" s="32">
        <f>IF(R27+U27=2,3,IF(R27+U27=1,1,0))</f>
        <v>0</v>
      </c>
      <c r="AA27" s="32">
        <f>IF(Z27=3,3,IF(X27+Z27=2,2,IF(Z27=1,1,0)))</f>
        <v>0</v>
      </c>
      <c r="AB27" s="32">
        <f>Q27+T27</f>
        <v>9</v>
      </c>
      <c r="AC27" s="32">
        <f>R27+U27+X27</f>
        <v>0</v>
      </c>
      <c r="AD27" s="32"/>
      <c r="AE27" s="32"/>
      <c r="AF27" s="32"/>
      <c r="AG27" s="32"/>
      <c r="AH27" s="32"/>
      <c r="AI27" s="32"/>
    </row>
    <row r="28" ht="15.0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</row>
    <row r="29" ht="15.0" customHeight="1">
      <c r="A29" s="120" t="str">
        <f>AE15</f>
        <v>Martina Cuschieri/Elaine Grech</v>
      </c>
      <c r="B29" s="121"/>
      <c r="C29" s="122">
        <f>IF(B29&gt;B31,1,0)</f>
        <v>0</v>
      </c>
      <c r="D29" s="123"/>
      <c r="E29" s="121"/>
      <c r="F29" s="122">
        <f>IF(E29&gt;E31,1,0)</f>
        <v>0</v>
      </c>
      <c r="G29" s="123"/>
      <c r="H29" s="121"/>
      <c r="I29" s="32">
        <f>IF(H29&gt;H31,1,0)</f>
        <v>0</v>
      </c>
      <c r="J29" s="32">
        <f>IF(B29="",0,1)</f>
        <v>0</v>
      </c>
      <c r="K29" s="32">
        <f>IF(C29+F29=2,3,IF(C29+F29=1,1,0))</f>
        <v>0</v>
      </c>
      <c r="L29" s="32">
        <f>IF(K29=3,3,IF(I29+K29=2,2,IF(K29=1,1,0)))</f>
        <v>0</v>
      </c>
      <c r="M29" s="32">
        <f>B29+E29</f>
        <v>0</v>
      </c>
      <c r="N29" s="32">
        <f>C29+F29+I29</f>
        <v>0</v>
      </c>
      <c r="O29" s="32"/>
      <c r="P29" s="120" t="str">
        <f>AE13</f>
        <v>Lucienne Meli Belizzi/Alison Muscat</v>
      </c>
      <c r="Q29" s="121"/>
      <c r="R29" s="122">
        <f>IF(Q29&gt;Q31,1,0)</f>
        <v>0</v>
      </c>
      <c r="S29" s="123"/>
      <c r="T29" s="121"/>
      <c r="U29" s="122">
        <f>IF(T29&gt;T31,1,0)</f>
        <v>0</v>
      </c>
      <c r="V29" s="123"/>
      <c r="W29" s="121"/>
      <c r="X29" s="32">
        <f>IF(W29&gt;W31,1,0)</f>
        <v>0</v>
      </c>
      <c r="Y29" s="32">
        <f>IF(Q29="",0,1)</f>
        <v>0</v>
      </c>
      <c r="Z29" s="32">
        <f>IF(R29+U29=2,3,IF(R29+U29=1,1,0))</f>
        <v>0</v>
      </c>
      <c r="AA29" s="32">
        <f>IF(Z29=3,3,IF(X29+Z29=2,2,IF(Z29=1,1,0)))</f>
        <v>0</v>
      </c>
      <c r="AB29" s="32">
        <f>Q29+T29</f>
        <v>0</v>
      </c>
      <c r="AC29" s="32">
        <f>R29+U29+X29</f>
        <v>0</v>
      </c>
      <c r="AD29" s="32"/>
      <c r="AE29" s="32"/>
      <c r="AF29" s="32"/>
      <c r="AG29" s="32"/>
      <c r="AH29" s="32"/>
      <c r="AI29" s="32"/>
    </row>
    <row r="30" ht="15.0" customHeight="1">
      <c r="A30" s="124" t="s">
        <v>63</v>
      </c>
      <c r="H30" s="53"/>
      <c r="I30" s="54"/>
      <c r="J30" s="32"/>
      <c r="K30" s="32"/>
      <c r="L30" s="32"/>
      <c r="M30" s="32"/>
      <c r="N30" s="32"/>
      <c r="O30" s="32"/>
      <c r="P30" s="124" t="s">
        <v>63</v>
      </c>
      <c r="W30" s="53"/>
      <c r="X30" s="54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</row>
    <row r="31" ht="15.0" customHeight="1">
      <c r="A31" s="125" t="str">
        <f>AE19</f>
        <v>Kirsty Mercieca/Christina Bonett</v>
      </c>
      <c r="B31" s="121"/>
      <c r="C31" s="126">
        <f>IF(B31&gt;B29,1,0)</f>
        <v>0</v>
      </c>
      <c r="D31" s="127"/>
      <c r="E31" s="121"/>
      <c r="F31" s="126">
        <f>IF(E31&gt;E29,1,0)</f>
        <v>0</v>
      </c>
      <c r="G31" s="127"/>
      <c r="H31" s="121"/>
      <c r="I31" s="32">
        <f>IF(H31&gt;H29,1,0)</f>
        <v>0</v>
      </c>
      <c r="J31" s="32">
        <f>IF(B31="",0,1)</f>
        <v>0</v>
      </c>
      <c r="K31" s="32">
        <f>IF(C31+F31=2,3,IF(C31+F31=1,1,0))</f>
        <v>0</v>
      </c>
      <c r="L31" s="32">
        <f>IF(K31=3,3,IF(I31+K31=2,2,IF(K31=1,1,0)))</f>
        <v>0</v>
      </c>
      <c r="M31" s="32">
        <f>B31+E31</f>
        <v>0</v>
      </c>
      <c r="N31" s="32">
        <f>C31+F31+I31</f>
        <v>0</v>
      </c>
      <c r="O31" s="32"/>
      <c r="P31" s="125" t="str">
        <f>AE15</f>
        <v>Martina Cuschieri/Elaine Grech</v>
      </c>
      <c r="Q31" s="121"/>
      <c r="R31" s="126">
        <f>IF(Q31&gt;Q29,1,0)</f>
        <v>0</v>
      </c>
      <c r="S31" s="127"/>
      <c r="T31" s="121"/>
      <c r="U31" s="126">
        <f>IF(T31&gt;T29,1,0)</f>
        <v>0</v>
      </c>
      <c r="V31" s="127"/>
      <c r="W31" s="121"/>
      <c r="X31" s="32">
        <f>IF(W31&gt;W29,1,0)</f>
        <v>0</v>
      </c>
      <c r="Y31" s="32">
        <f>IF(Q31="",0,1)</f>
        <v>0</v>
      </c>
      <c r="Z31" s="32">
        <f>IF(R31+U31=2,3,IF(R31+U31=1,1,0))</f>
        <v>0</v>
      </c>
      <c r="AA31" s="32">
        <f>IF(Z31=3,3,IF(X31+Z31=2,2,IF(Z31=1,1,0)))</f>
        <v>0</v>
      </c>
      <c r="AB31" s="32">
        <f>Q31+T31</f>
        <v>0</v>
      </c>
      <c r="AC31" s="32">
        <f>R31+U31+X31</f>
        <v>0</v>
      </c>
      <c r="AD31" s="32"/>
      <c r="AE31" s="32"/>
      <c r="AF31" s="32"/>
      <c r="AG31" s="32"/>
      <c r="AH31" s="32"/>
      <c r="AI31" s="32"/>
    </row>
    <row r="32" ht="15.75" customHeight="1"/>
    <row r="33" ht="15.0" customHeight="1">
      <c r="A33" s="44" t="str">
        <f>AE13</f>
        <v>Lucienne Meli Belizzi/Alison Muscat</v>
      </c>
      <c r="B33" s="45">
        <v>2.0</v>
      </c>
      <c r="C33" s="46">
        <f>IF(B33&gt;B35,1,0)</f>
        <v>0</v>
      </c>
      <c r="D33" s="47"/>
      <c r="E33" s="45">
        <v>0.0</v>
      </c>
      <c r="F33" s="46">
        <f>IF(E33&gt;E35,1,0)</f>
        <v>0</v>
      </c>
      <c r="G33" s="47"/>
      <c r="H33" s="48"/>
      <c r="I33" s="32">
        <f>IF(H33&gt;H35,1,0)</f>
        <v>0</v>
      </c>
      <c r="J33" s="32">
        <f>IF(B33="",0,1)</f>
        <v>1</v>
      </c>
      <c r="K33" s="32">
        <f>IF(C33+F33=2,3,IF(C33+F33=1,1,0))</f>
        <v>0</v>
      </c>
      <c r="L33" s="32">
        <f>IF(K33=3,3,IF(I33+K33=2,2,IF(K33=1,1,0)))</f>
        <v>0</v>
      </c>
      <c r="M33" s="32">
        <f>B33+E33</f>
        <v>2</v>
      </c>
      <c r="N33" s="32">
        <f>C33+F33+I33</f>
        <v>0</v>
      </c>
      <c r="O33" s="32"/>
      <c r="P33" s="44" t="str">
        <f>AE13</f>
        <v>Lucienne Meli Belizzi/Alison Muscat</v>
      </c>
      <c r="Q33" s="45">
        <v>2.0</v>
      </c>
      <c r="R33" s="46">
        <f>IF(Q33&gt;Q35,1,0)</f>
        <v>0</v>
      </c>
      <c r="S33" s="47"/>
      <c r="T33" s="45">
        <v>1.0</v>
      </c>
      <c r="U33" s="46">
        <f>IF(T33&gt;T35,1,0)</f>
        <v>0</v>
      </c>
      <c r="V33" s="47"/>
      <c r="W33" s="48"/>
      <c r="X33" s="32">
        <f>IF(W33&gt;W35,1,0)</f>
        <v>0</v>
      </c>
      <c r="Y33" s="32">
        <f>IF(Q33="",0,1)</f>
        <v>1</v>
      </c>
      <c r="Z33" s="32">
        <f>IF(R33+U33=2,3,IF(R33+U33=1,1,0))</f>
        <v>0</v>
      </c>
      <c r="AA33" s="32">
        <f>IF(Z33=3,3,IF(X33+Z33=2,2,IF(Z33=1,1,0)))</f>
        <v>0</v>
      </c>
      <c r="AB33" s="32">
        <f>Q33+T33</f>
        <v>3</v>
      </c>
      <c r="AC33" s="32">
        <f>R33+U33+X33</f>
        <v>0</v>
      </c>
    </row>
    <row r="34" ht="15.0" customHeight="1">
      <c r="A34" s="52" t="s">
        <v>63</v>
      </c>
      <c r="H34" s="53"/>
      <c r="I34" s="54"/>
      <c r="J34" s="32"/>
      <c r="K34" s="32"/>
      <c r="L34" s="32"/>
      <c r="M34" s="32"/>
      <c r="N34" s="32"/>
      <c r="O34" s="32"/>
      <c r="P34" s="52" t="s">
        <v>63</v>
      </c>
      <c r="W34" s="53"/>
      <c r="X34" s="54"/>
      <c r="Y34" s="32"/>
      <c r="Z34" s="32"/>
      <c r="AA34" s="32"/>
      <c r="AB34" s="32"/>
      <c r="AC34" s="32"/>
    </row>
    <row r="35" ht="15.0" customHeight="1">
      <c r="A35" s="55" t="str">
        <f>AE17</f>
        <v>Kim Fava/Annmarie Mangion</v>
      </c>
      <c r="B35" s="45">
        <v>6.0</v>
      </c>
      <c r="C35" s="56">
        <f>IF(B35&gt;B33,1,0)</f>
        <v>1</v>
      </c>
      <c r="D35" s="57"/>
      <c r="E35" s="45">
        <v>6.0</v>
      </c>
      <c r="F35" s="56">
        <f>IF(E35&gt;E33,1,0)</f>
        <v>1</v>
      </c>
      <c r="G35" s="57"/>
      <c r="H35" s="48"/>
      <c r="I35" s="32">
        <f>IF(H35&gt;H33,1,0)</f>
        <v>0</v>
      </c>
      <c r="J35" s="32">
        <f>IF(B35="",0,1)</f>
        <v>1</v>
      </c>
      <c r="K35" s="32">
        <f>IF(C35+F35=2,3,IF(C35+F35=1,1,0))</f>
        <v>3</v>
      </c>
      <c r="L35" s="32">
        <f>IF(K35=3,3,IF(I35+K35=2,2,IF(K35=1,1,0)))</f>
        <v>3</v>
      </c>
      <c r="M35" s="32">
        <f>B35+E35</f>
        <v>12</v>
      </c>
      <c r="N35" s="32">
        <f>C35+F35+I35</f>
        <v>2</v>
      </c>
      <c r="O35" s="32"/>
      <c r="P35" s="55" t="str">
        <f>AE19</f>
        <v>Kirsty Mercieca/Christina Bonett</v>
      </c>
      <c r="Q35" s="45">
        <v>6.0</v>
      </c>
      <c r="R35" s="56">
        <f>IF(Q35&gt;Q33,1,0)</f>
        <v>1</v>
      </c>
      <c r="S35" s="57"/>
      <c r="T35" s="45">
        <v>6.0</v>
      </c>
      <c r="U35" s="56">
        <f>IF(T35&gt;T33,1,0)</f>
        <v>1</v>
      </c>
      <c r="V35" s="57"/>
      <c r="W35" s="48"/>
      <c r="X35" s="32">
        <f>IF(W35&gt;W33,1,0)</f>
        <v>0</v>
      </c>
      <c r="Y35" s="32">
        <f>IF(Q35="",0,1)</f>
        <v>1</v>
      </c>
      <c r="Z35" s="32">
        <f>IF(R35+U35=2,3,IF(R35+U35=1,1,0))</f>
        <v>3</v>
      </c>
      <c r="AA35" s="32">
        <f>IF(Z35=3,3,IF(X35+Z35=2,2,IF(Z35=1,1,0)))</f>
        <v>3</v>
      </c>
      <c r="AB35" s="32">
        <f>Q35+T35</f>
        <v>12</v>
      </c>
      <c r="AC35" s="32">
        <f>R35+U35+X35</f>
        <v>2</v>
      </c>
    </row>
    <row r="36" ht="15.0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</row>
    <row r="37" ht="15.0" customHeight="1">
      <c r="A37" s="120" t="str">
        <f>AE15</f>
        <v>Martina Cuschieri/Elaine Grech</v>
      </c>
      <c r="B37" s="121"/>
      <c r="C37" s="122">
        <f>IF(B37&gt;B39,1,0)</f>
        <v>0</v>
      </c>
      <c r="D37" s="123"/>
      <c r="E37" s="121"/>
      <c r="F37" s="122">
        <f>IF(E37&gt;E39,1,0)</f>
        <v>0</v>
      </c>
      <c r="G37" s="123"/>
      <c r="H37" s="121"/>
      <c r="I37" s="32">
        <f>IF(H37&gt;H39,1,0)</f>
        <v>0</v>
      </c>
      <c r="J37" s="32">
        <f>IF(B37="",0,1)</f>
        <v>0</v>
      </c>
      <c r="K37" s="32">
        <f>IF(C37+F37=2,3,IF(C37+F37=1,1,0))</f>
        <v>0</v>
      </c>
      <c r="L37" s="32">
        <f>IF(K37=3,3,IF(I37+K37=2,2,IF(K37=1,1,0)))</f>
        <v>0</v>
      </c>
      <c r="M37" s="32">
        <f>B37+E37</f>
        <v>0</v>
      </c>
      <c r="N37" s="32">
        <f>C37+F37+I37</f>
        <v>0</v>
      </c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</row>
    <row r="38" ht="15.0" customHeight="1">
      <c r="A38" s="124" t="s">
        <v>63</v>
      </c>
      <c r="H38" s="53"/>
      <c r="I38" s="54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</row>
    <row r="39" ht="15.0" customHeight="1">
      <c r="A39" s="125" t="str">
        <f>AE17</f>
        <v>Kim Fava/Annmarie Mangion</v>
      </c>
      <c r="B39" s="121"/>
      <c r="C39" s="126">
        <f>IF(B39&gt;B37,1,0)</f>
        <v>0</v>
      </c>
      <c r="D39" s="127"/>
      <c r="E39" s="121"/>
      <c r="F39" s="126">
        <f>IF(E39&gt;E37,1,0)</f>
        <v>0</v>
      </c>
      <c r="G39" s="127"/>
      <c r="H39" s="121"/>
      <c r="I39" s="32">
        <f>IF(H39&gt;H37,1,0)</f>
        <v>0</v>
      </c>
      <c r="J39" s="32">
        <f>IF(B39="",0,1)</f>
        <v>0</v>
      </c>
      <c r="K39" s="32">
        <f>IF(C39+F39=2,3,IF(C39+F39=1,1,0))</f>
        <v>0</v>
      </c>
      <c r="L39" s="32">
        <f>IF(K39=3,3,IF(I39+K39=2,2,IF(K39=1,1,0)))</f>
        <v>0</v>
      </c>
      <c r="M39" s="32">
        <f>B39+E39</f>
        <v>0</v>
      </c>
      <c r="N39" s="32">
        <f>C39+F39+I39</f>
        <v>0</v>
      </c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AI2"/>
    <mergeCell ref="A5:AI5"/>
    <mergeCell ref="B7:E7"/>
    <mergeCell ref="Q7:T7"/>
    <mergeCell ref="A10:H10"/>
    <mergeCell ref="P10:W10"/>
    <mergeCell ref="P14:W14"/>
    <mergeCell ref="A14:H14"/>
    <mergeCell ref="A18:H18"/>
    <mergeCell ref="P18:W18"/>
    <mergeCell ref="AE21:AI21"/>
    <mergeCell ref="A22:H22"/>
    <mergeCell ref="P22:W22"/>
    <mergeCell ref="AE22:AI22"/>
    <mergeCell ref="A34:H34"/>
    <mergeCell ref="A38:H38"/>
    <mergeCell ref="AE23:AI23"/>
    <mergeCell ref="AE24:AI24"/>
    <mergeCell ref="A26:H26"/>
    <mergeCell ref="P26:W26"/>
    <mergeCell ref="A30:H30"/>
    <mergeCell ref="P30:W30"/>
    <mergeCell ref="P34:W34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7.0"/>
    <col customWidth="1" hidden="1" min="3" max="3" width="4.0"/>
    <col customWidth="1" min="4" max="4" width="1.63"/>
    <col customWidth="1" min="5" max="5" width="7.0"/>
    <col customWidth="1" hidden="1" min="6" max="6" width="3.38"/>
    <col customWidth="1" min="7" max="7" width="1.63"/>
    <col customWidth="1" min="8" max="8" width="7.0"/>
    <col customWidth="1" hidden="1" min="9" max="9" width="4.38"/>
    <col customWidth="1" hidden="1" min="10" max="11" width="3.13"/>
    <col customWidth="1" hidden="1" min="12" max="12" width="4.13"/>
    <col customWidth="1" hidden="1" min="13" max="13" width="3.63"/>
    <col customWidth="1" hidden="1" min="14" max="14" width="4.13"/>
    <col customWidth="1" min="15" max="15" width="6.38"/>
    <col customWidth="1" min="16" max="16" width="41.63"/>
    <col customWidth="1" min="17" max="17" width="7.0"/>
    <col customWidth="1" hidden="1" min="18" max="18" width="4.5"/>
    <col customWidth="1" min="19" max="19" width="1.63"/>
    <col customWidth="1" min="20" max="20" width="7.0"/>
    <col customWidth="1" hidden="1" min="21" max="21" width="4.0"/>
    <col customWidth="1" min="22" max="22" width="1.63"/>
    <col customWidth="1" min="23" max="23" width="7.0"/>
    <col customWidth="1" hidden="1" min="24" max="24" width="4.5"/>
    <col customWidth="1" hidden="1" min="25" max="25" width="4.63"/>
    <col customWidth="1" hidden="1" min="26" max="26" width="3.63"/>
    <col customWidth="1" hidden="1" min="27" max="28" width="4.0"/>
    <col customWidth="1" hidden="1" min="29" max="29" width="4.13"/>
    <col customWidth="1" min="30" max="30" width="6.88"/>
    <col customWidth="1" min="31" max="31" width="42.5"/>
    <col customWidth="1" min="32" max="32" width="10.5"/>
    <col customWidth="1" min="33" max="35" width="8.63"/>
  </cols>
  <sheetData>
    <row r="1" ht="21.0" customHeight="1">
      <c r="A1" s="27" t="s">
        <v>41</v>
      </c>
      <c r="AJ1" s="3"/>
      <c r="AK1" s="3"/>
      <c r="AL1" s="3"/>
    </row>
    <row r="2" ht="21.0" customHeight="1">
      <c r="AJ2" s="3"/>
      <c r="AK2" s="3"/>
      <c r="AL2" s="3"/>
    </row>
    <row r="3" ht="15.0" customHeight="1">
      <c r="A3" s="28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ht="15.0" customHeight="1">
      <c r="A4" s="3"/>
      <c r="B4" s="3"/>
      <c r="C4" s="3"/>
      <c r="D4" s="3"/>
      <c r="E4" s="3"/>
      <c r="F4" s="3"/>
      <c r="G4" s="3"/>
      <c r="H4" s="11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ht="22.5" customHeight="1">
      <c r="A5" s="131" t="s">
        <v>109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1"/>
      <c r="AJ5" s="32"/>
      <c r="AK5" s="32"/>
      <c r="AL5" s="32"/>
    </row>
    <row r="6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</row>
    <row r="7" ht="30.0" customHeight="1">
      <c r="A7" s="132" t="s">
        <v>43</v>
      </c>
      <c r="B7" s="133" t="s">
        <v>44</v>
      </c>
      <c r="C7" s="35"/>
      <c r="D7" s="35"/>
      <c r="E7" s="36"/>
      <c r="F7" s="37"/>
      <c r="G7" s="38"/>
      <c r="H7" s="132" t="s">
        <v>45</v>
      </c>
      <c r="I7" s="32"/>
      <c r="J7" s="32"/>
      <c r="K7" s="32"/>
      <c r="L7" s="32"/>
      <c r="M7" s="39"/>
      <c r="N7" s="39"/>
      <c r="O7" s="39"/>
      <c r="P7" s="132" t="s">
        <v>43</v>
      </c>
      <c r="Q7" s="133" t="s">
        <v>44</v>
      </c>
      <c r="R7" s="35"/>
      <c r="S7" s="35"/>
      <c r="T7" s="36"/>
      <c r="U7" s="37"/>
      <c r="V7" s="38"/>
      <c r="W7" s="132" t="s">
        <v>45</v>
      </c>
      <c r="X7" s="32"/>
      <c r="Y7" s="39"/>
      <c r="Z7" s="39"/>
      <c r="AA7" s="39"/>
      <c r="AB7" s="39"/>
      <c r="AC7" s="39"/>
      <c r="AD7" s="39"/>
      <c r="AE7" s="132" t="s">
        <v>46</v>
      </c>
      <c r="AF7" s="132" t="s">
        <v>47</v>
      </c>
      <c r="AG7" s="132" t="s">
        <v>48</v>
      </c>
      <c r="AH7" s="132" t="s">
        <v>49</v>
      </c>
      <c r="AI7" s="132" t="s">
        <v>50</v>
      </c>
      <c r="AJ7" s="39"/>
      <c r="AK7" s="39"/>
      <c r="AL7" s="32"/>
    </row>
    <row r="8" hidden="1">
      <c r="A8" s="32"/>
      <c r="B8" s="42" t="s">
        <v>51</v>
      </c>
      <c r="C8" s="42" t="s">
        <v>52</v>
      </c>
      <c r="D8" s="42"/>
      <c r="E8" s="42" t="s">
        <v>51</v>
      </c>
      <c r="F8" s="42" t="s">
        <v>53</v>
      </c>
      <c r="G8" s="42"/>
      <c r="H8" s="42" t="s">
        <v>51</v>
      </c>
      <c r="I8" s="42" t="s">
        <v>54</v>
      </c>
      <c r="J8" s="42" t="s">
        <v>55</v>
      </c>
      <c r="K8" s="42" t="s">
        <v>56</v>
      </c>
      <c r="L8" s="42" t="s">
        <v>57</v>
      </c>
      <c r="M8" s="42" t="s">
        <v>58</v>
      </c>
      <c r="N8" s="42" t="s">
        <v>59</v>
      </c>
      <c r="O8" s="32"/>
      <c r="P8" s="32"/>
      <c r="Q8" s="42" t="s">
        <v>51</v>
      </c>
      <c r="R8" s="42" t="s">
        <v>52</v>
      </c>
      <c r="S8" s="42"/>
      <c r="T8" s="42" t="s">
        <v>51</v>
      </c>
      <c r="U8" s="42" t="s">
        <v>53</v>
      </c>
      <c r="V8" s="42"/>
      <c r="W8" s="42" t="s">
        <v>51</v>
      </c>
      <c r="X8" s="42" t="s">
        <v>54</v>
      </c>
      <c r="Y8" s="42" t="s">
        <v>55</v>
      </c>
      <c r="Z8" s="42" t="s">
        <v>56</v>
      </c>
      <c r="AA8" s="42" t="s">
        <v>57</v>
      </c>
      <c r="AB8" s="42" t="s">
        <v>58</v>
      </c>
      <c r="AC8" s="42" t="s">
        <v>59</v>
      </c>
      <c r="AD8" s="32"/>
      <c r="AE8" s="134"/>
      <c r="AF8" s="39"/>
      <c r="AG8" s="39"/>
      <c r="AH8" s="39"/>
      <c r="AI8" s="39"/>
      <c r="AJ8" s="42" t="s">
        <v>60</v>
      </c>
      <c r="AK8" s="66" t="s">
        <v>61</v>
      </c>
      <c r="AL8" s="67" t="s">
        <v>62</v>
      </c>
    </row>
    <row r="9" ht="15.0" customHeight="1">
      <c r="A9" s="44" t="str">
        <f>AE9</f>
        <v>Kristina Briffa/Sarah Axiaq</v>
      </c>
      <c r="B9" s="45">
        <v>7.0</v>
      </c>
      <c r="C9" s="46">
        <f>IF(B9&gt;B11,1,0)</f>
        <v>1</v>
      </c>
      <c r="D9" s="47"/>
      <c r="E9" s="45">
        <v>4.0</v>
      </c>
      <c r="F9" s="46">
        <f>IF(E9&gt;E11,1,0)</f>
        <v>0</v>
      </c>
      <c r="G9" s="47"/>
      <c r="H9" s="45">
        <v>9.0</v>
      </c>
      <c r="I9" s="32">
        <f>IF(H9&gt;H11,1,0)</f>
        <v>0</v>
      </c>
      <c r="J9" s="32">
        <f>IF(B9="",0,1)</f>
        <v>1</v>
      </c>
      <c r="K9" s="32">
        <f>IF(C9+F9=2,3,IF(C9+F9=1,1,0))</f>
        <v>1</v>
      </c>
      <c r="L9" s="32">
        <f>IF(K9=3,3,IF(I9+K9=2,2,IF(K9=1,1,0)))</f>
        <v>1</v>
      </c>
      <c r="M9" s="32">
        <f>B9+E9</f>
        <v>11</v>
      </c>
      <c r="N9" s="32">
        <f>C9+F9+I9</f>
        <v>1</v>
      </c>
      <c r="O9" s="32"/>
      <c r="P9" s="44" t="str">
        <f>AE9</f>
        <v>Kristina Briffa/Sarah Axiaq</v>
      </c>
      <c r="Q9" s="45">
        <v>6.0</v>
      </c>
      <c r="R9" s="46">
        <f>IF(Q9&gt;Q11,1,0)</f>
        <v>1</v>
      </c>
      <c r="S9" s="47"/>
      <c r="T9" s="135">
        <v>6.0</v>
      </c>
      <c r="U9" s="46">
        <f>IF(T9&gt;T11,1,0)</f>
        <v>1</v>
      </c>
      <c r="V9" s="47"/>
      <c r="W9" s="48"/>
      <c r="X9" s="32">
        <f>IF(W9&gt;W11,1,0)</f>
        <v>0</v>
      </c>
      <c r="Y9" s="32">
        <f>IF(Q9="",0,1)</f>
        <v>1</v>
      </c>
      <c r="Z9" s="32">
        <f>IF(R9+U9=2,3,IF(R9+U9=1,1,0))</f>
        <v>3</v>
      </c>
      <c r="AA9" s="32">
        <f>IF(Z9=3,3,IF(X9+Z9=2,2,IF(Z9=1,1,0)))</f>
        <v>3</v>
      </c>
      <c r="AB9" s="32">
        <f>Q9+T9</f>
        <v>12</v>
      </c>
      <c r="AC9" s="32">
        <f>R9+U9+X9</f>
        <v>2</v>
      </c>
      <c r="AD9" s="32"/>
      <c r="AE9" s="136" t="str">
        <f>'Players Ladies'!B14</f>
        <v>Kristina Briffa/Sarah Axiaq</v>
      </c>
      <c r="AF9" s="50">
        <f>J9+Y9+J13+Y13+J17</f>
        <v>5</v>
      </c>
      <c r="AG9" s="50">
        <f t="shared" ref="AG9:AI9" si="1">L9+AA9+L13+AA13+L17</f>
        <v>9</v>
      </c>
      <c r="AH9" s="50">
        <f t="shared" si="1"/>
        <v>47</v>
      </c>
      <c r="AI9" s="51">
        <f t="shared" si="1"/>
        <v>7</v>
      </c>
      <c r="AJ9" s="32"/>
      <c r="AK9" s="32"/>
      <c r="AL9" s="32"/>
    </row>
    <row r="10" ht="15.0" customHeight="1">
      <c r="A10" s="52" t="s">
        <v>63</v>
      </c>
      <c r="H10" s="53"/>
      <c r="I10" s="54"/>
      <c r="J10" s="32"/>
      <c r="K10" s="32"/>
      <c r="L10" s="32"/>
      <c r="M10" s="32"/>
      <c r="N10" s="32"/>
      <c r="O10" s="32"/>
      <c r="P10" s="52" t="s">
        <v>63</v>
      </c>
      <c r="W10" s="53"/>
      <c r="X10" s="54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9"/>
      <c r="AL10" s="32"/>
    </row>
    <row r="11" ht="15.0" customHeight="1">
      <c r="A11" s="55" t="str">
        <f>AE11</f>
        <v>Mariska Steenkamer/Yanika Pace</v>
      </c>
      <c r="B11" s="45">
        <v>6.0</v>
      </c>
      <c r="C11" s="56">
        <f>IF(B11&gt;B9,1,0)</f>
        <v>0</v>
      </c>
      <c r="D11" s="57"/>
      <c r="E11" s="45">
        <v>6.0</v>
      </c>
      <c r="F11" s="56">
        <f>IF(E11&gt;E9,1,0)</f>
        <v>1</v>
      </c>
      <c r="G11" s="57"/>
      <c r="H11" s="45">
        <v>11.0</v>
      </c>
      <c r="I11" s="32">
        <f>IF(H11&gt;H9,1,0)</f>
        <v>1</v>
      </c>
      <c r="J11" s="32">
        <f>IF(B11="",0,1)</f>
        <v>1</v>
      </c>
      <c r="K11" s="32">
        <f>IF(C11+F11=2,3,IF(C11+F11=1,1,0))</f>
        <v>1</v>
      </c>
      <c r="L11" s="32">
        <f>IF(K11=3,3,IF(I11+K11=2,2,IF(K11=1,1,0)))</f>
        <v>2</v>
      </c>
      <c r="M11" s="32">
        <f>B11+E11</f>
        <v>12</v>
      </c>
      <c r="N11" s="32">
        <f>C11+F11+I11</f>
        <v>2</v>
      </c>
      <c r="O11" s="32"/>
      <c r="P11" s="55" t="str">
        <f>AE13</f>
        <v>Giada Sciberras/Jade Sammut</v>
      </c>
      <c r="Q11" s="45">
        <v>3.0</v>
      </c>
      <c r="R11" s="56">
        <f>IF(Q11&gt;Q9,1,0)</f>
        <v>0</v>
      </c>
      <c r="S11" s="57"/>
      <c r="T11" s="45">
        <v>4.0</v>
      </c>
      <c r="U11" s="56">
        <f>IF(T11&gt;T9,1,0)</f>
        <v>0</v>
      </c>
      <c r="V11" s="57"/>
      <c r="W11" s="48"/>
      <c r="X11" s="32">
        <f>IF(W11&gt;W9,1,0)</f>
        <v>0</v>
      </c>
      <c r="Y11" s="32">
        <f>IF(Q11="",0,1)</f>
        <v>1</v>
      </c>
      <c r="Z11" s="32">
        <f>IF(R11+U11=2,3,IF(R11+U11=1,1,0))</f>
        <v>0</v>
      </c>
      <c r="AA11" s="32">
        <f>IF(Z11=3,3,IF(X11+Z11=2,2,IF(Z11=1,1,0)))</f>
        <v>0</v>
      </c>
      <c r="AB11" s="32">
        <f>Q11+T11</f>
        <v>7</v>
      </c>
      <c r="AC11" s="32">
        <f>R11+U11+X11</f>
        <v>0</v>
      </c>
      <c r="AD11" s="32"/>
      <c r="AE11" s="136" t="str">
        <f>'Players Ladies'!B15</f>
        <v>Mariska Steenkamer/Yanika Pace</v>
      </c>
      <c r="AF11" s="50">
        <f>J11+Y25+J25+Y21+J21</f>
        <v>5</v>
      </c>
      <c r="AG11" s="50">
        <f t="shared" ref="AG11:AI11" si="2">L11+AA25+L25+AA21+L21</f>
        <v>8</v>
      </c>
      <c r="AH11" s="50">
        <f t="shared" si="2"/>
        <v>48</v>
      </c>
      <c r="AI11" s="51">
        <f t="shared" si="2"/>
        <v>6</v>
      </c>
      <c r="AJ11" s="39"/>
      <c r="AK11" s="39"/>
      <c r="AL11" s="32"/>
    </row>
    <row r="12" ht="15.0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9"/>
      <c r="AG12" s="39"/>
      <c r="AH12" s="39"/>
      <c r="AI12" s="39"/>
      <c r="AJ12" s="39"/>
      <c r="AK12" s="39"/>
      <c r="AL12" s="32"/>
    </row>
    <row r="13" ht="15.0" customHeight="1">
      <c r="A13" s="44" t="str">
        <f>AE9</f>
        <v>Kristina Briffa/Sarah Axiaq</v>
      </c>
      <c r="B13" s="45">
        <v>1.0</v>
      </c>
      <c r="C13" s="46">
        <f>IF(B13&gt;B15,1,0)</f>
        <v>0</v>
      </c>
      <c r="D13" s="47"/>
      <c r="E13" s="45">
        <v>7.0</v>
      </c>
      <c r="F13" s="46">
        <f>IF(E13&gt;E15,1,0)</f>
        <v>1</v>
      </c>
      <c r="G13" s="47"/>
      <c r="H13" s="45">
        <v>10.0</v>
      </c>
      <c r="I13" s="32">
        <f>IF(H13&gt;H15,1,0)</f>
        <v>1</v>
      </c>
      <c r="J13" s="32">
        <f>IF(B13="",0,1)</f>
        <v>1</v>
      </c>
      <c r="K13" s="32">
        <f>IF(C13+F13=2,3,IF(C13+F13=1,1,0))</f>
        <v>1</v>
      </c>
      <c r="L13" s="32">
        <f>IF(K13=3,3,IF(I13+K13=2,2,IF(K13=1,1,0)))</f>
        <v>2</v>
      </c>
      <c r="M13" s="32">
        <f>B13+E13</f>
        <v>8</v>
      </c>
      <c r="N13" s="32">
        <f>C13+F13+I13</f>
        <v>2</v>
      </c>
      <c r="O13" s="32"/>
      <c r="P13" s="44" t="str">
        <f>AE9</f>
        <v>Kristina Briffa/Sarah Axiaq</v>
      </c>
      <c r="Q13" s="45">
        <v>6.0</v>
      </c>
      <c r="R13" s="46">
        <f>IF(Q13&gt;Q15,1,0)</f>
        <v>1</v>
      </c>
      <c r="S13" s="47"/>
      <c r="T13" s="45">
        <v>6.0</v>
      </c>
      <c r="U13" s="46">
        <f>IF(T13&gt;T15,1,0)</f>
        <v>1</v>
      </c>
      <c r="V13" s="47"/>
      <c r="W13" s="48"/>
      <c r="X13" s="32">
        <f>IF(W13&gt;W15,1,0)</f>
        <v>0</v>
      </c>
      <c r="Y13" s="32">
        <f>IF(Q13="",0,1)</f>
        <v>1</v>
      </c>
      <c r="Z13" s="32">
        <f>IF(R13+U13=2,3,IF(R13+U13=1,1,0))</f>
        <v>3</v>
      </c>
      <c r="AA13" s="32">
        <f>IF(Z13=3,3,IF(X13+Z13=2,2,IF(Z13=1,1,0)))</f>
        <v>3</v>
      </c>
      <c r="AB13" s="32">
        <f>Q13+T13</f>
        <v>12</v>
      </c>
      <c r="AC13" s="32">
        <f>R13+U13+X13</f>
        <v>2</v>
      </c>
      <c r="AD13" s="32"/>
      <c r="AE13" s="136" t="str">
        <f>'Players Ladies'!B16</f>
        <v>Giada Sciberras/Jade Sammut</v>
      </c>
      <c r="AF13" s="50">
        <f>Y29+Y11+Y33+J33+J23</f>
        <v>5</v>
      </c>
      <c r="AG13" s="50">
        <f t="shared" ref="AG13:AI13" si="3">AA29+AA11+AA33+L33+L23</f>
        <v>3</v>
      </c>
      <c r="AH13" s="50">
        <f t="shared" si="3"/>
        <v>30</v>
      </c>
      <c r="AI13" s="51">
        <f t="shared" si="3"/>
        <v>2</v>
      </c>
      <c r="AJ13" s="39"/>
      <c r="AK13" s="39"/>
      <c r="AL13" s="32"/>
    </row>
    <row r="14" ht="15.0" customHeight="1">
      <c r="A14" s="52" t="s">
        <v>63</v>
      </c>
      <c r="H14" s="53"/>
      <c r="I14" s="54"/>
      <c r="J14" s="32"/>
      <c r="K14" s="32"/>
      <c r="L14" s="32"/>
      <c r="M14" s="32"/>
      <c r="N14" s="32"/>
      <c r="O14" s="32"/>
      <c r="P14" s="52" t="s">
        <v>63</v>
      </c>
      <c r="W14" s="53"/>
      <c r="X14" s="54"/>
      <c r="Y14" s="32"/>
      <c r="Z14" s="32"/>
      <c r="AA14" s="32"/>
      <c r="AB14" s="32"/>
      <c r="AC14" s="32"/>
      <c r="AD14" s="32"/>
      <c r="AE14" s="32"/>
      <c r="AF14" s="39"/>
      <c r="AG14" s="39"/>
      <c r="AH14" s="39"/>
      <c r="AI14" s="39"/>
      <c r="AJ14" s="39"/>
      <c r="AK14" s="39"/>
      <c r="AL14" s="32"/>
    </row>
    <row r="15">
      <c r="A15" s="55" t="str">
        <f>AE15</f>
        <v>Francesca Sciortino/Julie Spiteri</v>
      </c>
      <c r="B15" s="45">
        <v>6.0</v>
      </c>
      <c r="C15" s="56">
        <f>IF(B15&gt;B13,1,0)</f>
        <v>1</v>
      </c>
      <c r="D15" s="57"/>
      <c r="E15" s="45">
        <v>6.0</v>
      </c>
      <c r="F15" s="56">
        <f>IF(E15&gt;E13,1,0)</f>
        <v>0</v>
      </c>
      <c r="G15" s="57"/>
      <c r="H15" s="45">
        <v>6.0</v>
      </c>
      <c r="I15" s="32">
        <f>IF(H15&gt;H13,1,0)</f>
        <v>0</v>
      </c>
      <c r="J15" s="32">
        <f>IF(B15="",0,1)</f>
        <v>1</v>
      </c>
      <c r="K15" s="32">
        <f>IF(C15+F15=2,3,IF(C15+F15=1,1,0))</f>
        <v>1</v>
      </c>
      <c r="L15" s="32">
        <f>IF(K15=3,3,IF(I15+K15=2,2,IF(K15=1,1,0)))</f>
        <v>1</v>
      </c>
      <c r="M15" s="32">
        <f>B15+E15</f>
        <v>12</v>
      </c>
      <c r="N15" s="32">
        <f>C15+F15+I15</f>
        <v>1</v>
      </c>
      <c r="O15" s="32"/>
      <c r="P15" s="55" t="str">
        <f>AE17</f>
        <v>Brenda Baldacchino/Deborah Farrugia</v>
      </c>
      <c r="Q15" s="45">
        <v>1.0</v>
      </c>
      <c r="R15" s="56">
        <f>IF(Q15&gt;Q13,1,0)</f>
        <v>0</v>
      </c>
      <c r="S15" s="57"/>
      <c r="T15" s="45">
        <v>3.0</v>
      </c>
      <c r="U15" s="56">
        <f>IF(T15&gt;T13,1,0)</f>
        <v>0</v>
      </c>
      <c r="V15" s="57"/>
      <c r="W15" s="48"/>
      <c r="X15" s="32">
        <f>IF(W15&gt;W13,1,0)</f>
        <v>0</v>
      </c>
      <c r="Y15" s="32">
        <f>IF(Q15="",0,1)</f>
        <v>1</v>
      </c>
      <c r="Z15" s="32">
        <f>IF(R15+U15=2,3,IF(R15+U15=1,1,0))</f>
        <v>0</v>
      </c>
      <c r="AA15" s="32">
        <f>IF(Z15=3,3,IF(X15+Z15=2,2,IF(Z15=1,1,0)))</f>
        <v>0</v>
      </c>
      <c r="AB15" s="32">
        <f>Q15+T15</f>
        <v>4</v>
      </c>
      <c r="AC15" s="32">
        <f>R15+U15+X15</f>
        <v>0</v>
      </c>
      <c r="AD15" s="32"/>
      <c r="AE15" s="136" t="str">
        <f>'Players Ladies'!B17</f>
        <v>Francesca Sciortino/Julie Spiteri</v>
      </c>
      <c r="AF15" s="50">
        <f>Y31+J37+J15+Y23+J29</f>
        <v>5</v>
      </c>
      <c r="AG15" s="50">
        <f t="shared" ref="AG15:AI15" si="4">AA31+L37+L15+AA23+L29</f>
        <v>12</v>
      </c>
      <c r="AH15" s="50">
        <f t="shared" si="4"/>
        <v>56</v>
      </c>
      <c r="AI15" s="51">
        <f t="shared" si="4"/>
        <v>9</v>
      </c>
      <c r="AJ15" s="39"/>
      <c r="AK15" s="39"/>
      <c r="AL15" s="32"/>
    </row>
    <row r="17">
      <c r="A17" s="44" t="str">
        <f>AE9</f>
        <v>Kristina Briffa/Sarah Axiaq</v>
      </c>
      <c r="B17" s="45">
        <v>3.0</v>
      </c>
      <c r="C17" s="46">
        <f>IF(B17&gt;B19,1,0)</f>
        <v>0</v>
      </c>
      <c r="D17" s="47"/>
      <c r="E17" s="45">
        <v>1.0</v>
      </c>
      <c r="F17" s="46">
        <f>IF(E17&gt;E19,1,0)</f>
        <v>0</v>
      </c>
      <c r="G17" s="47"/>
      <c r="H17" s="48"/>
      <c r="I17" s="32">
        <f>IF(H17&gt;H19,1,0)</f>
        <v>0</v>
      </c>
      <c r="J17" s="32">
        <f>IF(B17="",0,1)</f>
        <v>1</v>
      </c>
      <c r="K17" s="32">
        <f>IF(C17+F17=2,3,IF(C17+F17=1,1,0))</f>
        <v>0</v>
      </c>
      <c r="L17" s="32">
        <f>IF(K17=3,3,IF(I17+K17=2,2,IF(K17=1,1,0)))</f>
        <v>0</v>
      </c>
      <c r="M17" s="32">
        <f>B17+E17</f>
        <v>4</v>
      </c>
      <c r="N17" s="32">
        <f>C17+F17+I17</f>
        <v>0</v>
      </c>
      <c r="O17" s="32"/>
      <c r="P17" s="44" t="str">
        <f>AE17</f>
        <v>Brenda Baldacchino/Deborah Farrugia</v>
      </c>
      <c r="Q17" s="45">
        <v>1.0</v>
      </c>
      <c r="R17" s="46">
        <f>IF(Q17&gt;Q19,1,0)</f>
        <v>0</v>
      </c>
      <c r="S17" s="47"/>
      <c r="T17" s="45">
        <v>0.0</v>
      </c>
      <c r="U17" s="46">
        <f>IF(T17&gt;T19,1,0)</f>
        <v>0</v>
      </c>
      <c r="V17" s="47"/>
      <c r="W17" s="48"/>
      <c r="X17" s="32">
        <f>IF(W17&gt;W19,1,0)</f>
        <v>0</v>
      </c>
      <c r="Y17" s="32">
        <f>IF(Q17="",0,1)</f>
        <v>1</v>
      </c>
      <c r="Z17" s="32">
        <f>IF(R17+U17=2,3,IF(R17+U17=1,1,0))</f>
        <v>0</v>
      </c>
      <c r="AA17" s="32">
        <f>IF(Z17=3,3,IF(X17+Z17=2,2,IF(Z17=1,1,0)))</f>
        <v>0</v>
      </c>
      <c r="AB17" s="32">
        <f>Q17+T17</f>
        <v>1</v>
      </c>
      <c r="AC17" s="32">
        <f>R17+U17+X17</f>
        <v>0</v>
      </c>
      <c r="AD17" s="32"/>
      <c r="AE17" s="136" t="str">
        <f>'Players Ladies'!B18</f>
        <v>Brenda Baldacchino/Deborah Farrugia</v>
      </c>
      <c r="AF17" s="50">
        <f>Y17+J39+J27+Y15+J35</f>
        <v>5</v>
      </c>
      <c r="AG17" s="50">
        <f t="shared" ref="AG17:AI17" si="5">AA17+L39+L27+AA15+L35</f>
        <v>0</v>
      </c>
      <c r="AH17" s="50">
        <f t="shared" si="5"/>
        <v>20</v>
      </c>
      <c r="AI17" s="51">
        <f t="shared" si="5"/>
        <v>0</v>
      </c>
    </row>
    <row r="18">
      <c r="A18" s="52" t="s">
        <v>63</v>
      </c>
      <c r="H18" s="53"/>
      <c r="I18" s="54"/>
      <c r="J18" s="32"/>
      <c r="K18" s="32"/>
      <c r="L18" s="32"/>
      <c r="M18" s="32"/>
      <c r="N18" s="32"/>
      <c r="O18" s="32"/>
      <c r="P18" s="52" t="s">
        <v>63</v>
      </c>
      <c r="W18" s="53"/>
      <c r="X18" s="54"/>
      <c r="Y18" s="32"/>
      <c r="Z18" s="32"/>
      <c r="AA18" s="32"/>
      <c r="AB18" s="32"/>
      <c r="AC18" s="32"/>
      <c r="AD18" s="32"/>
      <c r="AE18" s="32"/>
      <c r="AF18" s="39"/>
      <c r="AG18" s="39"/>
      <c r="AH18" s="39"/>
      <c r="AI18" s="39"/>
    </row>
    <row r="19">
      <c r="A19" s="55" t="str">
        <f>AE19</f>
        <v>Katrina Grech/Dawn Azzopardi</v>
      </c>
      <c r="B19" s="45">
        <v>6.0</v>
      </c>
      <c r="C19" s="56">
        <f>IF(B19&gt;B17,1,0)</f>
        <v>1</v>
      </c>
      <c r="D19" s="57"/>
      <c r="E19" s="45">
        <v>6.0</v>
      </c>
      <c r="F19" s="56">
        <f>IF(E19&gt;E17,1,0)</f>
        <v>1</v>
      </c>
      <c r="G19" s="57"/>
      <c r="H19" s="48"/>
      <c r="I19" s="32">
        <f>IF(H19&gt;H17,1,0)</f>
        <v>0</v>
      </c>
      <c r="J19" s="32">
        <f>IF(B19="",0,1)</f>
        <v>1</v>
      </c>
      <c r="K19" s="32">
        <f>IF(C19+F19=2,3,IF(C19+F19=1,1,0))</f>
        <v>3</v>
      </c>
      <c r="L19" s="32">
        <f>IF(K19=3,3,IF(I19+K19=2,2,IF(K19=1,1,0)))</f>
        <v>3</v>
      </c>
      <c r="M19" s="32">
        <f>B19+E19</f>
        <v>12</v>
      </c>
      <c r="N19" s="32">
        <f>C19+F19+I19</f>
        <v>2</v>
      </c>
      <c r="O19" s="32"/>
      <c r="P19" s="55" t="str">
        <f>AE19</f>
        <v>Katrina Grech/Dawn Azzopardi</v>
      </c>
      <c r="Q19" s="45">
        <v>6.0</v>
      </c>
      <c r="R19" s="56">
        <f>IF(Q19&gt;Q17,1,0)</f>
        <v>1</v>
      </c>
      <c r="S19" s="57"/>
      <c r="T19" s="45">
        <v>6.0</v>
      </c>
      <c r="U19" s="56">
        <f>IF(T19&gt;T17,1,0)</f>
        <v>1</v>
      </c>
      <c r="V19" s="57"/>
      <c r="W19" s="48"/>
      <c r="X19" s="32">
        <f>IF(W19&gt;W17,1,0)</f>
        <v>0</v>
      </c>
      <c r="Y19" s="32">
        <f>IF(Q19="",0,1)</f>
        <v>1</v>
      </c>
      <c r="Z19" s="32">
        <f>IF(R19+U19=2,3,IF(R19+U19=1,1,0))</f>
        <v>3</v>
      </c>
      <c r="AA19" s="32">
        <f>IF(Z19=3,3,IF(X19+Z19=2,2,IF(Z19=1,1,0)))</f>
        <v>3</v>
      </c>
      <c r="AB19" s="32">
        <f>Q19+T19</f>
        <v>12</v>
      </c>
      <c r="AC19" s="32">
        <f>R19+U19+X19</f>
        <v>2</v>
      </c>
      <c r="AD19" s="32"/>
      <c r="AE19" s="136" t="str">
        <f>'Players Ladies'!B19</f>
        <v>Katrina Grech/Dawn Azzopardi</v>
      </c>
      <c r="AF19" s="50">
        <f>Y19+Y27+Y35+J19+J31</f>
        <v>5</v>
      </c>
      <c r="AG19" s="50">
        <f t="shared" ref="AG19:AI19" si="6">AA19+AA27+AA35+L19+L31</f>
        <v>13</v>
      </c>
      <c r="AH19" s="50">
        <f t="shared" si="6"/>
        <v>58</v>
      </c>
      <c r="AI19" s="51">
        <f t="shared" si="6"/>
        <v>9</v>
      </c>
    </row>
    <row r="20" ht="15.0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</row>
    <row r="21" ht="15.0" customHeight="1">
      <c r="A21" s="44" t="str">
        <f>AE11</f>
        <v>Mariska Steenkamer/Yanika Pace</v>
      </c>
      <c r="B21" s="45">
        <v>7.0</v>
      </c>
      <c r="C21" s="46">
        <f>IF(B21&gt;B23,1,0)</f>
        <v>1</v>
      </c>
      <c r="D21" s="47"/>
      <c r="E21" s="45">
        <v>6.0</v>
      </c>
      <c r="F21" s="46">
        <f>IF(E21&gt;E23,1,0)</f>
        <v>1</v>
      </c>
      <c r="G21" s="47"/>
      <c r="H21" s="48"/>
      <c r="I21" s="32">
        <f>IF(H21&gt;H23,1,0)</f>
        <v>0</v>
      </c>
      <c r="J21" s="32">
        <f>IF(B21="",0,1)</f>
        <v>1</v>
      </c>
      <c r="K21" s="32">
        <f>IF(C21+F21=2,3,IF(C21+F21=1,1,0))</f>
        <v>3</v>
      </c>
      <c r="L21" s="32">
        <f>IF(K21=3,3,IF(I21+K21=2,2,IF(K21=1,1,0)))</f>
        <v>3</v>
      </c>
      <c r="M21" s="32">
        <f>B21+E21</f>
        <v>13</v>
      </c>
      <c r="N21" s="32">
        <f>C21+F21+I21</f>
        <v>2</v>
      </c>
      <c r="O21" s="32"/>
      <c r="P21" s="44" t="str">
        <f>AE11</f>
        <v>Mariska Steenkamer/Yanika Pace</v>
      </c>
      <c r="Q21" s="45">
        <v>3.0</v>
      </c>
      <c r="R21" s="46">
        <f>IF(Q21&gt;Q23,1,0)</f>
        <v>0</v>
      </c>
      <c r="S21" s="47"/>
      <c r="T21" s="45">
        <v>3.0</v>
      </c>
      <c r="U21" s="46">
        <f>IF(T21&gt;T23,1,0)</f>
        <v>0</v>
      </c>
      <c r="V21" s="47"/>
      <c r="W21" s="48"/>
      <c r="X21" s="32">
        <f>IF(W21&gt;W23,1,0)</f>
        <v>0</v>
      </c>
      <c r="Y21" s="32">
        <f>IF(Q21="",0,1)</f>
        <v>1</v>
      </c>
      <c r="Z21" s="32">
        <f>IF(R21+U21=2,3,IF(R21+U21=1,1,0))</f>
        <v>0</v>
      </c>
      <c r="AA21" s="32">
        <f>IF(Z21=3,3,IF(X21+Z21=2,2,IF(Z21=1,1,0)))</f>
        <v>0</v>
      </c>
      <c r="AB21" s="32">
        <f>Q21+T21</f>
        <v>6</v>
      </c>
      <c r="AC21" s="32">
        <f>R21+U21+X21</f>
        <v>0</v>
      </c>
      <c r="AD21" s="32"/>
      <c r="AE21" s="133" t="s">
        <v>64</v>
      </c>
      <c r="AF21" s="35"/>
      <c r="AG21" s="35"/>
      <c r="AH21" s="35"/>
      <c r="AI21" s="36"/>
    </row>
    <row r="22" ht="15.0" customHeight="1">
      <c r="A22" s="52" t="s">
        <v>63</v>
      </c>
      <c r="H22" s="53"/>
      <c r="I22" s="54"/>
      <c r="J22" s="32"/>
      <c r="K22" s="32"/>
      <c r="L22" s="32"/>
      <c r="M22" s="32"/>
      <c r="N22" s="32"/>
      <c r="O22" s="32"/>
      <c r="P22" s="52" t="s">
        <v>63</v>
      </c>
      <c r="W22" s="53"/>
      <c r="X22" s="54"/>
      <c r="Y22" s="32"/>
      <c r="Z22" s="32"/>
      <c r="AA22" s="32"/>
      <c r="AB22" s="32"/>
      <c r="AC22" s="32"/>
      <c r="AD22" s="32"/>
      <c r="AE22" s="60" t="s">
        <v>94</v>
      </c>
      <c r="AF22" s="35"/>
      <c r="AG22" s="35"/>
      <c r="AH22" s="35"/>
      <c r="AI22" s="36"/>
    </row>
    <row r="23" ht="15.0" customHeight="1">
      <c r="A23" s="55" t="str">
        <f>AE13</f>
        <v>Giada Sciberras/Jade Sammut</v>
      </c>
      <c r="B23" s="45">
        <v>5.0</v>
      </c>
      <c r="C23" s="56">
        <f>IF(B23&gt;B21,1,0)</f>
        <v>0</v>
      </c>
      <c r="D23" s="57"/>
      <c r="E23" s="45">
        <v>0.0</v>
      </c>
      <c r="F23" s="56">
        <f>IF(E23&gt;E21,1,0)</f>
        <v>0</v>
      </c>
      <c r="G23" s="57"/>
      <c r="H23" s="48"/>
      <c r="I23" s="32">
        <f>IF(H23&gt;H21,1,0)</f>
        <v>0</v>
      </c>
      <c r="J23" s="32">
        <f>IF(B23="",0,1)</f>
        <v>1</v>
      </c>
      <c r="K23" s="32">
        <f>IF(C23+F23=2,3,IF(C23+F23=1,1,0))</f>
        <v>0</v>
      </c>
      <c r="L23" s="32">
        <f>IF(K23=3,3,IF(I23+K23=2,2,IF(K23=1,1,0)))</f>
        <v>0</v>
      </c>
      <c r="M23" s="32">
        <f>B23+E23</f>
        <v>5</v>
      </c>
      <c r="N23" s="32">
        <f>C23+F23+I23</f>
        <v>0</v>
      </c>
      <c r="O23" s="32"/>
      <c r="P23" s="55" t="str">
        <f>AE15</f>
        <v>Francesca Sciortino/Julie Spiteri</v>
      </c>
      <c r="Q23" s="45">
        <v>6.0</v>
      </c>
      <c r="R23" s="56">
        <f>IF(Q23&gt;Q21,1,0)</f>
        <v>1</v>
      </c>
      <c r="S23" s="57"/>
      <c r="T23" s="45">
        <v>6.0</v>
      </c>
      <c r="U23" s="56">
        <f>IF(T23&gt;T21,1,0)</f>
        <v>1</v>
      </c>
      <c r="V23" s="57"/>
      <c r="W23" s="48"/>
      <c r="X23" s="32">
        <f>IF(W23&gt;W21,1,0)</f>
        <v>0</v>
      </c>
      <c r="Y23" s="32">
        <f>IF(Q23="",0,1)</f>
        <v>1</v>
      </c>
      <c r="Z23" s="32">
        <f>IF(R23+U23=2,3,IF(R23+U23=1,1,0))</f>
        <v>3</v>
      </c>
      <c r="AA23" s="32">
        <f>IF(Z23=3,3,IF(X23+Z23=2,2,IF(Z23=1,1,0)))</f>
        <v>3</v>
      </c>
      <c r="AB23" s="32">
        <f>Q23+T23</f>
        <v>12</v>
      </c>
      <c r="AC23" s="32">
        <f>R23+U23+X23</f>
        <v>2</v>
      </c>
      <c r="AD23" s="32"/>
      <c r="AE23" s="137" t="s">
        <v>65</v>
      </c>
      <c r="AF23" s="35"/>
      <c r="AG23" s="35"/>
      <c r="AH23" s="35"/>
      <c r="AI23" s="36"/>
    </row>
    <row r="24" ht="15.0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60" t="s">
        <v>92</v>
      </c>
      <c r="AF24" s="35"/>
      <c r="AG24" s="35"/>
      <c r="AH24" s="35"/>
      <c r="AI24" s="36"/>
    </row>
    <row r="25" ht="15.0" customHeight="1">
      <c r="A25" s="44" t="str">
        <f>AE11</f>
        <v>Mariska Steenkamer/Yanika Pace</v>
      </c>
      <c r="B25" s="45">
        <v>6.0</v>
      </c>
      <c r="C25" s="46">
        <f>IF(B25&gt;B27,1,0)</f>
        <v>1</v>
      </c>
      <c r="D25" s="47"/>
      <c r="E25" s="45">
        <v>6.0</v>
      </c>
      <c r="F25" s="46">
        <f>IF(E25&gt;E27,1,0)</f>
        <v>1</v>
      </c>
      <c r="G25" s="47"/>
      <c r="H25" s="48"/>
      <c r="I25" s="32">
        <f>IF(H25&gt;H27,1,0)</f>
        <v>0</v>
      </c>
      <c r="J25" s="32">
        <f>IF(B25="",0,1)</f>
        <v>1</v>
      </c>
      <c r="K25" s="32">
        <f>IF(C25+F25=2,3,IF(C25+F25=1,1,0))</f>
        <v>3</v>
      </c>
      <c r="L25" s="32">
        <f>IF(K25=3,3,IF(I25+K25=2,2,IF(K25=1,1,0)))</f>
        <v>3</v>
      </c>
      <c r="M25" s="32">
        <f>B25+E25</f>
        <v>12</v>
      </c>
      <c r="N25" s="32">
        <f>C25+F25+I25</f>
        <v>2</v>
      </c>
      <c r="O25" s="32"/>
      <c r="P25" s="44" t="str">
        <f>AE11</f>
        <v>Mariska Steenkamer/Yanika Pace</v>
      </c>
      <c r="Q25" s="45">
        <v>1.0</v>
      </c>
      <c r="R25" s="46">
        <f>IF(Q25&gt;Q27,1,0)</f>
        <v>0</v>
      </c>
      <c r="S25" s="47"/>
      <c r="T25" s="45">
        <v>4.0</v>
      </c>
      <c r="U25" s="46">
        <f>IF(T25&gt;T27,1,0)</f>
        <v>0</v>
      </c>
      <c r="V25" s="47"/>
      <c r="W25" s="48"/>
      <c r="X25" s="32">
        <f>IF(W25&gt;W23,1,0)</f>
        <v>0</v>
      </c>
      <c r="Y25" s="32">
        <f>IF(Q25="",0,1)</f>
        <v>1</v>
      </c>
      <c r="Z25" s="32">
        <f>IF(R25+U25=2,3,IF(R25+U25=1,1,0))</f>
        <v>0</v>
      </c>
      <c r="AA25" s="32">
        <f>IF(Z25=3,3,IF(X25+Z25=2,2,IF(Z25=1,1,0)))</f>
        <v>0</v>
      </c>
      <c r="AB25" s="32">
        <f>Q25+T25</f>
        <v>5</v>
      </c>
      <c r="AC25" s="32">
        <f>R25+U25+X25</f>
        <v>0</v>
      </c>
      <c r="AD25" s="32"/>
      <c r="AE25" s="32"/>
      <c r="AF25" s="32"/>
      <c r="AG25" s="32"/>
      <c r="AH25" s="39"/>
      <c r="AI25" s="32"/>
    </row>
    <row r="26" ht="15.0" customHeight="1">
      <c r="A26" s="52" t="s">
        <v>63</v>
      </c>
      <c r="H26" s="53"/>
      <c r="I26" s="54"/>
      <c r="J26" s="32"/>
      <c r="K26" s="32"/>
      <c r="L26" s="32"/>
      <c r="M26" s="32"/>
      <c r="N26" s="32"/>
      <c r="O26" s="32"/>
      <c r="P26" s="52" t="s">
        <v>63</v>
      </c>
      <c r="W26" s="53"/>
      <c r="X26" s="54"/>
      <c r="Y26" s="32"/>
      <c r="Z26" s="32"/>
      <c r="AA26" s="32"/>
      <c r="AB26" s="32"/>
      <c r="AC26" s="32"/>
      <c r="AD26" s="32"/>
    </row>
    <row r="27">
      <c r="A27" s="55" t="str">
        <f>AE17</f>
        <v>Brenda Baldacchino/Deborah Farrugia</v>
      </c>
      <c r="B27" s="45">
        <v>0.0</v>
      </c>
      <c r="C27" s="56">
        <f>IF(B27&gt;B25,1,0)</f>
        <v>0</v>
      </c>
      <c r="D27" s="57"/>
      <c r="E27" s="45">
        <v>4.0</v>
      </c>
      <c r="F27" s="56">
        <f>IF(E27&gt;E25,1,0)</f>
        <v>0</v>
      </c>
      <c r="G27" s="57"/>
      <c r="H27" s="48"/>
      <c r="I27" s="32">
        <f>IF(H27&gt;H25,1,0)</f>
        <v>0</v>
      </c>
      <c r="J27" s="32">
        <f>IF(B27="",0,1)</f>
        <v>1</v>
      </c>
      <c r="K27" s="32">
        <f>IF(C27+F27=2,3,IF(C27+F27=1,1,0))</f>
        <v>0</v>
      </c>
      <c r="L27" s="32">
        <f>IF(K27=3,3,IF(I27+K27=2,2,IF(K27=1,1,0)))</f>
        <v>0</v>
      </c>
      <c r="M27" s="32">
        <f>B27+E27</f>
        <v>4</v>
      </c>
      <c r="N27" s="32">
        <f>C27+F27+I27</f>
        <v>0</v>
      </c>
      <c r="O27" s="32"/>
      <c r="P27" s="55" t="str">
        <f>AE19</f>
        <v>Katrina Grech/Dawn Azzopardi</v>
      </c>
      <c r="Q27" s="45">
        <v>6.0</v>
      </c>
      <c r="R27" s="56">
        <f>IF(Q27&gt;Q25,1,0)</f>
        <v>1</v>
      </c>
      <c r="S27" s="57"/>
      <c r="T27" s="45">
        <v>6.0</v>
      </c>
      <c r="U27" s="56">
        <f>IF(T27&gt;T25,1,0)</f>
        <v>1</v>
      </c>
      <c r="V27" s="57"/>
      <c r="W27" s="48"/>
      <c r="X27" s="32">
        <f>IF(W27&gt;W25,1,0)</f>
        <v>0</v>
      </c>
      <c r="Y27" s="32">
        <f>IF(Q27="",0,1)</f>
        <v>1</v>
      </c>
      <c r="Z27" s="32">
        <f>IF(R27+U27=2,3,IF(R27+U27=1,1,0))</f>
        <v>3</v>
      </c>
      <c r="AA27" s="32">
        <f>IF(Z27=3,3,IF(X27+Z27=2,2,IF(Z27=1,1,0)))</f>
        <v>3</v>
      </c>
      <c r="AB27" s="32">
        <f>Q27+T27</f>
        <v>12</v>
      </c>
      <c r="AC27" s="32">
        <f>R27+U27+X27</f>
        <v>2</v>
      </c>
      <c r="AD27" s="32"/>
    </row>
    <row r="28" ht="15.0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9"/>
      <c r="AI28" s="32"/>
    </row>
    <row r="29" ht="15.0" customHeight="1">
      <c r="A29" s="44" t="str">
        <f>AE15</f>
        <v>Francesca Sciortino/Julie Spiteri</v>
      </c>
      <c r="B29" s="45">
        <v>6.0</v>
      </c>
      <c r="C29" s="46">
        <f>IF(B29&gt;B31,1,0)</f>
        <v>1</v>
      </c>
      <c r="D29" s="47"/>
      <c r="E29" s="45">
        <v>2.0</v>
      </c>
      <c r="F29" s="46">
        <f>IF(E29&gt;E31,1,0)</f>
        <v>0</v>
      </c>
      <c r="G29" s="47"/>
      <c r="H29" s="45">
        <v>10.0</v>
      </c>
      <c r="I29" s="32">
        <f>IF(H29&gt;H31,1,0)</f>
        <v>1</v>
      </c>
      <c r="J29" s="32">
        <f>IF(B29="",0,1)</f>
        <v>1</v>
      </c>
      <c r="K29" s="32">
        <f>IF(C29+F29=2,3,IF(C29+F29=1,1,0))</f>
        <v>1</v>
      </c>
      <c r="L29" s="32">
        <f>IF(K29=3,3,IF(I29+K29=2,2,IF(K29=1,1,0)))</f>
        <v>2</v>
      </c>
      <c r="M29" s="32">
        <f>B29+E29</f>
        <v>8</v>
      </c>
      <c r="N29" s="32">
        <f>C29+F29+I29</f>
        <v>2</v>
      </c>
      <c r="O29" s="32"/>
      <c r="P29" s="44" t="str">
        <f>AE13</f>
        <v>Giada Sciberras/Jade Sammut</v>
      </c>
      <c r="Q29" s="45">
        <v>3.0</v>
      </c>
      <c r="R29" s="46">
        <f>IF(Q29&gt;Q31,1,0)</f>
        <v>0</v>
      </c>
      <c r="S29" s="47"/>
      <c r="T29" s="45">
        <v>0.0</v>
      </c>
      <c r="U29" s="46">
        <f>IF(T29&gt;T31,1,0)</f>
        <v>0</v>
      </c>
      <c r="V29" s="47"/>
      <c r="W29" s="48"/>
      <c r="X29" s="32">
        <f>IF(W29&gt;W27,1,0)</f>
        <v>0</v>
      </c>
      <c r="Y29" s="32">
        <f>IF(Q29="",0,1)</f>
        <v>1</v>
      </c>
      <c r="Z29" s="32">
        <f>IF(R29+U29=2,3,IF(R29+U29=1,1,0))</f>
        <v>0</v>
      </c>
      <c r="AA29" s="32">
        <f>IF(Z29=3,3,IF(X29+Z29=2,2,IF(Z29=1,1,0)))</f>
        <v>0</v>
      </c>
      <c r="AB29" s="32">
        <f>Q29+T29</f>
        <v>3</v>
      </c>
      <c r="AC29" s="32">
        <f>R29+U29+X29</f>
        <v>0</v>
      </c>
      <c r="AD29" s="32"/>
      <c r="AE29" s="32"/>
      <c r="AF29" s="32"/>
      <c r="AG29" s="32"/>
      <c r="AH29" s="32"/>
      <c r="AI29" s="32"/>
    </row>
    <row r="30">
      <c r="A30" s="52" t="s">
        <v>63</v>
      </c>
      <c r="H30" s="53"/>
      <c r="I30" s="54"/>
      <c r="J30" s="32"/>
      <c r="K30" s="32"/>
      <c r="L30" s="32"/>
      <c r="M30" s="32"/>
      <c r="N30" s="32"/>
      <c r="O30" s="32"/>
      <c r="P30" s="52" t="s">
        <v>63</v>
      </c>
      <c r="W30" s="53"/>
      <c r="X30" s="54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</row>
    <row r="31">
      <c r="A31" s="55" t="str">
        <f>AE19</f>
        <v>Katrina Grech/Dawn Azzopardi</v>
      </c>
      <c r="B31" s="45">
        <v>4.0</v>
      </c>
      <c r="C31" s="56">
        <f>IF(B31&gt;B29,1,0)</f>
        <v>0</v>
      </c>
      <c r="D31" s="57"/>
      <c r="E31" s="45">
        <v>6.0</v>
      </c>
      <c r="F31" s="56">
        <f>IF(E31&gt;E29,1,0)</f>
        <v>1</v>
      </c>
      <c r="G31" s="57"/>
      <c r="H31" s="45">
        <v>8.0</v>
      </c>
      <c r="I31" s="32">
        <f>IF(H31&gt;H29,1,0)</f>
        <v>0</v>
      </c>
      <c r="J31" s="32">
        <f>IF(B31="",0,1)</f>
        <v>1</v>
      </c>
      <c r="K31" s="32">
        <f>IF(C31+F31=2,3,IF(C31+F31=1,1,0))</f>
        <v>1</v>
      </c>
      <c r="L31" s="32">
        <f>IF(K31=3,3,IF(I31+K31=2,2,IF(K31=1,1,0)))</f>
        <v>1</v>
      </c>
      <c r="M31" s="32">
        <f>B31+E31</f>
        <v>10</v>
      </c>
      <c r="N31" s="32">
        <f>C31+F31+I31</f>
        <v>1</v>
      </c>
      <c r="O31" s="32"/>
      <c r="P31" s="55" t="str">
        <f>AE15</f>
        <v>Francesca Sciortino/Julie Spiteri</v>
      </c>
      <c r="Q31" s="45">
        <v>6.0</v>
      </c>
      <c r="R31" s="56">
        <f>IF(Q31&gt;Q29,1,0)</f>
        <v>1</v>
      </c>
      <c r="S31" s="57"/>
      <c r="T31" s="45">
        <v>6.0</v>
      </c>
      <c r="U31" s="56">
        <f>IF(T31&gt;T29,1,0)</f>
        <v>1</v>
      </c>
      <c r="V31" s="57"/>
      <c r="W31" s="48"/>
      <c r="X31" s="32">
        <f>IF(W31&gt;W29,1,0)</f>
        <v>0</v>
      </c>
      <c r="Y31" s="32">
        <f>IF(Q31="",0,1)</f>
        <v>1</v>
      </c>
      <c r="Z31" s="32">
        <f>IF(R31+U31=2,3,IF(R31+U31=1,1,0))</f>
        <v>3</v>
      </c>
      <c r="AA31" s="32">
        <f>IF(Z31=3,3,IF(X31+Z31=2,2,IF(Z31=1,1,0)))</f>
        <v>3</v>
      </c>
      <c r="AB31" s="32">
        <f>Q31+T31</f>
        <v>12</v>
      </c>
      <c r="AC31" s="32">
        <f>R31+U31+X31</f>
        <v>2</v>
      </c>
      <c r="AD31" s="32"/>
      <c r="AE31" s="32"/>
      <c r="AF31" s="32"/>
      <c r="AG31" s="32"/>
      <c r="AH31" s="32"/>
      <c r="AI31" s="32"/>
    </row>
    <row r="32" ht="15.75" customHeight="1"/>
    <row r="33" ht="15.75" customHeight="1">
      <c r="A33" s="44" t="str">
        <f>AE13</f>
        <v>Giada Sciberras/Jade Sammut</v>
      </c>
      <c r="B33" s="45">
        <v>7.0</v>
      </c>
      <c r="C33" s="46">
        <f>IF(B33&gt;B35,1,0)</f>
        <v>1</v>
      </c>
      <c r="D33" s="47"/>
      <c r="E33" s="45">
        <v>6.0</v>
      </c>
      <c r="F33" s="46">
        <f>IF(E33&gt;E35,1,0)</f>
        <v>1</v>
      </c>
      <c r="G33" s="47"/>
      <c r="H33" s="48"/>
      <c r="I33" s="32">
        <f>IF(H33&gt;H31,1,0)</f>
        <v>0</v>
      </c>
      <c r="J33" s="32">
        <f>IF(B33="",0,1)</f>
        <v>1</v>
      </c>
      <c r="K33" s="32">
        <f>IF(C33+F33=2,3,IF(C33+F33=1,1,0))</f>
        <v>3</v>
      </c>
      <c r="L33" s="32">
        <f>IF(K33=3,3,IF(I33+K33=2,2,IF(K33=1,1,0)))</f>
        <v>3</v>
      </c>
      <c r="M33" s="32">
        <f>B33+E33</f>
        <v>13</v>
      </c>
      <c r="N33" s="32">
        <f>C33+F33+I33</f>
        <v>2</v>
      </c>
      <c r="P33" s="44" t="str">
        <f>AE13</f>
        <v>Giada Sciberras/Jade Sammut</v>
      </c>
      <c r="Q33" s="45">
        <v>1.0</v>
      </c>
      <c r="R33" s="46">
        <f>IF(Q33&gt;Q35,1,0)</f>
        <v>0</v>
      </c>
      <c r="S33" s="47"/>
      <c r="T33" s="45">
        <v>1.0</v>
      </c>
      <c r="U33" s="46">
        <f>IF(T33&gt;T35,1,0)</f>
        <v>0</v>
      </c>
      <c r="V33" s="47"/>
      <c r="W33" s="48"/>
      <c r="X33" s="32">
        <f>IF(W33&gt;W31,1,0)</f>
        <v>0</v>
      </c>
      <c r="Y33" s="32">
        <f>IF(Q33="",0,1)</f>
        <v>1</v>
      </c>
      <c r="Z33" s="32">
        <f>IF(R33+U33=2,3,IF(R33+U33=1,1,0))</f>
        <v>0</v>
      </c>
      <c r="AA33" s="32">
        <f>IF(Z33=3,3,IF(X33+Z33=2,2,IF(Z33=1,1,0)))</f>
        <v>0</v>
      </c>
      <c r="AB33" s="32">
        <f>Q33+T33</f>
        <v>2</v>
      </c>
      <c r="AC33" s="32">
        <f>R33+U33+X33</f>
        <v>0</v>
      </c>
    </row>
    <row r="34">
      <c r="A34" s="52" t="s">
        <v>63</v>
      </c>
      <c r="H34" s="53"/>
      <c r="P34" s="52" t="s">
        <v>63</v>
      </c>
      <c r="W34" s="53"/>
    </row>
    <row r="35" ht="15.75" customHeight="1">
      <c r="A35" s="55" t="str">
        <f>AE17</f>
        <v>Brenda Baldacchino/Deborah Farrugia</v>
      </c>
      <c r="B35" s="45">
        <v>6.0</v>
      </c>
      <c r="C35" s="56">
        <f>IF(B35&gt;B33,1,0)</f>
        <v>0</v>
      </c>
      <c r="D35" s="57"/>
      <c r="E35" s="45">
        <v>2.0</v>
      </c>
      <c r="F35" s="56">
        <f>IF(E35&gt;E33,1,0)</f>
        <v>0</v>
      </c>
      <c r="G35" s="57"/>
      <c r="H35" s="48"/>
      <c r="I35" s="32">
        <f>IF(H35&gt;H33,1,0)</f>
        <v>0</v>
      </c>
      <c r="J35" s="32">
        <f>IF(B35="",0,1)</f>
        <v>1</v>
      </c>
      <c r="K35" s="32">
        <f>IF(C35+F35=2,3,IF(C35+F35=1,1,0))</f>
        <v>0</v>
      </c>
      <c r="L35" s="32">
        <f>IF(K35=3,3,IF(I35+K35=2,2,IF(K35=1,1,0)))</f>
        <v>0</v>
      </c>
      <c r="M35" s="32">
        <f>B35+E35</f>
        <v>8</v>
      </c>
      <c r="N35" s="32">
        <f>C35+F35+I35</f>
        <v>0</v>
      </c>
      <c r="P35" s="55" t="str">
        <f>AE19</f>
        <v>Katrina Grech/Dawn Azzopardi</v>
      </c>
      <c r="Q35" s="45">
        <v>6.0</v>
      </c>
      <c r="R35" s="56">
        <f>IF(Q35&gt;Q33,1,0)</f>
        <v>1</v>
      </c>
      <c r="S35" s="57"/>
      <c r="T35" s="45">
        <v>6.0</v>
      </c>
      <c r="U35" s="56">
        <f>IF(T35&gt;T33,1,0)</f>
        <v>1</v>
      </c>
      <c r="V35" s="57"/>
      <c r="W35" s="48"/>
      <c r="X35" s="32">
        <f>IF(W35&gt;W33,1,0)</f>
        <v>0</v>
      </c>
      <c r="Y35" s="32">
        <f>IF(Q35="",0,1)</f>
        <v>1</v>
      </c>
      <c r="Z35" s="32">
        <f>IF(R35+U35=2,3,IF(R35+U35=1,1,0))</f>
        <v>3</v>
      </c>
      <c r="AA35" s="32">
        <f>IF(Z35=3,3,IF(X35+Z35=2,2,IF(Z35=1,1,0)))</f>
        <v>3</v>
      </c>
      <c r="AB35" s="32">
        <f>Q35+T35</f>
        <v>12</v>
      </c>
      <c r="AC35" s="32">
        <f>R35+U35+X35</f>
        <v>2</v>
      </c>
    </row>
    <row r="36" ht="15.75" customHeight="1"/>
    <row r="37">
      <c r="A37" s="44" t="str">
        <f>AE15</f>
        <v>Francesca Sciortino/Julie Spiteri</v>
      </c>
      <c r="B37" s="45">
        <v>6.0</v>
      </c>
      <c r="C37" s="46">
        <f>IF(B37&gt;B39,1,0)</f>
        <v>1</v>
      </c>
      <c r="D37" s="47"/>
      <c r="E37" s="45">
        <v>6.0</v>
      </c>
      <c r="F37" s="46">
        <f>IF(E37&gt;E39,1,0)</f>
        <v>1</v>
      </c>
      <c r="G37" s="47"/>
      <c r="H37" s="48"/>
      <c r="I37" s="32">
        <f>IF(H37&gt;H35,1,0)</f>
        <v>0</v>
      </c>
      <c r="J37" s="32">
        <f>IF(B37="",0,1)</f>
        <v>1</v>
      </c>
      <c r="K37" s="32">
        <f>IF(C37+F37=2,3,IF(C37+F37=1,1,0))</f>
        <v>3</v>
      </c>
      <c r="L37" s="32">
        <f>IF(K37=3,3,IF(I37+K37=2,2,IF(K37=1,1,0)))</f>
        <v>3</v>
      </c>
      <c r="M37" s="32">
        <f>B37+E37</f>
        <v>12</v>
      </c>
      <c r="N37" s="32">
        <f>C37+F37+I37</f>
        <v>2</v>
      </c>
    </row>
    <row r="38">
      <c r="A38" s="52" t="s">
        <v>63</v>
      </c>
      <c r="H38" s="53"/>
    </row>
    <row r="39" ht="15.75" customHeight="1">
      <c r="A39" s="55" t="str">
        <f>AE17</f>
        <v>Brenda Baldacchino/Deborah Farrugia</v>
      </c>
      <c r="B39" s="45">
        <v>3.0</v>
      </c>
      <c r="C39" s="56">
        <f>IF(B39&gt;B37,1,0)</f>
        <v>0</v>
      </c>
      <c r="D39" s="57"/>
      <c r="E39" s="45">
        <v>0.0</v>
      </c>
      <c r="F39" s="56">
        <f>IF(E39&gt;E37,1,0)</f>
        <v>0</v>
      </c>
      <c r="G39" s="57"/>
      <c r="H39" s="48"/>
      <c r="I39" s="32">
        <f>IF(H39&gt;H37,1,0)</f>
        <v>0</v>
      </c>
      <c r="J39" s="32">
        <f>IF(B39="",0,1)</f>
        <v>1</v>
      </c>
      <c r="K39" s="32">
        <f>IF(C39+F39=2,3,IF(C39+F39=1,1,0))</f>
        <v>0</v>
      </c>
      <c r="L39" s="32">
        <f>IF(K39=3,3,IF(I39+K39=2,2,IF(K39=1,1,0)))</f>
        <v>0</v>
      </c>
      <c r="M39" s="32">
        <f>B39+E39</f>
        <v>3</v>
      </c>
      <c r="N39" s="32">
        <f>C39+F39+I39</f>
        <v>0</v>
      </c>
    </row>
    <row r="40" ht="15.75" customHeight="1">
      <c r="H40" s="138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mergeCells count="23">
    <mergeCell ref="A1:AI2"/>
    <mergeCell ref="A5:AI5"/>
    <mergeCell ref="B7:E7"/>
    <mergeCell ref="Q7:T7"/>
    <mergeCell ref="A10:H10"/>
    <mergeCell ref="P10:W10"/>
    <mergeCell ref="P14:W14"/>
    <mergeCell ref="A14:H14"/>
    <mergeCell ref="A18:H18"/>
    <mergeCell ref="P18:W18"/>
    <mergeCell ref="AE21:AI21"/>
    <mergeCell ref="A22:H22"/>
    <mergeCell ref="P22:W22"/>
    <mergeCell ref="AE22:AI22"/>
    <mergeCell ref="A34:H34"/>
    <mergeCell ref="A38:H38"/>
    <mergeCell ref="AE23:AI23"/>
    <mergeCell ref="AE24:AI24"/>
    <mergeCell ref="A26:H26"/>
    <mergeCell ref="P26:W26"/>
    <mergeCell ref="A30:H30"/>
    <mergeCell ref="P30:W30"/>
    <mergeCell ref="P34:W34"/>
  </mergeCells>
  <printOptions/>
  <pageMargins bottom="0.75" footer="0.0" header="0.0" left="0.25" right="0.25" top="0.75"/>
  <pageSetup paperSize="9" scale="63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13"/>
    <col customWidth="1" min="2" max="2" width="7.0"/>
    <col customWidth="1" hidden="1" min="3" max="3" width="4.38"/>
    <col customWidth="1" min="4" max="4" width="1.63"/>
    <col customWidth="1" min="5" max="5" width="7.0"/>
    <col customWidth="1" hidden="1" min="6" max="6" width="3.38"/>
    <col customWidth="1" min="7" max="7" width="1.63"/>
    <col customWidth="1" min="8" max="8" width="7.0"/>
    <col customWidth="1" hidden="1" min="9" max="9" width="4.38"/>
    <col customWidth="1" hidden="1" min="10" max="11" width="3.13"/>
    <col customWidth="1" hidden="1" min="12" max="12" width="4.13"/>
    <col customWidth="1" hidden="1" min="13" max="13" width="3.63"/>
    <col customWidth="1" hidden="1" min="14" max="14" width="4.13"/>
    <col customWidth="1" min="15" max="15" width="6.0"/>
    <col customWidth="1" min="16" max="16" width="40.38"/>
    <col customWidth="1" min="17" max="17" width="7.0"/>
    <col customWidth="1" hidden="1" min="18" max="18" width="4.5"/>
    <col customWidth="1" min="19" max="19" width="1.63"/>
    <col customWidth="1" min="20" max="20" width="7.0"/>
    <col customWidth="1" hidden="1" min="21" max="21" width="4.0"/>
    <col customWidth="1" min="22" max="22" width="1.63"/>
    <col customWidth="1" min="23" max="23" width="7.0"/>
    <col customWidth="1" hidden="1" min="24" max="24" width="4.13"/>
    <col customWidth="1" hidden="1" min="25" max="25" width="4.63"/>
    <col customWidth="1" hidden="1" min="26" max="26" width="3.5"/>
    <col customWidth="1" hidden="1" min="27" max="27" width="4.13"/>
    <col customWidth="1" hidden="1" min="28" max="28" width="3.63"/>
    <col customWidth="1" hidden="1" min="29" max="29" width="4.13"/>
    <col customWidth="1" min="30" max="30" width="5.88"/>
    <col customWidth="1" min="31" max="31" width="40.5"/>
    <col customWidth="1" min="32" max="32" width="10.38"/>
    <col customWidth="1" min="33" max="35" width="8.63"/>
  </cols>
  <sheetData>
    <row r="1" ht="21.0" customHeight="1">
      <c r="A1" s="27" t="s">
        <v>41</v>
      </c>
      <c r="AJ1" s="3"/>
      <c r="AK1" s="3"/>
      <c r="AL1" s="3"/>
    </row>
    <row r="2" ht="21.0" customHeight="1">
      <c r="AJ2" s="3"/>
      <c r="AK2" s="3"/>
      <c r="AL2" s="3"/>
    </row>
    <row r="3" ht="15.0" customHeight="1">
      <c r="A3" s="28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ht="15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ht="22.5" customHeight="1">
      <c r="A5" s="139" t="s">
        <v>95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1"/>
      <c r="AJ5" s="32"/>
      <c r="AK5" s="32"/>
      <c r="AL5" s="32"/>
    </row>
    <row r="6" ht="15.0" customHeigh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</row>
    <row r="7">
      <c r="A7" s="140" t="s">
        <v>43</v>
      </c>
      <c r="B7" s="141" t="s">
        <v>44</v>
      </c>
      <c r="C7" s="35"/>
      <c r="D7" s="35"/>
      <c r="E7" s="36"/>
      <c r="F7" s="37"/>
      <c r="G7" s="38"/>
      <c r="H7" s="140" t="s">
        <v>45</v>
      </c>
      <c r="I7" s="32"/>
      <c r="J7" s="32"/>
      <c r="K7" s="32"/>
      <c r="L7" s="32"/>
      <c r="M7" s="39"/>
      <c r="N7" s="39"/>
      <c r="O7" s="39"/>
      <c r="P7" s="140" t="s">
        <v>43</v>
      </c>
      <c r="Q7" s="141" t="s">
        <v>44</v>
      </c>
      <c r="R7" s="35"/>
      <c r="S7" s="35"/>
      <c r="T7" s="36"/>
      <c r="U7" s="37"/>
      <c r="V7" s="38"/>
      <c r="W7" s="140" t="s">
        <v>45</v>
      </c>
      <c r="X7" s="32"/>
      <c r="Y7" s="39"/>
      <c r="Z7" s="39"/>
      <c r="AA7" s="39"/>
      <c r="AB7" s="39"/>
      <c r="AC7" s="39"/>
      <c r="AD7" s="39"/>
      <c r="AE7" s="140" t="s">
        <v>46</v>
      </c>
      <c r="AF7" s="140" t="s">
        <v>47</v>
      </c>
      <c r="AG7" s="140" t="s">
        <v>48</v>
      </c>
      <c r="AH7" s="140" t="s">
        <v>49</v>
      </c>
      <c r="AI7" s="140" t="s">
        <v>50</v>
      </c>
      <c r="AJ7" s="39"/>
      <c r="AK7" s="39"/>
      <c r="AL7" s="32"/>
    </row>
    <row r="8" hidden="1">
      <c r="A8" s="32"/>
      <c r="B8" s="42" t="s">
        <v>51</v>
      </c>
      <c r="C8" s="42" t="s">
        <v>52</v>
      </c>
      <c r="D8" s="42"/>
      <c r="E8" s="42" t="s">
        <v>51</v>
      </c>
      <c r="F8" s="42" t="s">
        <v>53</v>
      </c>
      <c r="G8" s="42"/>
      <c r="H8" s="42" t="s">
        <v>51</v>
      </c>
      <c r="I8" s="42" t="s">
        <v>54</v>
      </c>
      <c r="J8" s="42" t="s">
        <v>55</v>
      </c>
      <c r="K8" s="42" t="s">
        <v>56</v>
      </c>
      <c r="L8" s="42" t="s">
        <v>57</v>
      </c>
      <c r="M8" s="42" t="s">
        <v>58</v>
      </c>
      <c r="N8" s="42" t="s">
        <v>59</v>
      </c>
      <c r="O8" s="32"/>
      <c r="P8" s="32"/>
      <c r="Q8" s="42" t="s">
        <v>51</v>
      </c>
      <c r="R8" s="42" t="s">
        <v>52</v>
      </c>
      <c r="S8" s="42"/>
      <c r="T8" s="42" t="s">
        <v>51</v>
      </c>
      <c r="U8" s="42" t="s">
        <v>53</v>
      </c>
      <c r="V8" s="42"/>
      <c r="W8" s="42" t="s">
        <v>51</v>
      </c>
      <c r="X8" s="42" t="s">
        <v>54</v>
      </c>
      <c r="Y8" s="42" t="s">
        <v>55</v>
      </c>
      <c r="Z8" s="42" t="s">
        <v>56</v>
      </c>
      <c r="AA8" s="42" t="s">
        <v>57</v>
      </c>
      <c r="AB8" s="42" t="s">
        <v>58</v>
      </c>
      <c r="AC8" s="42" t="s">
        <v>59</v>
      </c>
      <c r="AD8" s="32"/>
      <c r="AE8" s="134"/>
      <c r="AF8" s="39"/>
      <c r="AG8" s="39"/>
      <c r="AH8" s="39"/>
      <c r="AI8" s="39"/>
      <c r="AJ8" s="42" t="s">
        <v>60</v>
      </c>
      <c r="AK8" s="66" t="s">
        <v>61</v>
      </c>
      <c r="AL8" s="67" t="s">
        <v>62</v>
      </c>
    </row>
    <row r="9" ht="15.0" customHeight="1">
      <c r="A9" s="44" t="str">
        <f>AE9</f>
        <v>Nancy Wong/Jin Attard</v>
      </c>
      <c r="B9" s="45">
        <v>6.0</v>
      </c>
      <c r="C9" s="46">
        <f>IF(B9&gt;B11,1,0)</f>
        <v>1</v>
      </c>
      <c r="D9" s="47"/>
      <c r="E9" s="45">
        <v>6.0</v>
      </c>
      <c r="F9" s="46">
        <f>IF(E9&gt;E11,1,0)</f>
        <v>1</v>
      </c>
      <c r="G9" s="47"/>
      <c r="H9" s="48"/>
      <c r="I9" s="32">
        <f>IF(H9&gt;H11,1,0)</f>
        <v>0</v>
      </c>
      <c r="J9" s="32">
        <f>IF(B9="",0,1)</f>
        <v>1</v>
      </c>
      <c r="K9" s="32">
        <f>IF(C9+F9=2,3,IF(C9+F9=1,1,0))</f>
        <v>3</v>
      </c>
      <c r="L9" s="32">
        <f>IF(K9=3,3,IF(I9+K9=2,2,IF(K9=1,1,0)))</f>
        <v>3</v>
      </c>
      <c r="M9" s="32">
        <f>B9+E9</f>
        <v>12</v>
      </c>
      <c r="N9" s="32">
        <f>C9+F9+I9</f>
        <v>2</v>
      </c>
      <c r="O9" s="32"/>
      <c r="P9" s="44" t="str">
        <f>AE9</f>
        <v>Nancy Wong/Jin Attard</v>
      </c>
      <c r="Q9" s="45">
        <v>6.0</v>
      </c>
      <c r="R9" s="46">
        <f>IF(Q9&gt;Q11,1,0)</f>
        <v>1</v>
      </c>
      <c r="S9" s="47"/>
      <c r="T9" s="45">
        <v>6.0</v>
      </c>
      <c r="U9" s="46">
        <f>IF(T9&gt;T11,1,0)</f>
        <v>1</v>
      </c>
      <c r="V9" s="47"/>
      <c r="W9" s="48"/>
      <c r="X9" s="32">
        <f>IF(W9&gt;W11,1,0)</f>
        <v>0</v>
      </c>
      <c r="Y9" s="32">
        <f>IF(Q9="",0,1)</f>
        <v>1</v>
      </c>
      <c r="Z9" s="32">
        <f>IF(R9+U9=2,3,IF(R9+U9=1,1,0))</f>
        <v>3</v>
      </c>
      <c r="AA9" s="32">
        <f>IF(Z9=3,3,IF(X9+Z9=2,2,IF(Z9=1,1,0)))</f>
        <v>3</v>
      </c>
      <c r="AB9" s="32">
        <f>Q9+T9</f>
        <v>12</v>
      </c>
      <c r="AC9" s="32">
        <f>R9+U9+X9</f>
        <v>2</v>
      </c>
      <c r="AD9" s="32"/>
      <c r="AE9" s="142" t="str">
        <f>'Players Ladies'!B22</f>
        <v>Nancy Wong/Jin Attard</v>
      </c>
      <c r="AF9" s="50">
        <f>J9+Y9+J13+Y13+J17</f>
        <v>5</v>
      </c>
      <c r="AG9" s="50">
        <f t="shared" ref="AG9:AI9" si="1">L9+AA9+L13+AA13+L17</f>
        <v>15</v>
      </c>
      <c r="AH9" s="50">
        <f t="shared" si="1"/>
        <v>60</v>
      </c>
      <c r="AI9" s="51">
        <f t="shared" si="1"/>
        <v>10</v>
      </c>
      <c r="AJ9" s="32"/>
      <c r="AK9" s="32"/>
      <c r="AL9" s="32"/>
    </row>
    <row r="10" ht="15.0" customHeight="1">
      <c r="A10" s="52" t="s">
        <v>63</v>
      </c>
      <c r="H10" s="53"/>
      <c r="I10" s="54"/>
      <c r="J10" s="32"/>
      <c r="K10" s="32"/>
      <c r="L10" s="32"/>
      <c r="M10" s="32"/>
      <c r="N10" s="32"/>
      <c r="O10" s="32"/>
      <c r="P10" s="52" t="s">
        <v>63</v>
      </c>
      <c r="W10" s="53"/>
      <c r="X10" s="54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9"/>
      <c r="AL10" s="32"/>
    </row>
    <row r="11" ht="15.0" customHeight="1">
      <c r="A11" s="55" t="str">
        <f>AE11</f>
        <v>Helga Azzopardi/Angele Pule'</v>
      </c>
      <c r="B11" s="45">
        <v>2.0</v>
      </c>
      <c r="C11" s="56">
        <f>IF(B11&gt;B9,1,0)</f>
        <v>0</v>
      </c>
      <c r="D11" s="57"/>
      <c r="E11" s="45">
        <v>3.0</v>
      </c>
      <c r="F11" s="56">
        <f>IF(E11&gt;E9,1,0)</f>
        <v>0</v>
      </c>
      <c r="G11" s="57"/>
      <c r="H11" s="48"/>
      <c r="I11" s="32">
        <f>IF(H11&gt;H9,1,0)</f>
        <v>0</v>
      </c>
      <c r="J11" s="32">
        <f>IF(B11="",0,1)</f>
        <v>1</v>
      </c>
      <c r="K11" s="32">
        <f>IF(C11+F11=2,3,IF(C11+F11=1,1,0))</f>
        <v>0</v>
      </c>
      <c r="L11" s="32">
        <f>IF(K11=3,3,IF(I11+K11=2,2,IF(K11=1,1,0)))</f>
        <v>0</v>
      </c>
      <c r="M11" s="32">
        <f>B11+E11</f>
        <v>5</v>
      </c>
      <c r="N11" s="32">
        <f>C11+F11+I11</f>
        <v>0</v>
      </c>
      <c r="O11" s="32"/>
      <c r="P11" s="55" t="str">
        <f>AE13</f>
        <v>Tiffany Fenech/Martina Murdocco</v>
      </c>
      <c r="Q11" s="45">
        <v>1.0</v>
      </c>
      <c r="R11" s="56">
        <f>IF(Q11&gt;Q9,1,0)</f>
        <v>0</v>
      </c>
      <c r="S11" s="57"/>
      <c r="T11" s="45">
        <v>0.0</v>
      </c>
      <c r="U11" s="56">
        <f>IF(T11&gt;T9,1,0)</f>
        <v>0</v>
      </c>
      <c r="V11" s="57"/>
      <c r="W11" s="48"/>
      <c r="X11" s="32">
        <f>IF(W11&gt;W9,1,0)</f>
        <v>0</v>
      </c>
      <c r="Y11" s="32">
        <f>IF(Q11="",0,1)</f>
        <v>1</v>
      </c>
      <c r="Z11" s="32">
        <f>IF(R11+U11=2,3,IF(R11+U11=1,1,0))</f>
        <v>0</v>
      </c>
      <c r="AA11" s="32">
        <f>IF(Z11=3,3,IF(X11+Z11=2,2,IF(Z11=1,1,0)))</f>
        <v>0</v>
      </c>
      <c r="AB11" s="32">
        <f>Q11+T11</f>
        <v>1</v>
      </c>
      <c r="AC11" s="32">
        <f>R11+U11+X11</f>
        <v>0</v>
      </c>
      <c r="AD11" s="32"/>
      <c r="AE11" s="142" t="str">
        <f>'Players Ladies'!B23</f>
        <v>Helga Azzopardi/Angele Pule'</v>
      </c>
      <c r="AF11" s="50">
        <f>J11+Y25+J25+Y21+J21</f>
        <v>5</v>
      </c>
      <c r="AG11" s="50">
        <f t="shared" ref="AG11:AI11" si="2">L11+AA25+L25+AA21+L21</f>
        <v>11</v>
      </c>
      <c r="AH11" s="50">
        <f t="shared" si="2"/>
        <v>50</v>
      </c>
      <c r="AI11" s="51">
        <f t="shared" si="2"/>
        <v>8</v>
      </c>
      <c r="AJ11" s="39"/>
      <c r="AK11" s="39"/>
      <c r="AL11" s="32"/>
    </row>
    <row r="12" ht="15.0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9"/>
      <c r="AG12" s="39"/>
      <c r="AH12" s="39"/>
      <c r="AI12" s="39"/>
      <c r="AJ12" s="39"/>
      <c r="AK12" s="39"/>
      <c r="AL12" s="32"/>
    </row>
    <row r="13" ht="15.0" customHeight="1">
      <c r="A13" s="44" t="str">
        <f>AE9</f>
        <v>Nancy Wong/Jin Attard</v>
      </c>
      <c r="B13" s="45">
        <v>6.0</v>
      </c>
      <c r="C13" s="46">
        <f>IF(B13&gt;B15,1,0)</f>
        <v>1</v>
      </c>
      <c r="D13" s="47"/>
      <c r="E13" s="45">
        <v>6.0</v>
      </c>
      <c r="F13" s="46">
        <f>IF(E13&gt;E15,1,0)</f>
        <v>1</v>
      </c>
      <c r="G13" s="47"/>
      <c r="H13" s="48"/>
      <c r="I13" s="32">
        <f>IF(H13&gt;H15,1,0)</f>
        <v>0</v>
      </c>
      <c r="J13" s="32">
        <f>IF(B13="",0,1)</f>
        <v>1</v>
      </c>
      <c r="K13" s="32">
        <f>IF(C13+F13=2,3,IF(C13+F13=1,1,0))</f>
        <v>3</v>
      </c>
      <c r="L13" s="32">
        <f>IF(K13=3,3,IF(I13+K13=2,2,IF(K13=1,1,0)))</f>
        <v>3</v>
      </c>
      <c r="M13" s="32">
        <f>B13+E13</f>
        <v>12</v>
      </c>
      <c r="N13" s="32">
        <f>C13+F13+I13</f>
        <v>2</v>
      </c>
      <c r="O13" s="32"/>
      <c r="P13" s="44" t="str">
        <f>AE9</f>
        <v>Nancy Wong/Jin Attard</v>
      </c>
      <c r="Q13" s="45">
        <v>6.0</v>
      </c>
      <c r="R13" s="46">
        <f>IF(Q13&gt;Q15,1,0)</f>
        <v>1</v>
      </c>
      <c r="S13" s="47"/>
      <c r="T13" s="45">
        <v>6.0</v>
      </c>
      <c r="U13" s="46">
        <f>IF(T13&gt;T15,1,0)</f>
        <v>1</v>
      </c>
      <c r="V13" s="47"/>
      <c r="W13" s="48"/>
      <c r="X13" s="32">
        <f>IF(W13&gt;W15,1,0)</f>
        <v>0</v>
      </c>
      <c r="Y13" s="32">
        <f>IF(Q13="",0,1)</f>
        <v>1</v>
      </c>
      <c r="Z13" s="32">
        <f>IF(R13+U13=2,3,IF(R13+U13=1,1,0))</f>
        <v>3</v>
      </c>
      <c r="AA13" s="32">
        <f>IF(Z13=3,3,IF(X13+Z13=2,2,IF(Z13=1,1,0)))</f>
        <v>3</v>
      </c>
      <c r="AB13" s="32">
        <f>Q13+T13</f>
        <v>12</v>
      </c>
      <c r="AC13" s="32">
        <f>R13+U13+X13</f>
        <v>2</v>
      </c>
      <c r="AD13" s="32"/>
      <c r="AE13" s="142" t="str">
        <f>'Players Ladies'!B24</f>
        <v>Tiffany Fenech/Martina Murdocco</v>
      </c>
      <c r="AF13" s="50">
        <f>Y29+Y11+Y33+J33+J23</f>
        <v>5</v>
      </c>
      <c r="AG13" s="50">
        <f t="shared" ref="AG13:AI13" si="3">AA29+AA11+AA33+L33+L23</f>
        <v>5</v>
      </c>
      <c r="AH13" s="50">
        <f t="shared" si="3"/>
        <v>33</v>
      </c>
      <c r="AI13" s="51">
        <f t="shared" si="3"/>
        <v>4</v>
      </c>
      <c r="AJ13" s="39"/>
      <c r="AK13" s="39"/>
      <c r="AL13" s="32"/>
    </row>
    <row r="14" ht="15.0" customHeight="1">
      <c r="A14" s="52" t="s">
        <v>63</v>
      </c>
      <c r="H14" s="53"/>
      <c r="I14" s="54"/>
      <c r="J14" s="32"/>
      <c r="K14" s="32"/>
      <c r="L14" s="32"/>
      <c r="M14" s="32"/>
      <c r="N14" s="32"/>
      <c r="O14" s="32"/>
      <c r="P14" s="52" t="s">
        <v>63</v>
      </c>
      <c r="W14" s="53"/>
      <c r="X14" s="54"/>
      <c r="Y14" s="32"/>
      <c r="Z14" s="32"/>
      <c r="AA14" s="32"/>
      <c r="AB14" s="32"/>
      <c r="AC14" s="32"/>
      <c r="AD14" s="32"/>
      <c r="AE14" s="32"/>
      <c r="AF14" s="39"/>
      <c r="AG14" s="39"/>
      <c r="AH14" s="39"/>
      <c r="AI14" s="39"/>
      <c r="AJ14" s="39"/>
      <c r="AK14" s="39"/>
      <c r="AL14" s="32"/>
    </row>
    <row r="15" ht="15.0" customHeight="1">
      <c r="A15" s="55" t="str">
        <f>AE15</f>
        <v>Leanne Sammut/Daphne Vella</v>
      </c>
      <c r="B15" s="45">
        <v>1.0</v>
      </c>
      <c r="C15" s="56">
        <f>IF(B15&gt;B13,1,0)</f>
        <v>0</v>
      </c>
      <c r="D15" s="57"/>
      <c r="E15" s="45">
        <v>0.0</v>
      </c>
      <c r="F15" s="56">
        <f>IF(E15&gt;E13,1,0)</f>
        <v>0</v>
      </c>
      <c r="G15" s="57"/>
      <c r="H15" s="48"/>
      <c r="I15" s="32">
        <f>IF(H15&gt;H13,1,0)</f>
        <v>0</v>
      </c>
      <c r="J15" s="32">
        <f>IF(B15="",0,1)</f>
        <v>1</v>
      </c>
      <c r="K15" s="32">
        <f>IF(C15+F15=2,3,IF(C15+F15=1,1,0))</f>
        <v>0</v>
      </c>
      <c r="L15" s="32">
        <f>IF(K15=3,3,IF(I15+K15=2,2,IF(K15=1,1,0)))</f>
        <v>0</v>
      </c>
      <c r="M15" s="32">
        <f>B15+E15</f>
        <v>1</v>
      </c>
      <c r="N15" s="32">
        <f>C15+F15+I15</f>
        <v>0</v>
      </c>
      <c r="O15" s="32"/>
      <c r="P15" s="55" t="str">
        <f>AE17</f>
        <v>Mary Borg/Sharleen Sciberras</v>
      </c>
      <c r="Q15" s="45">
        <v>3.0</v>
      </c>
      <c r="R15" s="56">
        <f>IF(Q15&gt;Q13,1,0)</f>
        <v>0</v>
      </c>
      <c r="S15" s="57"/>
      <c r="T15" s="45">
        <v>2.0</v>
      </c>
      <c r="U15" s="56">
        <f>IF(T15&gt;T13,1,0)</f>
        <v>0</v>
      </c>
      <c r="V15" s="57"/>
      <c r="W15" s="48"/>
      <c r="X15" s="32">
        <f>IF(W15&gt;W13,1,0)</f>
        <v>0</v>
      </c>
      <c r="Y15" s="32">
        <f>IF(Q15="",0,1)</f>
        <v>1</v>
      </c>
      <c r="Z15" s="32">
        <f>IF(R15+U15=2,3,IF(R15+U15=1,1,0))</f>
        <v>0</v>
      </c>
      <c r="AA15" s="32">
        <f>IF(Z15=3,3,IF(X15+Z15=2,2,IF(Z15=1,1,0)))</f>
        <v>0</v>
      </c>
      <c r="AB15" s="32">
        <f>Q15+T15</f>
        <v>5</v>
      </c>
      <c r="AC15" s="32">
        <f>R15+U15+X15</f>
        <v>0</v>
      </c>
      <c r="AD15" s="32"/>
      <c r="AE15" s="142" t="str">
        <f>'Players Ladies'!B25</f>
        <v>Leanne Sammut/Daphne Vella</v>
      </c>
      <c r="AF15" s="50">
        <f>Y31+J37+J15+Y23+J29</f>
        <v>5</v>
      </c>
      <c r="AG15" s="50">
        <f t="shared" ref="AG15:AI15" si="4">AA31+L37+L15+AA23+L29</f>
        <v>9</v>
      </c>
      <c r="AH15" s="50">
        <f t="shared" si="4"/>
        <v>44</v>
      </c>
      <c r="AI15" s="51">
        <f t="shared" si="4"/>
        <v>7</v>
      </c>
      <c r="AJ15" s="39"/>
      <c r="AK15" s="39"/>
      <c r="AL15" s="32"/>
    </row>
    <row r="17" ht="15.0" customHeight="1">
      <c r="A17" s="44" t="str">
        <f>AE9</f>
        <v>Nancy Wong/Jin Attard</v>
      </c>
      <c r="B17" s="45">
        <v>6.0</v>
      </c>
      <c r="C17" s="46">
        <f>IF(B17&gt;B19,1,0)</f>
        <v>1</v>
      </c>
      <c r="D17" s="47"/>
      <c r="E17" s="45">
        <v>6.0</v>
      </c>
      <c r="F17" s="46">
        <f>IF(E17&gt;E19,1,0)</f>
        <v>1</v>
      </c>
      <c r="G17" s="47"/>
      <c r="H17" s="48"/>
      <c r="I17" s="32">
        <f>IF(H17&gt;H19,1,0)</f>
        <v>0</v>
      </c>
      <c r="J17" s="32">
        <f>IF(B17="",0,1)</f>
        <v>1</v>
      </c>
      <c r="K17" s="32">
        <f>IF(C17+F17=2,3,IF(C17+F17=1,1,0))</f>
        <v>3</v>
      </c>
      <c r="L17" s="32">
        <f>IF(K17=3,3,IF(I17+K17=2,2,IF(K17=1,1,0)))</f>
        <v>3</v>
      </c>
      <c r="M17" s="32">
        <f>B17+E17</f>
        <v>12</v>
      </c>
      <c r="N17" s="32">
        <f>C17+F17+I17</f>
        <v>2</v>
      </c>
      <c r="O17" s="32"/>
      <c r="P17" s="44" t="str">
        <f>AE17</f>
        <v>Mary Borg/Sharleen Sciberras</v>
      </c>
      <c r="Q17" s="45">
        <v>6.0</v>
      </c>
      <c r="R17" s="46">
        <f>IF(Q17&gt;Q19,1,0)</f>
        <v>1</v>
      </c>
      <c r="S17" s="47"/>
      <c r="T17" s="45">
        <v>6.0</v>
      </c>
      <c r="U17" s="46">
        <f>IF(T17&gt;T19,1,0)</f>
        <v>1</v>
      </c>
      <c r="V17" s="47"/>
      <c r="W17" s="48"/>
      <c r="X17" s="32">
        <f>IF(W17&gt;W19,1,0)</f>
        <v>0</v>
      </c>
      <c r="Y17" s="32">
        <f>IF(Q17="",0,1)</f>
        <v>1</v>
      </c>
      <c r="Z17" s="32">
        <f>IF(R17+U17=2,3,IF(R17+U17=1,1,0))</f>
        <v>3</v>
      </c>
      <c r="AA17" s="32">
        <f>IF(Z17=3,3,IF(X17+Z17=2,2,IF(Z17=1,1,0)))</f>
        <v>3</v>
      </c>
      <c r="AB17" s="32">
        <f>Q17+T17</f>
        <v>12</v>
      </c>
      <c r="AC17" s="32">
        <f>R17+U17+X17</f>
        <v>2</v>
      </c>
      <c r="AD17" s="32"/>
      <c r="AE17" s="142" t="str">
        <f>'Players Ladies'!B26</f>
        <v>Mary Borg/Sharleen Sciberras</v>
      </c>
      <c r="AF17" s="50">
        <f>Y17+J39+J27+Y15+J35</f>
        <v>5</v>
      </c>
      <c r="AG17" s="50">
        <f t="shared" ref="AG17:AI17" si="5">AA17+L39+L27+AA15+L35</f>
        <v>4</v>
      </c>
      <c r="AH17" s="50">
        <f t="shared" si="5"/>
        <v>35</v>
      </c>
      <c r="AI17" s="51">
        <f t="shared" si="5"/>
        <v>3</v>
      </c>
    </row>
    <row r="18" ht="15.0" customHeight="1">
      <c r="A18" s="52" t="s">
        <v>63</v>
      </c>
      <c r="H18" s="53"/>
      <c r="I18" s="54"/>
      <c r="J18" s="32"/>
      <c r="K18" s="32"/>
      <c r="L18" s="32"/>
      <c r="M18" s="32"/>
      <c r="N18" s="32"/>
      <c r="O18" s="32"/>
      <c r="P18" s="52" t="s">
        <v>63</v>
      </c>
      <c r="W18" s="53"/>
      <c r="X18" s="54"/>
      <c r="Y18" s="32"/>
      <c r="Z18" s="32"/>
      <c r="AA18" s="32"/>
      <c r="AB18" s="32"/>
      <c r="AC18" s="32"/>
      <c r="AD18" s="32"/>
      <c r="AE18" s="32"/>
      <c r="AF18" s="39"/>
      <c r="AG18" s="39"/>
      <c r="AH18" s="39"/>
      <c r="AI18" s="39"/>
    </row>
    <row r="19" ht="15.0" customHeight="1">
      <c r="A19" s="55" t="str">
        <f>AE19</f>
        <v>Jean Frendo/Antoinette Aquilina</v>
      </c>
      <c r="B19" s="45">
        <v>1.0</v>
      </c>
      <c r="C19" s="56">
        <f>IF(B19&gt;B17,1,0)</f>
        <v>0</v>
      </c>
      <c r="D19" s="57"/>
      <c r="E19" s="45">
        <v>2.0</v>
      </c>
      <c r="F19" s="56">
        <f>IF(E19&gt;E17,1,0)</f>
        <v>0</v>
      </c>
      <c r="G19" s="57"/>
      <c r="H19" s="48"/>
      <c r="I19" s="32">
        <f>IF(H19&gt;H17,1,0)</f>
        <v>0</v>
      </c>
      <c r="J19" s="32">
        <f>IF(B19="",0,1)</f>
        <v>1</v>
      </c>
      <c r="K19" s="32">
        <f>IF(C19+F19=2,3,IF(C19+F19=1,1,0))</f>
        <v>0</v>
      </c>
      <c r="L19" s="32">
        <f>IF(K19=3,3,IF(I19+K19=2,2,IF(K19=1,1,0)))</f>
        <v>0</v>
      </c>
      <c r="M19" s="32">
        <f>B19+E19</f>
        <v>3</v>
      </c>
      <c r="N19" s="32">
        <f>C19+F19+I19</f>
        <v>0</v>
      </c>
      <c r="O19" s="32"/>
      <c r="P19" s="55" t="str">
        <f>AE19</f>
        <v>Jean Frendo/Antoinette Aquilina</v>
      </c>
      <c r="Q19" s="45">
        <v>4.0</v>
      </c>
      <c r="R19" s="56">
        <f>IF(Q19&gt;Q17,1,0)</f>
        <v>0</v>
      </c>
      <c r="S19" s="57"/>
      <c r="T19" s="45">
        <v>3.0</v>
      </c>
      <c r="U19" s="56">
        <f>IF(T19&gt;T17,1,0)</f>
        <v>0</v>
      </c>
      <c r="V19" s="57"/>
      <c r="W19" s="48"/>
      <c r="X19" s="32">
        <f>IF(W19&gt;W17,1,0)</f>
        <v>0</v>
      </c>
      <c r="Y19" s="32">
        <f>IF(Q19="",0,1)</f>
        <v>1</v>
      </c>
      <c r="Z19" s="32">
        <f>IF(R19+U19=2,3,IF(R19+U19=1,1,0))</f>
        <v>0</v>
      </c>
      <c r="AA19" s="32">
        <f>IF(Z19=3,3,IF(X19+Z19=2,2,IF(Z19=1,1,0)))</f>
        <v>0</v>
      </c>
      <c r="AB19" s="32">
        <f>Q19+T19</f>
        <v>7</v>
      </c>
      <c r="AC19" s="32">
        <f>R19+U19+X19</f>
        <v>0</v>
      </c>
      <c r="AD19" s="32"/>
      <c r="AE19" s="142" t="str">
        <f>'Players Ladies'!B27</f>
        <v>Jean Frendo/Antoinette Aquilina</v>
      </c>
      <c r="AF19" s="50">
        <f>Y19+Y27+Y35+J19+J31</f>
        <v>5</v>
      </c>
      <c r="AG19" s="50">
        <f t="shared" ref="AG19:AI19" si="6">AA19+AA27+AA35+L19+L31</f>
        <v>1</v>
      </c>
      <c r="AH19" s="50">
        <f t="shared" si="6"/>
        <v>23</v>
      </c>
      <c r="AI19" s="51">
        <f t="shared" si="6"/>
        <v>1</v>
      </c>
    </row>
    <row r="20" ht="15.0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</row>
    <row r="21" ht="15.0" customHeight="1">
      <c r="A21" s="44" t="str">
        <f>AE11</f>
        <v>Helga Azzopardi/Angele Pule'</v>
      </c>
      <c r="B21" s="45">
        <v>6.0</v>
      </c>
      <c r="C21" s="46">
        <f>IF(B21&gt;B23,1,0)</f>
        <v>1</v>
      </c>
      <c r="D21" s="47"/>
      <c r="E21" s="45">
        <v>6.0</v>
      </c>
      <c r="F21" s="46">
        <f>IF(E21&gt;E23,1,0)</f>
        <v>1</v>
      </c>
      <c r="G21" s="47"/>
      <c r="H21" s="48"/>
      <c r="I21" s="32">
        <f>IF(H21&gt;H23,1,0)</f>
        <v>0</v>
      </c>
      <c r="J21" s="32">
        <f>IF(B21="",0,1)</f>
        <v>1</v>
      </c>
      <c r="K21" s="32">
        <f>IF(C21+F21=2,3,IF(C21+F21=1,1,0))</f>
        <v>3</v>
      </c>
      <c r="L21" s="32">
        <f>IF(K21=3,3,IF(I21+K21=2,2,IF(K21=1,1,0)))</f>
        <v>3</v>
      </c>
      <c r="M21" s="32">
        <f>B21+E21</f>
        <v>12</v>
      </c>
      <c r="N21" s="32">
        <f>C21+F21+I21</f>
        <v>2</v>
      </c>
      <c r="O21" s="32"/>
      <c r="P21" s="44" t="str">
        <f>AE11</f>
        <v>Helga Azzopardi/Angele Pule'</v>
      </c>
      <c r="Q21" s="45">
        <v>3.0</v>
      </c>
      <c r="R21" s="46">
        <f>IF(Q21&gt;Q23,1,0)</f>
        <v>0</v>
      </c>
      <c r="S21" s="47"/>
      <c r="T21" s="45">
        <v>6.0</v>
      </c>
      <c r="U21" s="46">
        <f>IF(T21&gt;T23,1,0)</f>
        <v>1</v>
      </c>
      <c r="V21" s="47"/>
      <c r="W21" s="45">
        <v>10.0</v>
      </c>
      <c r="X21" s="32">
        <f>IF(W21&gt;W23,1,0)</f>
        <v>1</v>
      </c>
      <c r="Y21" s="32">
        <f>IF(Q21="",0,1)</f>
        <v>1</v>
      </c>
      <c r="Z21" s="32">
        <f>IF(R21+U21=2,3,IF(R21+U21=1,1,0))</f>
        <v>1</v>
      </c>
      <c r="AA21" s="32">
        <f>IF(Z21=3,3,IF(X21+Z21=2,2,IF(Z21=1,1,0)))</f>
        <v>2</v>
      </c>
      <c r="AB21" s="32">
        <f>Q21+T21</f>
        <v>9</v>
      </c>
      <c r="AC21" s="32">
        <f>R21+U21+X21</f>
        <v>2</v>
      </c>
      <c r="AD21" s="32"/>
      <c r="AE21" s="141" t="s">
        <v>70</v>
      </c>
      <c r="AF21" s="35"/>
      <c r="AG21" s="35"/>
      <c r="AH21" s="35"/>
      <c r="AI21" s="36"/>
    </row>
    <row r="22" ht="15.0" customHeight="1">
      <c r="A22" s="52" t="s">
        <v>63</v>
      </c>
      <c r="H22" s="53"/>
      <c r="I22" s="54"/>
      <c r="J22" s="32"/>
      <c r="K22" s="32"/>
      <c r="L22" s="32"/>
      <c r="M22" s="32"/>
      <c r="N22" s="32"/>
      <c r="O22" s="32"/>
      <c r="P22" s="52" t="s">
        <v>63</v>
      </c>
      <c r="W22" s="53"/>
      <c r="X22" s="54"/>
      <c r="Y22" s="32"/>
      <c r="Z22" s="32"/>
      <c r="AA22" s="32"/>
      <c r="AB22" s="32"/>
      <c r="AC22" s="32"/>
      <c r="AD22" s="32"/>
      <c r="AE22" s="60" t="s">
        <v>97</v>
      </c>
      <c r="AF22" s="35"/>
      <c r="AG22" s="35"/>
      <c r="AH22" s="35"/>
      <c r="AI22" s="36"/>
    </row>
    <row r="23" ht="15.0" customHeight="1">
      <c r="A23" s="55" t="str">
        <f>AE13</f>
        <v>Tiffany Fenech/Martina Murdocco</v>
      </c>
      <c r="B23" s="45">
        <v>3.0</v>
      </c>
      <c r="C23" s="56">
        <f>IF(B23&gt;B21,1,0)</f>
        <v>0</v>
      </c>
      <c r="D23" s="57"/>
      <c r="E23" s="45">
        <v>3.0</v>
      </c>
      <c r="F23" s="56">
        <f>IF(E23&gt;E21,1,0)</f>
        <v>0</v>
      </c>
      <c r="G23" s="57"/>
      <c r="H23" s="48"/>
      <c r="I23" s="32">
        <f>IF(H23&gt;H21,1,0)</f>
        <v>0</v>
      </c>
      <c r="J23" s="32">
        <f>IF(B23="",0,1)</f>
        <v>1</v>
      </c>
      <c r="K23" s="32">
        <f>IF(C23+F23=2,3,IF(C23+F23=1,1,0))</f>
        <v>0</v>
      </c>
      <c r="L23" s="32">
        <f>IF(K23=3,3,IF(I23+K23=2,2,IF(K23=1,1,0)))</f>
        <v>0</v>
      </c>
      <c r="M23" s="32">
        <f>B23+E23</f>
        <v>6</v>
      </c>
      <c r="N23" s="32">
        <f>C23+F23+I23</f>
        <v>0</v>
      </c>
      <c r="O23" s="32"/>
      <c r="P23" s="55" t="str">
        <f>AE15</f>
        <v>Leanne Sammut/Daphne Vella</v>
      </c>
      <c r="Q23" s="45">
        <v>6.0</v>
      </c>
      <c r="R23" s="56">
        <f>IF(Q23&gt;Q21,1,0)</f>
        <v>1</v>
      </c>
      <c r="S23" s="57"/>
      <c r="T23" s="45">
        <v>3.0</v>
      </c>
      <c r="U23" s="56">
        <f>IF(T23&gt;T21,1,0)</f>
        <v>0</v>
      </c>
      <c r="V23" s="57"/>
      <c r="W23" s="45">
        <v>7.0</v>
      </c>
      <c r="X23" s="32">
        <f>IF(W23&gt;W21,1,0)</f>
        <v>0</v>
      </c>
      <c r="Y23" s="32">
        <f>IF(Q23="",0,1)</f>
        <v>1</v>
      </c>
      <c r="Z23" s="32">
        <f>IF(R23+U23=2,3,IF(R23+U23=1,1,0))</f>
        <v>1</v>
      </c>
      <c r="AA23" s="32">
        <f>IF(Z23=3,3,IF(X23+Z23=2,2,IF(Z23=1,1,0)))</f>
        <v>1</v>
      </c>
      <c r="AB23" s="32">
        <f>Q23+T23</f>
        <v>9</v>
      </c>
      <c r="AC23" s="32">
        <f>R23+U23+X23</f>
        <v>1</v>
      </c>
      <c r="AD23" s="32"/>
      <c r="AE23" s="32"/>
      <c r="AF23" s="32"/>
      <c r="AG23" s="32"/>
      <c r="AH23" s="32"/>
      <c r="AI23" s="32"/>
    </row>
    <row r="24" ht="15.0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</row>
    <row r="25" ht="15.0" customHeight="1">
      <c r="A25" s="44" t="str">
        <f>AE11</f>
        <v>Helga Azzopardi/Angele Pule'</v>
      </c>
      <c r="B25" s="45">
        <v>6.0</v>
      </c>
      <c r="C25" s="46">
        <f>IF(B25&gt;B27,1,0)</f>
        <v>1</v>
      </c>
      <c r="D25" s="47"/>
      <c r="E25" s="45">
        <v>6.0</v>
      </c>
      <c r="F25" s="46">
        <f>IF(E25&gt;E27,1,0)</f>
        <v>1</v>
      </c>
      <c r="G25" s="47"/>
      <c r="H25" s="48"/>
      <c r="I25" s="32">
        <f>IF(H25&gt;H27,1,0)</f>
        <v>0</v>
      </c>
      <c r="J25" s="32">
        <f>IF(B25="",0,1)</f>
        <v>1</v>
      </c>
      <c r="K25" s="32">
        <f>IF(C25+F25=2,3,IF(C25+F25=1,1,0))</f>
        <v>3</v>
      </c>
      <c r="L25" s="32">
        <f>IF(K25=3,3,IF(I25+K25=2,2,IF(K25=1,1,0)))</f>
        <v>3</v>
      </c>
      <c r="M25" s="32">
        <f>B25+E25</f>
        <v>12</v>
      </c>
      <c r="N25" s="32">
        <f>C25+F25+I25</f>
        <v>2</v>
      </c>
      <c r="O25" s="32"/>
      <c r="P25" s="44" t="str">
        <f>AE11</f>
        <v>Helga Azzopardi/Angele Pule'</v>
      </c>
      <c r="Q25" s="45">
        <v>6.0</v>
      </c>
      <c r="R25" s="46">
        <f>IF(Q25&gt;Q27,1,0)</f>
        <v>1</v>
      </c>
      <c r="S25" s="47"/>
      <c r="T25" s="45">
        <v>6.0</v>
      </c>
      <c r="U25" s="46">
        <f>IF(T25&gt;T27,1,0)</f>
        <v>1</v>
      </c>
      <c r="V25" s="47"/>
      <c r="W25" s="48"/>
      <c r="X25" s="32">
        <f>IF(W25&gt;W23,1,0)</f>
        <v>0</v>
      </c>
      <c r="Y25" s="32">
        <f>IF(Q25="",0,1)</f>
        <v>1</v>
      </c>
      <c r="Z25" s="32">
        <f>IF(R25+U25=2,3,IF(R25+U25=1,1,0))</f>
        <v>3</v>
      </c>
      <c r="AA25" s="32">
        <f>IF(Z25=3,3,IF(X25+Z25=2,2,IF(Z25=1,1,0)))</f>
        <v>3</v>
      </c>
      <c r="AB25" s="32">
        <f>Q25+T25</f>
        <v>12</v>
      </c>
      <c r="AC25" s="32">
        <f>R25+U25+X25</f>
        <v>2</v>
      </c>
      <c r="AD25" s="32"/>
      <c r="AE25" s="32"/>
      <c r="AF25" s="32"/>
      <c r="AG25" s="32"/>
      <c r="AH25" s="39"/>
      <c r="AI25" s="32"/>
    </row>
    <row r="26" ht="15.0" customHeight="1">
      <c r="A26" s="52" t="s">
        <v>63</v>
      </c>
      <c r="H26" s="53"/>
      <c r="I26" s="54"/>
      <c r="J26" s="32"/>
      <c r="K26" s="32"/>
      <c r="L26" s="32"/>
      <c r="M26" s="32"/>
      <c r="N26" s="32"/>
      <c r="O26" s="32"/>
      <c r="P26" s="52" t="s">
        <v>63</v>
      </c>
      <c r="W26" s="53"/>
      <c r="X26" s="54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</row>
    <row r="27" ht="15.0" customHeight="1">
      <c r="A27" s="55" t="str">
        <f>AE17</f>
        <v>Mary Borg/Sharleen Sciberras</v>
      </c>
      <c r="B27" s="45">
        <v>2.0</v>
      </c>
      <c r="C27" s="56">
        <f>IF(B27&gt;B25,1,0)</f>
        <v>0</v>
      </c>
      <c r="D27" s="57"/>
      <c r="E27" s="45">
        <v>1.0</v>
      </c>
      <c r="F27" s="56">
        <f>IF(E27&gt;E25,1,0)</f>
        <v>0</v>
      </c>
      <c r="G27" s="57"/>
      <c r="H27" s="48"/>
      <c r="I27" s="32">
        <f>IF(H27&gt;H25,1,0)</f>
        <v>0</v>
      </c>
      <c r="J27" s="32">
        <f>IF(B27="",0,1)</f>
        <v>1</v>
      </c>
      <c r="K27" s="32">
        <f>IF(C27+F27=2,3,IF(C27+F27=1,1,0))</f>
        <v>0</v>
      </c>
      <c r="L27" s="32">
        <f>IF(K27=3,3,IF(I27+K27=2,2,IF(K27=1,1,0)))</f>
        <v>0</v>
      </c>
      <c r="M27" s="32">
        <f>B27+E27</f>
        <v>3</v>
      </c>
      <c r="N27" s="32">
        <f>C27+F27+I27</f>
        <v>0</v>
      </c>
      <c r="O27" s="32"/>
      <c r="P27" s="55" t="str">
        <f>AE19</f>
        <v>Jean Frendo/Antoinette Aquilina</v>
      </c>
      <c r="Q27" s="45">
        <v>0.0</v>
      </c>
      <c r="R27" s="56">
        <f>IF(Q27&gt;Q25,1,0)</f>
        <v>0</v>
      </c>
      <c r="S27" s="57"/>
      <c r="T27" s="45">
        <v>1.0</v>
      </c>
      <c r="U27" s="56">
        <f>IF(T27&gt;T25,1,0)</f>
        <v>0</v>
      </c>
      <c r="V27" s="57"/>
      <c r="W27" s="48"/>
      <c r="X27" s="32">
        <f>IF(W27&gt;W25,1,0)</f>
        <v>0</v>
      </c>
      <c r="Y27" s="32">
        <f>IF(Q27="",0,1)</f>
        <v>1</v>
      </c>
      <c r="Z27" s="32">
        <f>IF(R27+U27=2,3,IF(R27+U27=1,1,0))</f>
        <v>0</v>
      </c>
      <c r="AA27" s="32">
        <f>IF(Z27=3,3,IF(X27+Z27=2,2,IF(Z27=1,1,0)))</f>
        <v>0</v>
      </c>
      <c r="AB27" s="32">
        <f>Q27+T27</f>
        <v>1</v>
      </c>
      <c r="AC27" s="32">
        <f>R27+U27+X27</f>
        <v>0</v>
      </c>
      <c r="AD27" s="32"/>
      <c r="AE27" s="32"/>
      <c r="AF27" s="32"/>
      <c r="AG27" s="32"/>
      <c r="AH27" s="32"/>
      <c r="AI27" s="32"/>
    </row>
    <row r="28" ht="15.0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9"/>
      <c r="AI28" s="32"/>
    </row>
    <row r="29" ht="15.0" customHeight="1">
      <c r="A29" s="44" t="str">
        <f>AE15</f>
        <v>Leanne Sammut/Daphne Vella</v>
      </c>
      <c r="B29" s="45">
        <v>6.0</v>
      </c>
      <c r="C29" s="46">
        <f>IF(B29&gt;B31,1,0)</f>
        <v>1</v>
      </c>
      <c r="D29" s="47"/>
      <c r="E29" s="45">
        <v>6.0</v>
      </c>
      <c r="F29" s="46">
        <f>IF(E29&gt;E31,1,0)</f>
        <v>1</v>
      </c>
      <c r="G29" s="47"/>
      <c r="H29" s="48"/>
      <c r="I29" s="32">
        <f>IF(H29&gt;H31,1,0)</f>
        <v>0</v>
      </c>
      <c r="J29" s="32">
        <f>IF(B29="",0,1)</f>
        <v>1</v>
      </c>
      <c r="K29" s="32">
        <f>IF(C29+F29=2,3,IF(C29+F29=1,1,0))</f>
        <v>3</v>
      </c>
      <c r="L29" s="32">
        <f>IF(K29=3,3,IF(I29+K29=2,2,IF(K29=1,1,0)))</f>
        <v>3</v>
      </c>
      <c r="M29" s="32">
        <f>B29+E29</f>
        <v>12</v>
      </c>
      <c r="N29" s="32">
        <f>C29+F29+I29</f>
        <v>2</v>
      </c>
      <c r="O29" s="32"/>
      <c r="P29" s="44" t="str">
        <f>AE13</f>
        <v>Tiffany Fenech/Martina Murdocco</v>
      </c>
      <c r="Q29" s="45">
        <v>0.0</v>
      </c>
      <c r="R29" s="46">
        <f>IF(Q29&gt;Q31,1,0)</f>
        <v>0</v>
      </c>
      <c r="S29" s="47"/>
      <c r="T29" s="45">
        <v>3.0</v>
      </c>
      <c r="U29" s="46">
        <f>IF(T29&gt;T31,1,0)</f>
        <v>0</v>
      </c>
      <c r="V29" s="47"/>
      <c r="W29" s="48"/>
      <c r="X29" s="32">
        <f>IF(W29&gt;W27,1,0)</f>
        <v>0</v>
      </c>
      <c r="Y29" s="32">
        <f>IF(Q29="",0,1)</f>
        <v>1</v>
      </c>
      <c r="Z29" s="32">
        <f>IF(R29+U29=2,3,IF(R29+U29=1,1,0))</f>
        <v>0</v>
      </c>
      <c r="AA29" s="32">
        <f>IF(Z29=3,3,IF(X29+Z29=2,2,IF(Z29=1,1,0)))</f>
        <v>0</v>
      </c>
      <c r="AB29" s="32">
        <f>Q29+T29</f>
        <v>3</v>
      </c>
      <c r="AC29" s="32">
        <f>R29+U29+X29</f>
        <v>0</v>
      </c>
      <c r="AD29" s="32"/>
      <c r="AE29" s="32"/>
      <c r="AF29" s="32"/>
      <c r="AG29" s="32"/>
      <c r="AH29" s="32"/>
      <c r="AI29" s="32"/>
    </row>
    <row r="30" ht="15.0" customHeight="1">
      <c r="A30" s="52" t="s">
        <v>63</v>
      </c>
      <c r="H30" s="53"/>
      <c r="I30" s="54"/>
      <c r="J30" s="32"/>
      <c r="K30" s="32"/>
      <c r="L30" s="32"/>
      <c r="M30" s="32"/>
      <c r="N30" s="32"/>
      <c r="O30" s="32"/>
      <c r="P30" s="52" t="s">
        <v>63</v>
      </c>
      <c r="W30" s="53"/>
      <c r="X30" s="54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</row>
    <row r="31" ht="15.0" customHeight="1">
      <c r="A31" s="55" t="str">
        <f>AE19</f>
        <v>Jean Frendo/Antoinette Aquilina</v>
      </c>
      <c r="B31" s="45">
        <v>3.0</v>
      </c>
      <c r="C31" s="56">
        <f>IF(B31&gt;B29,1,0)</f>
        <v>0</v>
      </c>
      <c r="D31" s="57"/>
      <c r="E31" s="45">
        <v>0.0</v>
      </c>
      <c r="F31" s="56">
        <f>IF(E31&gt;E29,1,0)</f>
        <v>0</v>
      </c>
      <c r="G31" s="57"/>
      <c r="H31" s="48"/>
      <c r="I31" s="32">
        <f>IF(H31&gt;H29,1,0)</f>
        <v>0</v>
      </c>
      <c r="J31" s="32">
        <f>IF(B31="",0,1)</f>
        <v>1</v>
      </c>
      <c r="K31" s="32">
        <f>IF(C31+F31=2,3,IF(C31+F31=1,1,0))</f>
        <v>0</v>
      </c>
      <c r="L31" s="32">
        <f>IF(K31=3,3,IF(I31+K31=2,2,IF(K31=1,1,0)))</f>
        <v>0</v>
      </c>
      <c r="M31" s="32">
        <f>B31+E31</f>
        <v>3</v>
      </c>
      <c r="N31" s="32">
        <f>C31+F31+I31</f>
        <v>0</v>
      </c>
      <c r="O31" s="32"/>
      <c r="P31" s="55" t="str">
        <f>AE15</f>
        <v>Leanne Sammut/Daphne Vella</v>
      </c>
      <c r="Q31" s="45">
        <v>6.0</v>
      </c>
      <c r="R31" s="56">
        <f>IF(Q31&gt;Q29,1,0)</f>
        <v>1</v>
      </c>
      <c r="S31" s="57"/>
      <c r="T31" s="45">
        <v>6.0</v>
      </c>
      <c r="U31" s="56">
        <f>IF(T31&gt;T29,1,0)</f>
        <v>1</v>
      </c>
      <c r="V31" s="57"/>
      <c r="W31" s="48"/>
      <c r="X31" s="32">
        <f>IF(W31&gt;W29,1,0)</f>
        <v>0</v>
      </c>
      <c r="Y31" s="32">
        <f>IF(Q31="",0,1)</f>
        <v>1</v>
      </c>
      <c r="Z31" s="32">
        <f>IF(R31+U31=2,3,IF(R31+U31=1,1,0))</f>
        <v>3</v>
      </c>
      <c r="AA31" s="32">
        <f>IF(Z31=3,3,IF(X31+Z31=2,2,IF(Z31=1,1,0)))</f>
        <v>3</v>
      </c>
      <c r="AB31" s="32">
        <f>Q31+T31</f>
        <v>12</v>
      </c>
      <c r="AC31" s="32">
        <f>R31+U31+X31</f>
        <v>2</v>
      </c>
      <c r="AD31" s="32"/>
      <c r="AE31" s="32"/>
      <c r="AF31" s="32"/>
      <c r="AG31" s="32"/>
      <c r="AH31" s="32"/>
      <c r="AI31" s="32"/>
    </row>
    <row r="32" ht="15.75" customHeight="1"/>
    <row r="33" ht="15.75" customHeight="1">
      <c r="A33" s="44" t="str">
        <f>AE13</f>
        <v>Tiffany Fenech/Martina Murdocco</v>
      </c>
      <c r="B33" s="45">
        <v>6.0</v>
      </c>
      <c r="C33" s="46">
        <f>IF(B33&gt;B35,1,0)</f>
        <v>1</v>
      </c>
      <c r="D33" s="47"/>
      <c r="E33" s="45">
        <v>6.0</v>
      </c>
      <c r="F33" s="46">
        <f>IF(E33&gt;E35,1,0)</f>
        <v>1</v>
      </c>
      <c r="G33" s="47"/>
      <c r="H33" s="48"/>
      <c r="I33" s="32">
        <f>IF(H33&gt;H31,1,0)</f>
        <v>0</v>
      </c>
      <c r="J33" s="32">
        <f>IF(B33="",0,1)</f>
        <v>1</v>
      </c>
      <c r="K33" s="32">
        <f>IF(C33+F33=2,3,IF(C33+F33=1,1,0))</f>
        <v>3</v>
      </c>
      <c r="L33" s="32">
        <f>IF(K33=3,3,IF(I33+K33=2,2,IF(K33=1,1,0)))</f>
        <v>3</v>
      </c>
      <c r="M33" s="32">
        <f>B33+E33</f>
        <v>12</v>
      </c>
      <c r="N33" s="32">
        <f>C33+F33+I33</f>
        <v>2</v>
      </c>
      <c r="P33" s="44" t="str">
        <f>AE13</f>
        <v>Tiffany Fenech/Martina Murdocco</v>
      </c>
      <c r="Q33" s="45">
        <v>5.0</v>
      </c>
      <c r="R33" s="46">
        <f>IF(Q33&gt;Q35,1,0)</f>
        <v>0</v>
      </c>
      <c r="S33" s="47"/>
      <c r="T33" s="45">
        <v>6.0</v>
      </c>
      <c r="U33" s="46">
        <f>IF(T33&gt;T35,1,0)</f>
        <v>1</v>
      </c>
      <c r="V33" s="47"/>
      <c r="W33" s="45">
        <v>10.0</v>
      </c>
      <c r="X33" s="32">
        <f>IF(W33&gt;W31,1,0)</f>
        <v>1</v>
      </c>
      <c r="Y33" s="32">
        <f>IF(Q33="",0,1)</f>
        <v>1</v>
      </c>
      <c r="Z33" s="32">
        <f>IF(R33+U33=2,3,IF(R33+U33=1,1,0))</f>
        <v>1</v>
      </c>
      <c r="AA33" s="32">
        <f>IF(Z33=3,3,IF(X33+Z33=2,2,IF(Z33=1,1,0)))</f>
        <v>2</v>
      </c>
      <c r="AB33" s="32">
        <f>Q33+T33</f>
        <v>11</v>
      </c>
      <c r="AC33" s="32">
        <f>R33+U33+X33</f>
        <v>2</v>
      </c>
    </row>
    <row r="34" ht="15.75" customHeight="1">
      <c r="A34" s="52" t="s">
        <v>63</v>
      </c>
      <c r="H34" s="53"/>
      <c r="P34" s="52" t="s">
        <v>63</v>
      </c>
      <c r="W34" s="53"/>
    </row>
    <row r="35" ht="15.75" customHeight="1">
      <c r="A35" s="55" t="str">
        <f>AE17</f>
        <v>Mary Borg/Sharleen Sciberras</v>
      </c>
      <c r="B35" s="45">
        <v>4.0</v>
      </c>
      <c r="C35" s="56">
        <f>IF(B35&gt;B33,1,0)</f>
        <v>0</v>
      </c>
      <c r="D35" s="57"/>
      <c r="E35" s="45">
        <v>3.0</v>
      </c>
      <c r="F35" s="56">
        <f>IF(E35&gt;E33,1,0)</f>
        <v>0</v>
      </c>
      <c r="G35" s="57"/>
      <c r="H35" s="48"/>
      <c r="I35" s="32">
        <f>IF(H35&gt;H33,1,0)</f>
        <v>0</v>
      </c>
      <c r="J35" s="32">
        <f>IF(B35="",0,1)</f>
        <v>1</v>
      </c>
      <c r="K35" s="32">
        <f>IF(C35+F35=2,3,IF(C35+F35=1,1,0))</f>
        <v>0</v>
      </c>
      <c r="L35" s="32">
        <f>IF(K35=3,3,IF(I35+K35=2,2,IF(K35=1,1,0)))</f>
        <v>0</v>
      </c>
      <c r="M35" s="32">
        <f>B35+E35</f>
        <v>7</v>
      </c>
      <c r="N35" s="32">
        <f>C35+F35+I35</f>
        <v>0</v>
      </c>
      <c r="P35" s="55" t="str">
        <f>AE19</f>
        <v>Jean Frendo/Antoinette Aquilina</v>
      </c>
      <c r="Q35" s="45">
        <v>7.0</v>
      </c>
      <c r="R35" s="56">
        <f>IF(Q35&gt;Q33,1,0)</f>
        <v>1</v>
      </c>
      <c r="S35" s="57"/>
      <c r="T35" s="45">
        <v>2.0</v>
      </c>
      <c r="U35" s="56">
        <f>IF(T35&gt;T33,1,0)</f>
        <v>0</v>
      </c>
      <c r="V35" s="57"/>
      <c r="W35" s="45">
        <v>3.0</v>
      </c>
      <c r="X35" s="32">
        <f>IF(W35&gt;W33,1,0)</f>
        <v>0</v>
      </c>
      <c r="Y35" s="32">
        <f>IF(Q35="",0,1)</f>
        <v>1</v>
      </c>
      <c r="Z35" s="32">
        <f>IF(R35+U35=2,3,IF(R35+U35=1,1,0))</f>
        <v>1</v>
      </c>
      <c r="AA35" s="32">
        <f>IF(Z35=3,3,IF(X35+Z35=2,2,IF(Z35=1,1,0)))</f>
        <v>1</v>
      </c>
      <c r="AB35" s="32">
        <f>Q35+T35</f>
        <v>9</v>
      </c>
      <c r="AC35" s="32">
        <f>R35+U35+X35</f>
        <v>1</v>
      </c>
    </row>
    <row r="36" ht="15.75" customHeight="1"/>
    <row r="37" ht="15.75" customHeight="1">
      <c r="A37" s="44" t="str">
        <f>AE15</f>
        <v>Leanne Sammut/Daphne Vella</v>
      </c>
      <c r="B37" s="45">
        <v>6.0</v>
      </c>
      <c r="C37" s="46">
        <f>IF(B37&gt;B39,1,0)</f>
        <v>1</v>
      </c>
      <c r="D37" s="47"/>
      <c r="E37" s="45">
        <v>4.0</v>
      </c>
      <c r="F37" s="46">
        <f>IF(E37&gt;E39,1,0)</f>
        <v>0</v>
      </c>
      <c r="G37" s="47"/>
      <c r="H37" s="45">
        <v>10.0</v>
      </c>
      <c r="I37" s="32">
        <f>IF(H37&gt;H35,1,0)</f>
        <v>1</v>
      </c>
      <c r="J37" s="32">
        <f>IF(B37="",0,1)</f>
        <v>1</v>
      </c>
      <c r="K37" s="32">
        <f>IF(C37+F37=2,3,IF(C37+F37=1,1,0))</f>
        <v>1</v>
      </c>
      <c r="L37" s="32">
        <f>IF(K37=3,3,IF(I37+K37=2,2,IF(K37=1,1,0)))</f>
        <v>2</v>
      </c>
      <c r="M37" s="32">
        <f>B37+E37</f>
        <v>10</v>
      </c>
      <c r="N37" s="32">
        <f>C37+F37+I37</f>
        <v>2</v>
      </c>
    </row>
    <row r="38" ht="15.75" customHeight="1">
      <c r="A38" s="52" t="s">
        <v>63</v>
      </c>
      <c r="H38" s="53"/>
    </row>
    <row r="39" ht="15.75" customHeight="1">
      <c r="A39" s="55" t="str">
        <f>AE17</f>
        <v>Mary Borg/Sharleen Sciberras</v>
      </c>
      <c r="B39" s="45">
        <v>2.0</v>
      </c>
      <c r="C39" s="56">
        <f>IF(B39&gt;B37,1,0)</f>
        <v>0</v>
      </c>
      <c r="D39" s="57"/>
      <c r="E39" s="45">
        <v>6.0</v>
      </c>
      <c r="F39" s="56">
        <f>IF(E39&gt;E37,1,0)</f>
        <v>1</v>
      </c>
      <c r="G39" s="57"/>
      <c r="H39" s="45">
        <v>6.0</v>
      </c>
      <c r="I39" s="32">
        <f>IF(H39&gt;H37,1,0)</f>
        <v>0</v>
      </c>
      <c r="J39" s="32">
        <f>IF(B39="",0,1)</f>
        <v>1</v>
      </c>
      <c r="K39" s="32">
        <f>IF(C39+F39=2,3,IF(C39+F39=1,1,0))</f>
        <v>1</v>
      </c>
      <c r="L39" s="32">
        <f>IF(K39=3,3,IF(I39+K39=2,2,IF(K39=1,1,0)))</f>
        <v>1</v>
      </c>
      <c r="M39" s="32">
        <f>B39+E39</f>
        <v>8</v>
      </c>
      <c r="N39" s="32">
        <f>C39+F39+I39</f>
        <v>1</v>
      </c>
    </row>
    <row r="40" ht="15.75" customHeight="1"/>
    <row r="41" ht="15.75" customHeight="1"/>
    <row r="42" ht="15.75" customHeight="1"/>
    <row r="43" ht="22.5" customHeight="1">
      <c r="A43" s="143" t="s">
        <v>96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1"/>
      <c r="AJ43" s="32"/>
      <c r="AK43" s="32"/>
      <c r="AL43" s="32"/>
    </row>
    <row r="44" ht="15.0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</row>
    <row r="45" ht="30.0" customHeight="1">
      <c r="A45" s="144" t="s">
        <v>43</v>
      </c>
      <c r="B45" s="145" t="s">
        <v>44</v>
      </c>
      <c r="C45" s="35"/>
      <c r="D45" s="35"/>
      <c r="E45" s="36"/>
      <c r="F45" s="37"/>
      <c r="G45" s="38"/>
      <c r="H45" s="144" t="s">
        <v>45</v>
      </c>
      <c r="I45" s="32"/>
      <c r="J45" s="32"/>
      <c r="K45" s="32"/>
      <c r="L45" s="32"/>
      <c r="M45" s="39"/>
      <c r="N45" s="39"/>
      <c r="O45" s="39"/>
      <c r="P45" s="144" t="s">
        <v>43</v>
      </c>
      <c r="Q45" s="145" t="s">
        <v>44</v>
      </c>
      <c r="R45" s="35"/>
      <c r="S45" s="35"/>
      <c r="T45" s="36"/>
      <c r="U45" s="37"/>
      <c r="V45" s="38"/>
      <c r="W45" s="144" t="s">
        <v>45</v>
      </c>
      <c r="X45" s="32"/>
      <c r="Y45" s="39"/>
      <c r="Z45" s="39"/>
      <c r="AA45" s="39"/>
      <c r="AB45" s="39"/>
      <c r="AC45" s="39"/>
      <c r="AD45" s="39"/>
      <c r="AE45" s="144" t="s">
        <v>46</v>
      </c>
      <c r="AF45" s="144" t="s">
        <v>47</v>
      </c>
      <c r="AG45" s="144" t="s">
        <v>48</v>
      </c>
      <c r="AH45" s="144" t="s">
        <v>49</v>
      </c>
      <c r="AI45" s="144" t="s">
        <v>50</v>
      </c>
      <c r="AJ45" s="39"/>
      <c r="AK45" s="39"/>
      <c r="AL45" s="32"/>
    </row>
    <row r="46" ht="15.75" hidden="1" customHeight="1">
      <c r="A46" s="32"/>
      <c r="B46" s="42" t="s">
        <v>51</v>
      </c>
      <c r="C46" s="42" t="s">
        <v>52</v>
      </c>
      <c r="D46" s="42"/>
      <c r="E46" s="42" t="s">
        <v>51</v>
      </c>
      <c r="F46" s="42" t="s">
        <v>53</v>
      </c>
      <c r="G46" s="42"/>
      <c r="H46" s="42" t="s">
        <v>51</v>
      </c>
      <c r="I46" s="42" t="s">
        <v>54</v>
      </c>
      <c r="J46" s="42" t="s">
        <v>55</v>
      </c>
      <c r="K46" s="42" t="s">
        <v>56</v>
      </c>
      <c r="L46" s="42" t="s">
        <v>57</v>
      </c>
      <c r="M46" s="42" t="s">
        <v>58</v>
      </c>
      <c r="N46" s="42" t="s">
        <v>59</v>
      </c>
      <c r="O46" s="32"/>
      <c r="P46" s="32"/>
      <c r="Q46" s="42" t="s">
        <v>51</v>
      </c>
      <c r="R46" s="42" t="s">
        <v>52</v>
      </c>
      <c r="S46" s="42"/>
      <c r="T46" s="42" t="s">
        <v>51</v>
      </c>
      <c r="U46" s="42" t="s">
        <v>53</v>
      </c>
      <c r="V46" s="42"/>
      <c r="W46" s="42" t="s">
        <v>51</v>
      </c>
      <c r="X46" s="42" t="s">
        <v>54</v>
      </c>
      <c r="Y46" s="42" t="s">
        <v>55</v>
      </c>
      <c r="Z46" s="42" t="s">
        <v>56</v>
      </c>
      <c r="AA46" s="42" t="s">
        <v>57</v>
      </c>
      <c r="AB46" s="42" t="s">
        <v>58</v>
      </c>
      <c r="AC46" s="42" t="s">
        <v>59</v>
      </c>
      <c r="AD46" s="32"/>
      <c r="AE46" s="39"/>
      <c r="AF46" s="39"/>
      <c r="AG46" s="39"/>
      <c r="AH46" s="39"/>
      <c r="AI46" s="39"/>
      <c r="AJ46" s="42" t="s">
        <v>60</v>
      </c>
      <c r="AK46" s="66" t="s">
        <v>61</v>
      </c>
      <c r="AL46" s="67" t="s">
        <v>62</v>
      </c>
    </row>
    <row r="47">
      <c r="A47" s="44" t="str">
        <f>AE47</f>
        <v>Rowena Caruana/Ceridwen Scerri</v>
      </c>
      <c r="B47" s="45">
        <v>6.0</v>
      </c>
      <c r="C47" s="46">
        <f>IF(B47&gt;B49,1,0)</f>
        <v>1</v>
      </c>
      <c r="D47" s="47"/>
      <c r="E47" s="45">
        <v>6.0</v>
      </c>
      <c r="F47" s="46">
        <f>IF(E47&gt;E49,1,0)</f>
        <v>1</v>
      </c>
      <c r="G47" s="47"/>
      <c r="H47" s="48"/>
      <c r="I47" s="32">
        <f>IF(H47&gt;H49,1,0)</f>
        <v>0</v>
      </c>
      <c r="J47" s="32">
        <f>IF(B47="",0,1)</f>
        <v>1</v>
      </c>
      <c r="K47" s="32">
        <f>IF(C47+F47=2,3,IF(C47+F47=1,1,0))</f>
        <v>3</v>
      </c>
      <c r="L47" s="32">
        <f>IF(K47=3,3,IF(I47+K47=2,2,IF(K47=1,1,0)))</f>
        <v>3</v>
      </c>
      <c r="M47" s="32">
        <f>B47+E47</f>
        <v>12</v>
      </c>
      <c r="N47" s="32">
        <f>C47+F47+I47</f>
        <v>2</v>
      </c>
      <c r="O47" s="32"/>
      <c r="P47" s="44" t="str">
        <f>AE47</f>
        <v>Rowena Caruana/Ceridwen Scerri</v>
      </c>
      <c r="Q47" s="45">
        <v>6.0</v>
      </c>
      <c r="R47" s="46">
        <f>IF(Q47&gt;Q49,1,0)</f>
        <v>1</v>
      </c>
      <c r="S47" s="47"/>
      <c r="T47" s="45">
        <v>3.0</v>
      </c>
      <c r="U47" s="46">
        <f>IF(T47&gt;T49,1,0)</f>
        <v>0</v>
      </c>
      <c r="V47" s="47"/>
      <c r="W47" s="45">
        <v>8.0</v>
      </c>
      <c r="X47" s="32">
        <f>IF(W47&gt;W49,1,0)</f>
        <v>0</v>
      </c>
      <c r="Y47" s="32">
        <f>IF(Q47="",0,1)</f>
        <v>1</v>
      </c>
      <c r="Z47" s="32">
        <f>IF(R47+U47=2,3,IF(R47+U47=1,1,0))</f>
        <v>1</v>
      </c>
      <c r="AA47" s="32">
        <f>IF(Z47=3,3,IF(X47+Z47=2,2,IF(Z47=1,1,0)))</f>
        <v>1</v>
      </c>
      <c r="AB47" s="32">
        <f>Q47+T47</f>
        <v>9</v>
      </c>
      <c r="AC47" s="32">
        <f>R47+U47+X47</f>
        <v>1</v>
      </c>
      <c r="AD47" s="32"/>
      <c r="AE47" s="146" t="str">
        <f>'Players Ladies'!E22</f>
        <v>Rowena Caruana/Ceridwen Scerri</v>
      </c>
      <c r="AF47" s="50">
        <f>J47+Y47+J51+Y51+J55</f>
        <v>5</v>
      </c>
      <c r="AG47" s="50">
        <f t="shared" ref="AG47:AI47" si="7">L47+AA47+L51+AA51+L55</f>
        <v>11</v>
      </c>
      <c r="AH47" s="50">
        <f t="shared" si="7"/>
        <v>54</v>
      </c>
      <c r="AI47" s="51">
        <f t="shared" si="7"/>
        <v>8</v>
      </c>
      <c r="AJ47" s="32"/>
      <c r="AK47" s="32"/>
      <c r="AL47" s="32"/>
    </row>
    <row r="48" ht="15.0" customHeight="1">
      <c r="A48" s="52" t="s">
        <v>63</v>
      </c>
      <c r="H48" s="53"/>
      <c r="I48" s="54"/>
      <c r="J48" s="32"/>
      <c r="K48" s="32"/>
      <c r="L48" s="32"/>
      <c r="M48" s="32"/>
      <c r="N48" s="32"/>
      <c r="O48" s="32"/>
      <c r="P48" s="52" t="s">
        <v>63</v>
      </c>
      <c r="W48" s="53"/>
      <c r="X48" s="54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9"/>
      <c r="AL48" s="32"/>
    </row>
    <row r="49">
      <c r="A49" s="55" t="str">
        <f>AE49</f>
        <v>Ann Marie Attard/Christine Seychell</v>
      </c>
      <c r="B49" s="45">
        <v>3.0</v>
      </c>
      <c r="C49" s="56">
        <f>IF(B49&gt;B47,1,0)</f>
        <v>0</v>
      </c>
      <c r="D49" s="57"/>
      <c r="E49" s="45">
        <v>3.0</v>
      </c>
      <c r="F49" s="56">
        <f>IF(E49&gt;E47,1,0)</f>
        <v>0</v>
      </c>
      <c r="G49" s="57"/>
      <c r="H49" s="48"/>
      <c r="I49" s="32">
        <f>IF(H49&gt;H47,1,0)</f>
        <v>0</v>
      </c>
      <c r="J49" s="32">
        <f>IF(B49="",0,1)</f>
        <v>1</v>
      </c>
      <c r="K49" s="32">
        <f>IF(C49+F49=2,3,IF(C49+F49=1,1,0))</f>
        <v>0</v>
      </c>
      <c r="L49" s="32">
        <f>IF(K49=3,3,IF(I49+K49=2,2,IF(K49=1,1,0)))</f>
        <v>0</v>
      </c>
      <c r="M49" s="32">
        <f>B49+E49</f>
        <v>6</v>
      </c>
      <c r="N49" s="32">
        <f>C49+F49+I49</f>
        <v>0</v>
      </c>
      <c r="O49" s="32"/>
      <c r="P49" s="55" t="str">
        <f>AE51</f>
        <v>Karolina Papiernak/Jennifer Roca</v>
      </c>
      <c r="Q49" s="45">
        <v>2.0</v>
      </c>
      <c r="R49" s="56">
        <f>IF(Q49&gt;Q47,1,0)</f>
        <v>0</v>
      </c>
      <c r="S49" s="57"/>
      <c r="T49" s="45">
        <v>6.0</v>
      </c>
      <c r="U49" s="56">
        <f>IF(T49&gt;T47,1,0)</f>
        <v>1</v>
      </c>
      <c r="V49" s="57"/>
      <c r="W49" s="45">
        <v>10.0</v>
      </c>
      <c r="X49" s="32">
        <f>IF(W49&gt;W47,1,0)</f>
        <v>1</v>
      </c>
      <c r="Y49" s="32">
        <f>IF(Q49="",0,1)</f>
        <v>1</v>
      </c>
      <c r="Z49" s="32">
        <f>IF(R49+U49=2,3,IF(R49+U49=1,1,0))</f>
        <v>1</v>
      </c>
      <c r="AA49" s="32">
        <f>IF(Z49=3,3,IF(X49+Z49=2,2,IF(Z49=1,1,0)))</f>
        <v>2</v>
      </c>
      <c r="AB49" s="32">
        <f>Q49+T49</f>
        <v>8</v>
      </c>
      <c r="AC49" s="32">
        <f>R49+U49+X49</f>
        <v>2</v>
      </c>
      <c r="AD49" s="32"/>
      <c r="AE49" s="146" t="str">
        <f>'Players Ladies'!E23</f>
        <v>Ann Marie Attard/Christine Seychell</v>
      </c>
      <c r="AF49" s="50">
        <f>J49+Y63+J63+Y59+J59</f>
        <v>5</v>
      </c>
      <c r="AG49" s="50">
        <f t="shared" ref="AG49:AI49" si="8">L49+AA63+L63+AA59+L59</f>
        <v>8</v>
      </c>
      <c r="AH49" s="50">
        <f t="shared" si="8"/>
        <v>49</v>
      </c>
      <c r="AI49" s="51">
        <f t="shared" si="8"/>
        <v>6</v>
      </c>
      <c r="AJ49" s="39"/>
      <c r="AK49" s="39"/>
      <c r="AL49" s="32"/>
    </row>
    <row r="50" ht="15.0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9"/>
      <c r="AG50" s="39"/>
      <c r="AH50" s="39"/>
      <c r="AI50" s="39"/>
      <c r="AJ50" s="39"/>
      <c r="AK50" s="39"/>
      <c r="AL50" s="32"/>
    </row>
    <row r="51" ht="15.0" customHeight="1">
      <c r="A51" s="44" t="str">
        <f>AE47</f>
        <v>Rowena Caruana/Ceridwen Scerri</v>
      </c>
      <c r="B51" s="45">
        <v>6.0</v>
      </c>
      <c r="C51" s="46">
        <f>IF(B51&gt;B53,1,0)</f>
        <v>1</v>
      </c>
      <c r="D51" s="47"/>
      <c r="E51" s="45">
        <v>6.0</v>
      </c>
      <c r="F51" s="46">
        <f>IF(E51&gt;E53,1,0)</f>
        <v>1</v>
      </c>
      <c r="G51" s="47"/>
      <c r="H51" s="48"/>
      <c r="I51" s="32">
        <f>IF(H51&gt;H53,1,0)</f>
        <v>0</v>
      </c>
      <c r="J51" s="32">
        <f>IF(B51="",0,1)</f>
        <v>1</v>
      </c>
      <c r="K51" s="32">
        <f>IF(C51+F51=2,3,IF(C51+F51=1,1,0))</f>
        <v>3</v>
      </c>
      <c r="L51" s="32">
        <f>IF(K51=3,3,IF(I51+K51=2,2,IF(K51=1,1,0)))</f>
        <v>3</v>
      </c>
      <c r="M51" s="32">
        <f>B51+E51</f>
        <v>12</v>
      </c>
      <c r="N51" s="32">
        <f>C51+F51+I51</f>
        <v>2</v>
      </c>
      <c r="O51" s="32"/>
      <c r="P51" s="44" t="str">
        <f>AE47</f>
        <v>Rowena Caruana/Ceridwen Scerri</v>
      </c>
      <c r="Q51" s="45">
        <v>6.0</v>
      </c>
      <c r="R51" s="46">
        <f>IF(Q51&gt;Q53,1,0)</f>
        <v>1</v>
      </c>
      <c r="S51" s="47"/>
      <c r="T51" s="45">
        <v>6.0</v>
      </c>
      <c r="U51" s="46">
        <f>IF(T51&gt;T53,1,0)</f>
        <v>1</v>
      </c>
      <c r="V51" s="47"/>
      <c r="W51" s="48"/>
      <c r="X51" s="32">
        <f>IF(W51&gt;W53,1,0)</f>
        <v>0</v>
      </c>
      <c r="Y51" s="32">
        <f>IF(Q51="",0,1)</f>
        <v>1</v>
      </c>
      <c r="Z51" s="32">
        <f>IF(R51+U51=2,3,IF(R51+U51=1,1,0))</f>
        <v>3</v>
      </c>
      <c r="AA51" s="32">
        <f>IF(Z51=3,3,IF(X51+Z51=2,2,IF(Z51=1,1,0)))</f>
        <v>3</v>
      </c>
      <c r="AB51" s="32">
        <f>Q51+T51</f>
        <v>12</v>
      </c>
      <c r="AC51" s="32">
        <f>R51+U51+X51</f>
        <v>2</v>
      </c>
      <c r="AD51" s="32"/>
      <c r="AE51" s="146" t="str">
        <f>'Players Ladies'!E24</f>
        <v>Karolina Papiernak/Jennifer Roca</v>
      </c>
      <c r="AF51" s="50">
        <f>Y67+Y49+Y71+J71+J61</f>
        <v>5</v>
      </c>
      <c r="AG51" s="50">
        <f t="shared" ref="AG51:AI51" si="9">AA67+AA49+AA71+L71+L61</f>
        <v>8</v>
      </c>
      <c r="AH51" s="50">
        <f t="shared" si="9"/>
        <v>43</v>
      </c>
      <c r="AI51" s="51">
        <f t="shared" si="9"/>
        <v>6</v>
      </c>
      <c r="AJ51" s="39"/>
      <c r="AK51" s="39"/>
      <c r="AL51" s="32"/>
    </row>
    <row r="52" ht="15.0" customHeight="1">
      <c r="A52" s="52" t="s">
        <v>63</v>
      </c>
      <c r="H52" s="53"/>
      <c r="I52" s="54"/>
      <c r="J52" s="32"/>
      <c r="K52" s="32"/>
      <c r="L52" s="32"/>
      <c r="M52" s="32"/>
      <c r="N52" s="32"/>
      <c r="O52" s="32"/>
      <c r="P52" s="52" t="s">
        <v>63</v>
      </c>
      <c r="W52" s="53"/>
      <c r="X52" s="54"/>
      <c r="Y52" s="32"/>
      <c r="Z52" s="32"/>
      <c r="AA52" s="32"/>
      <c r="AB52" s="32"/>
      <c r="AC52" s="32"/>
      <c r="AD52" s="32"/>
      <c r="AE52" s="32"/>
      <c r="AF52" s="39"/>
      <c r="AG52" s="39"/>
      <c r="AH52" s="39"/>
      <c r="AI52" s="39"/>
      <c r="AJ52" s="39"/>
      <c r="AK52" s="39"/>
      <c r="AL52" s="32"/>
    </row>
    <row r="53" ht="15.0" customHeight="1">
      <c r="A53" s="55" t="str">
        <f>AE53</f>
        <v>Janice Galea/Tiziana Spiteri</v>
      </c>
      <c r="B53" s="45">
        <v>1.0</v>
      </c>
      <c r="C53" s="56">
        <f>IF(B53&gt;B51,1,0)</f>
        <v>0</v>
      </c>
      <c r="D53" s="57"/>
      <c r="E53" s="45">
        <v>4.0</v>
      </c>
      <c r="F53" s="56">
        <f>IF(E53&gt;E51,1,0)</f>
        <v>0</v>
      </c>
      <c r="G53" s="57"/>
      <c r="H53" s="48"/>
      <c r="I53" s="32">
        <f>IF(H53&gt;H51,1,0)</f>
        <v>0</v>
      </c>
      <c r="J53" s="32">
        <f>IF(B53="",0,1)</f>
        <v>1</v>
      </c>
      <c r="K53" s="32">
        <f>IF(C53+F53=2,3,IF(C53+F53=1,1,0))</f>
        <v>0</v>
      </c>
      <c r="L53" s="32">
        <f>IF(K53=3,3,IF(I53+K53=2,2,IF(K53=1,1,0)))</f>
        <v>0</v>
      </c>
      <c r="M53" s="32">
        <f>B53+E53</f>
        <v>5</v>
      </c>
      <c r="N53" s="32">
        <f>C53+F53+I53</f>
        <v>0</v>
      </c>
      <c r="O53" s="32"/>
      <c r="P53" s="55" t="str">
        <f>AE55</f>
        <v>Roberta Grixti/Francesca Mamo</v>
      </c>
      <c r="Q53" s="45">
        <v>0.0</v>
      </c>
      <c r="R53" s="56">
        <f>IF(Q53&gt;Q51,1,0)</f>
        <v>0</v>
      </c>
      <c r="S53" s="57"/>
      <c r="T53" s="45">
        <v>1.0</v>
      </c>
      <c r="U53" s="56">
        <f>IF(T53&gt;T51,1,0)</f>
        <v>0</v>
      </c>
      <c r="V53" s="57"/>
      <c r="W53" s="48"/>
      <c r="X53" s="32">
        <f>IF(W53&gt;W51,1,0)</f>
        <v>0</v>
      </c>
      <c r="Y53" s="32">
        <f>IF(Q53="",0,1)</f>
        <v>1</v>
      </c>
      <c r="Z53" s="32">
        <f>IF(R53+U53=2,3,IF(R53+U53=1,1,0))</f>
        <v>0</v>
      </c>
      <c r="AA53" s="32">
        <f>IF(Z53=3,3,IF(X53+Z53=2,2,IF(Z53=1,1,0)))</f>
        <v>0</v>
      </c>
      <c r="AB53" s="32">
        <f>Q53+T53</f>
        <v>1</v>
      </c>
      <c r="AC53" s="32">
        <f>R53+U53+X53</f>
        <v>0</v>
      </c>
      <c r="AD53" s="32"/>
      <c r="AE53" s="146" t="str">
        <f>'Players Ladies'!E25</f>
        <v>Janice Galea/Tiziana Spiteri</v>
      </c>
      <c r="AF53" s="50">
        <f>Y69+J75+J53+Y61+J67</f>
        <v>5</v>
      </c>
      <c r="AG53" s="50">
        <f t="shared" ref="AG53:AI53" si="10">AA69+L75+L53+AA61+L67</f>
        <v>4</v>
      </c>
      <c r="AH53" s="50">
        <f t="shared" si="10"/>
        <v>34</v>
      </c>
      <c r="AI53" s="51">
        <f t="shared" si="10"/>
        <v>3</v>
      </c>
      <c r="AJ53" s="39"/>
      <c r="AK53" s="39"/>
      <c r="AL53" s="32"/>
    </row>
    <row r="54" ht="15.0" customHeight="1">
      <c r="A54" s="32"/>
      <c r="B54" s="39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J54" s="39"/>
      <c r="AK54" s="39"/>
      <c r="AL54" s="32"/>
    </row>
    <row r="55" ht="15.0" customHeight="1">
      <c r="A55" s="44" t="str">
        <f>AE47</f>
        <v>Rowena Caruana/Ceridwen Scerri</v>
      </c>
      <c r="B55" s="45">
        <v>6.0</v>
      </c>
      <c r="C55" s="46">
        <f>IF(B55&gt;B57,1,0)</f>
        <v>1</v>
      </c>
      <c r="D55" s="47"/>
      <c r="E55" s="45">
        <v>3.0</v>
      </c>
      <c r="F55" s="46">
        <f>IF(E55&gt;E57,1,0)</f>
        <v>0</v>
      </c>
      <c r="G55" s="47"/>
      <c r="H55" s="45">
        <v>5.0</v>
      </c>
      <c r="I55" s="32">
        <f>IF(H55&gt;H57,1,0)</f>
        <v>0</v>
      </c>
      <c r="J55" s="32">
        <f>IF(B55="",0,1)</f>
        <v>1</v>
      </c>
      <c r="K55" s="32">
        <f>IF(C55+F55=2,3,IF(C55+F55=1,1,0))</f>
        <v>1</v>
      </c>
      <c r="L55" s="32">
        <f>IF(K55=3,3,IF(I55+K55=2,2,IF(K55=1,1,0)))</f>
        <v>1</v>
      </c>
      <c r="M55" s="32">
        <f>B55+E55</f>
        <v>9</v>
      </c>
      <c r="N55" s="32">
        <f>C55+F55+I55</f>
        <v>1</v>
      </c>
      <c r="O55" s="32"/>
      <c r="P55" s="44" t="str">
        <f>AE55</f>
        <v>Roberta Grixti/Francesca Mamo</v>
      </c>
      <c r="Q55" s="45">
        <v>1.0</v>
      </c>
      <c r="R55" s="46">
        <f>IF(Q55&gt;Q57,1,0)</f>
        <v>0</v>
      </c>
      <c r="S55" s="47"/>
      <c r="T55" s="45">
        <v>2.0</v>
      </c>
      <c r="U55" s="46">
        <f>IF(T55&gt;T57,1,0)</f>
        <v>0</v>
      </c>
      <c r="V55" s="47"/>
      <c r="W55" s="48"/>
      <c r="X55" s="32">
        <f>IF(W55&gt;W57,1,0)</f>
        <v>0</v>
      </c>
      <c r="Y55" s="32">
        <f>IF(Q55="",0,1)</f>
        <v>1</v>
      </c>
      <c r="Z55" s="32">
        <f>IF(R55+U55=2,3,IF(R55+U55=1,1,0))</f>
        <v>0</v>
      </c>
      <c r="AA55" s="32">
        <f>IF(Z55=3,3,IF(X55+Z55=2,2,IF(Z55=1,1,0)))</f>
        <v>0</v>
      </c>
      <c r="AB55" s="32">
        <f>Q55+T55</f>
        <v>3</v>
      </c>
      <c r="AC55" s="32">
        <f>R55+U55+X55</f>
        <v>0</v>
      </c>
      <c r="AD55" s="32"/>
      <c r="AE55" s="146" t="str">
        <f>'Players Ladies'!E26</f>
        <v>Roberta Grixti/Francesca Mamo</v>
      </c>
      <c r="AF55" s="50">
        <f>Y55+J77+J65+Y53+J73</f>
        <v>5</v>
      </c>
      <c r="AG55" s="50">
        <f t="shared" ref="AG55:AI55" si="11">AA55+L77+L65+AA53+L73</f>
        <v>0</v>
      </c>
      <c r="AH55" s="50">
        <f t="shared" si="11"/>
        <v>18</v>
      </c>
      <c r="AI55" s="51">
        <f t="shared" si="11"/>
        <v>0</v>
      </c>
      <c r="AJ55" s="39"/>
      <c r="AK55" s="39"/>
      <c r="AL55" s="32"/>
    </row>
    <row r="56" ht="15.0" customHeight="1">
      <c r="A56" s="52" t="s">
        <v>63</v>
      </c>
      <c r="H56" s="53"/>
      <c r="I56" s="54"/>
      <c r="J56" s="32"/>
      <c r="K56" s="32"/>
      <c r="L56" s="32"/>
      <c r="M56" s="32"/>
      <c r="N56" s="32"/>
      <c r="O56" s="32"/>
      <c r="P56" s="52" t="s">
        <v>63</v>
      </c>
      <c r="W56" s="53"/>
      <c r="X56" s="54"/>
      <c r="Y56" s="32"/>
      <c r="Z56" s="32"/>
      <c r="AA56" s="32"/>
      <c r="AB56" s="32"/>
      <c r="AC56" s="32"/>
      <c r="AD56" s="32"/>
      <c r="AE56" s="32"/>
      <c r="AF56" s="39"/>
      <c r="AG56" s="39"/>
      <c r="AH56" s="39"/>
      <c r="AI56" s="39"/>
      <c r="AJ56" s="39"/>
      <c r="AK56" s="39"/>
      <c r="AL56" s="32"/>
    </row>
    <row r="57" ht="15.0" customHeight="1">
      <c r="A57" s="55" t="str">
        <f>AE57</f>
        <v>Maria Angela Gambin/Maria Ellul</v>
      </c>
      <c r="B57" s="45">
        <v>4.0</v>
      </c>
      <c r="C57" s="56">
        <f>IF(B57&gt;B55,1,0)</f>
        <v>0</v>
      </c>
      <c r="D57" s="57"/>
      <c r="E57" s="45">
        <v>6.0</v>
      </c>
      <c r="F57" s="56">
        <f>IF(E57&gt;E55,1,0)</f>
        <v>1</v>
      </c>
      <c r="G57" s="57"/>
      <c r="H57" s="45">
        <v>10.0</v>
      </c>
      <c r="I57" s="32">
        <f>IF(H57&gt;H55,1,0)</f>
        <v>1</v>
      </c>
      <c r="J57" s="32">
        <f>IF(B57="",0,1)</f>
        <v>1</v>
      </c>
      <c r="K57" s="32">
        <f>IF(C57+F57=2,3,IF(C57+F57=1,1,0))</f>
        <v>1</v>
      </c>
      <c r="L57" s="32">
        <f>IF(K57=3,3,IF(I57+K57=2,2,IF(K57=1,1,0)))</f>
        <v>2</v>
      </c>
      <c r="M57" s="32">
        <f>B57+E57</f>
        <v>10</v>
      </c>
      <c r="N57" s="32">
        <f>C57+F57+I57</f>
        <v>2</v>
      </c>
      <c r="O57" s="32"/>
      <c r="P57" s="55" t="str">
        <f>AE57</f>
        <v>Maria Angela Gambin/Maria Ellul</v>
      </c>
      <c r="Q57" s="45">
        <v>6.0</v>
      </c>
      <c r="R57" s="56">
        <f>IF(Q57&gt;Q55,1,0)</f>
        <v>1</v>
      </c>
      <c r="S57" s="57"/>
      <c r="T57" s="45">
        <v>6.0</v>
      </c>
      <c r="U57" s="56">
        <f>IF(T57&gt;T55,1,0)</f>
        <v>1</v>
      </c>
      <c r="V57" s="57"/>
      <c r="W57" s="48"/>
      <c r="X57" s="32">
        <f>IF(W57&gt;W55,1,0)</f>
        <v>0</v>
      </c>
      <c r="Y57" s="32">
        <f>IF(Q57="",0,1)</f>
        <v>1</v>
      </c>
      <c r="Z57" s="32">
        <f>IF(R57+U57=2,3,IF(R57+U57=1,1,0))</f>
        <v>3</v>
      </c>
      <c r="AA57" s="32">
        <f>IF(Z57=3,3,IF(X57+Z57=2,2,IF(Z57=1,1,0)))</f>
        <v>3</v>
      </c>
      <c r="AB57" s="32">
        <f>Q57+T57</f>
        <v>12</v>
      </c>
      <c r="AC57" s="32">
        <f>R57+U57+X57</f>
        <v>2</v>
      </c>
      <c r="AD57" s="32"/>
      <c r="AE57" s="146" t="str">
        <f>'Players Ladies'!E27</f>
        <v>Maria Angela Gambin/Maria Ellul</v>
      </c>
      <c r="AF57" s="50">
        <f>Y57+Y65+Y73+J57+J69</f>
        <v>5</v>
      </c>
      <c r="AG57" s="50">
        <f t="shared" ref="AG57:AI57" si="12">AA57+AA65+AA73+L57+L69</f>
        <v>14</v>
      </c>
      <c r="AH57" s="50">
        <f t="shared" si="12"/>
        <v>59</v>
      </c>
      <c r="AI57" s="51">
        <f t="shared" si="12"/>
        <v>10</v>
      </c>
      <c r="AJ57" s="32"/>
      <c r="AK57" s="39"/>
      <c r="AL57" s="32"/>
    </row>
    <row r="58" ht="15.0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</row>
    <row r="59">
      <c r="A59" s="44" t="str">
        <f>AE49</f>
        <v>Ann Marie Attard/Christine Seychell</v>
      </c>
      <c r="B59" s="45">
        <v>6.0</v>
      </c>
      <c r="C59" s="46">
        <f>IF(B59&gt;B61,1,0)</f>
        <v>1</v>
      </c>
      <c r="D59" s="47"/>
      <c r="E59" s="45">
        <v>6.0</v>
      </c>
      <c r="F59" s="46">
        <f>IF(E59&gt;E61,1,0)</f>
        <v>1</v>
      </c>
      <c r="G59" s="47"/>
      <c r="H59" s="48"/>
      <c r="I59" s="32">
        <f>IF(H59&gt;H61,1,0)</f>
        <v>0</v>
      </c>
      <c r="J59" s="32">
        <f>IF(B59="",0,1)</f>
        <v>1</v>
      </c>
      <c r="K59" s="32">
        <f>IF(C59+F59=2,3,IF(C59+F59=1,1,0))</f>
        <v>3</v>
      </c>
      <c r="L59" s="32">
        <f>IF(K59=3,3,IF(I59+K59=2,2,IF(K59=1,1,0)))</f>
        <v>3</v>
      </c>
      <c r="M59" s="32">
        <f>B59+E59</f>
        <v>12</v>
      </c>
      <c r="N59" s="32">
        <f>C59+F59+I59</f>
        <v>2</v>
      </c>
      <c r="O59" s="32"/>
      <c r="P59" s="44" t="str">
        <f>AE49</f>
        <v>Ann Marie Attard/Christine Seychell</v>
      </c>
      <c r="Q59" s="45">
        <v>6.0</v>
      </c>
      <c r="R59" s="46">
        <f>IF(Q59&gt;Q61,1,0)</f>
        <v>1</v>
      </c>
      <c r="S59" s="47"/>
      <c r="T59" s="45">
        <v>4.0</v>
      </c>
      <c r="U59" s="46">
        <f>IF(T59&gt;T61,1,0)</f>
        <v>0</v>
      </c>
      <c r="V59" s="47"/>
      <c r="W59" s="45">
        <v>10.0</v>
      </c>
      <c r="X59" s="32">
        <f>IF(W59&gt;W61,1,0)</f>
        <v>1</v>
      </c>
      <c r="Y59" s="32">
        <f>IF(Q59="",0,1)</f>
        <v>1</v>
      </c>
      <c r="Z59" s="32">
        <f>IF(R59+U59=2,3,IF(R59+U59=1,1,0))</f>
        <v>1</v>
      </c>
      <c r="AA59" s="32">
        <f>IF(Z59=3,3,IF(X59+Z59=2,2,IF(Z59=1,1,0)))</f>
        <v>2</v>
      </c>
      <c r="AB59" s="32">
        <f>Q59+T59</f>
        <v>10</v>
      </c>
      <c r="AC59" s="32">
        <f>R59+U59+X59</f>
        <v>2</v>
      </c>
      <c r="AD59" s="32"/>
      <c r="AE59" s="145" t="s">
        <v>73</v>
      </c>
      <c r="AF59" s="35"/>
      <c r="AG59" s="35"/>
      <c r="AH59" s="35"/>
      <c r="AI59" s="36"/>
    </row>
    <row r="60">
      <c r="A60" s="52" t="s">
        <v>63</v>
      </c>
      <c r="H60" s="53"/>
      <c r="I60" s="54"/>
      <c r="J60" s="32"/>
      <c r="K60" s="32"/>
      <c r="L60" s="32"/>
      <c r="M60" s="32"/>
      <c r="N60" s="32"/>
      <c r="O60" s="32"/>
      <c r="P60" s="52" t="s">
        <v>63</v>
      </c>
      <c r="W60" s="53"/>
      <c r="X60" s="54"/>
      <c r="Y60" s="32"/>
      <c r="Z60" s="32"/>
      <c r="AA60" s="32"/>
      <c r="AB60" s="32"/>
      <c r="AC60" s="32"/>
      <c r="AD60" s="32"/>
      <c r="AE60" s="60" t="s">
        <v>108</v>
      </c>
      <c r="AF60" s="35"/>
      <c r="AG60" s="35"/>
      <c r="AH60" s="35"/>
      <c r="AI60" s="36"/>
    </row>
    <row r="61" ht="15.0" customHeight="1">
      <c r="A61" s="55" t="str">
        <f>AE51</f>
        <v>Karolina Papiernak/Jennifer Roca</v>
      </c>
      <c r="B61" s="45">
        <v>4.0</v>
      </c>
      <c r="C61" s="56">
        <f>IF(B61&gt;B59,1,0)</f>
        <v>0</v>
      </c>
      <c r="D61" s="57"/>
      <c r="E61" s="45">
        <v>4.0</v>
      </c>
      <c r="F61" s="56">
        <f>IF(E61&gt;E59,1,0)</f>
        <v>0</v>
      </c>
      <c r="G61" s="57"/>
      <c r="H61" s="48"/>
      <c r="I61" s="32">
        <f>IF(H61&gt;H59,1,0)</f>
        <v>0</v>
      </c>
      <c r="J61" s="32">
        <f>IF(B61="",0,1)</f>
        <v>1</v>
      </c>
      <c r="K61" s="32">
        <f>IF(C61+F61=2,3,IF(C61+F61=1,1,0))</f>
        <v>0</v>
      </c>
      <c r="L61" s="32">
        <f>IF(K61=3,3,IF(I61+K61=2,2,IF(K61=1,1,0)))</f>
        <v>0</v>
      </c>
      <c r="M61" s="32">
        <f>B61+E61</f>
        <v>8</v>
      </c>
      <c r="N61" s="32">
        <f>C61+F61+I61</f>
        <v>0</v>
      </c>
      <c r="O61" s="32"/>
      <c r="P61" s="55" t="str">
        <f>AE53</f>
        <v>Janice Galea/Tiziana Spiteri</v>
      </c>
      <c r="Q61" s="45">
        <v>1.0</v>
      </c>
      <c r="R61" s="56">
        <f>IF(Q61&gt;Q59,1,0)</f>
        <v>0</v>
      </c>
      <c r="S61" s="57"/>
      <c r="T61" s="45">
        <v>6.0</v>
      </c>
      <c r="U61" s="56">
        <f>IF(T61&gt;T59,1,0)</f>
        <v>1</v>
      </c>
      <c r="V61" s="57"/>
      <c r="W61" s="45">
        <v>3.0</v>
      </c>
      <c r="X61" s="32">
        <f>IF(W61&gt;W59,1,0)</f>
        <v>0</v>
      </c>
      <c r="Y61" s="32">
        <f>IF(Q61="",0,1)</f>
        <v>1</v>
      </c>
      <c r="Z61" s="32">
        <f>IF(R61+U61=2,3,IF(R61+U61=1,1,0))</f>
        <v>1</v>
      </c>
      <c r="AA61" s="32">
        <f>IF(Z61=3,3,IF(X61+Z61=2,2,IF(Z61=1,1,0)))</f>
        <v>1</v>
      </c>
      <c r="AB61" s="32">
        <f>Q61+T61</f>
        <v>7</v>
      </c>
      <c r="AC61" s="32">
        <f>R61+U61+X61</f>
        <v>1</v>
      </c>
      <c r="AD61" s="32"/>
      <c r="AE61" s="32"/>
      <c r="AF61" s="32"/>
      <c r="AG61" s="32"/>
      <c r="AH61" s="32"/>
      <c r="AI61" s="32"/>
    </row>
    <row r="62" ht="15.0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</row>
    <row r="63">
      <c r="A63" s="44" t="str">
        <f>AE49</f>
        <v>Ann Marie Attard/Christine Seychell</v>
      </c>
      <c r="B63" s="45">
        <v>6.0</v>
      </c>
      <c r="C63" s="46">
        <f>IF(B63&gt;B65,1,0)</f>
        <v>1</v>
      </c>
      <c r="D63" s="47"/>
      <c r="E63" s="45">
        <v>6.0</v>
      </c>
      <c r="F63" s="46">
        <f>IF(E63&gt;E65,1,0)</f>
        <v>1</v>
      </c>
      <c r="G63" s="47"/>
      <c r="H63" s="48"/>
      <c r="I63" s="32">
        <f>IF(H63&gt;H65,1,0)</f>
        <v>0</v>
      </c>
      <c r="J63" s="32">
        <f>IF(B63="",0,1)</f>
        <v>1</v>
      </c>
      <c r="K63" s="32">
        <f>IF(C63+F63=2,3,IF(C63+F63=1,1,0))</f>
        <v>3</v>
      </c>
      <c r="L63" s="32">
        <f>IF(K63=3,3,IF(I63+K63=2,2,IF(K63=1,1,0)))</f>
        <v>3</v>
      </c>
      <c r="M63" s="32">
        <f>B63+E63</f>
        <v>12</v>
      </c>
      <c r="N63" s="32">
        <f>C63+F63+I63</f>
        <v>2</v>
      </c>
      <c r="O63" s="32"/>
      <c r="P63" s="44" t="str">
        <f>AE49</f>
        <v>Ann Marie Attard/Christine Seychell</v>
      </c>
      <c r="Q63" s="45">
        <v>6.0</v>
      </c>
      <c r="R63" s="46">
        <f>IF(Q63&gt;Q65,1,0)</f>
        <v>0</v>
      </c>
      <c r="S63" s="47"/>
      <c r="T63" s="45">
        <v>3.0</v>
      </c>
      <c r="U63" s="46">
        <f>IF(T63&gt;T65,1,0)</f>
        <v>0</v>
      </c>
      <c r="V63" s="47"/>
      <c r="W63" s="48"/>
      <c r="X63" s="32">
        <f>IF(W63&gt;W61,1,0)</f>
        <v>0</v>
      </c>
      <c r="Y63" s="32">
        <f>IF(Q63="",0,1)</f>
        <v>1</v>
      </c>
      <c r="Z63" s="32">
        <f>IF(R63+U63=2,3,IF(R63+U63=1,1,0))</f>
        <v>0</v>
      </c>
      <c r="AA63" s="32">
        <f>IF(Z63=3,3,IF(X63+Z63=2,2,IF(Z63=1,1,0)))</f>
        <v>0</v>
      </c>
      <c r="AB63" s="32">
        <f>Q63+T63</f>
        <v>9</v>
      </c>
      <c r="AC63" s="32">
        <f>R63+U63+X63</f>
        <v>0</v>
      </c>
      <c r="AD63" s="32"/>
      <c r="AE63" s="32"/>
      <c r="AF63" s="32"/>
      <c r="AG63" s="32"/>
      <c r="AH63" s="32"/>
      <c r="AI63" s="32"/>
    </row>
    <row r="64" ht="15.0" customHeight="1">
      <c r="A64" s="52" t="s">
        <v>63</v>
      </c>
      <c r="H64" s="53"/>
      <c r="I64" s="54"/>
      <c r="J64" s="32"/>
      <c r="K64" s="32"/>
      <c r="L64" s="32"/>
      <c r="M64" s="32"/>
      <c r="N64" s="32"/>
      <c r="O64" s="32"/>
      <c r="P64" s="52" t="s">
        <v>63</v>
      </c>
      <c r="W64" s="53"/>
      <c r="X64" s="54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</row>
    <row r="65" ht="15.0" customHeight="1">
      <c r="A65" s="55" t="str">
        <f>AE55</f>
        <v>Roberta Grixti/Francesca Mamo</v>
      </c>
      <c r="B65" s="45">
        <v>2.0</v>
      </c>
      <c r="C65" s="56">
        <f>IF(B65&gt;B63,1,0)</f>
        <v>0</v>
      </c>
      <c r="D65" s="57"/>
      <c r="E65" s="45">
        <v>2.0</v>
      </c>
      <c r="F65" s="56">
        <f>IF(E65&gt;E63,1,0)</f>
        <v>0</v>
      </c>
      <c r="G65" s="57"/>
      <c r="H65" s="48"/>
      <c r="I65" s="32">
        <f>IF(H65&gt;H63,1,0)</f>
        <v>0</v>
      </c>
      <c r="J65" s="32">
        <f>IF(B65="",0,1)</f>
        <v>1</v>
      </c>
      <c r="K65" s="32">
        <f>IF(C65+F65=2,3,IF(C65+F65=1,1,0))</f>
        <v>0</v>
      </c>
      <c r="L65" s="32">
        <f>IF(K65=3,3,IF(I65+K65=2,2,IF(K65=1,1,0)))</f>
        <v>0</v>
      </c>
      <c r="M65" s="32">
        <f>B65+E65</f>
        <v>4</v>
      </c>
      <c r="N65" s="32">
        <f>C65+F65+I65</f>
        <v>0</v>
      </c>
      <c r="O65" s="32"/>
      <c r="P65" s="55" t="str">
        <f>AE57</f>
        <v>Maria Angela Gambin/Maria Ellul</v>
      </c>
      <c r="Q65" s="45">
        <v>7.0</v>
      </c>
      <c r="R65" s="56">
        <f>IF(Q65&gt;Q63,1,0)</f>
        <v>1</v>
      </c>
      <c r="S65" s="57"/>
      <c r="T65" s="45">
        <v>6.0</v>
      </c>
      <c r="U65" s="56">
        <f>IF(T65&gt;T63,1,0)</f>
        <v>1</v>
      </c>
      <c r="V65" s="57"/>
      <c r="W65" s="48"/>
      <c r="X65" s="32">
        <f>IF(W65&gt;W63,1,0)</f>
        <v>0</v>
      </c>
      <c r="Y65" s="32">
        <f>IF(Q65="",0,1)</f>
        <v>1</v>
      </c>
      <c r="Z65" s="32">
        <f>IF(R65+U65=2,3,IF(R65+U65=1,1,0))</f>
        <v>3</v>
      </c>
      <c r="AA65" s="32">
        <f>IF(Z65=3,3,IF(X65+Z65=2,2,IF(Z65=1,1,0)))</f>
        <v>3</v>
      </c>
      <c r="AB65" s="32">
        <f>Q65+T65</f>
        <v>13</v>
      </c>
      <c r="AC65" s="32">
        <f>R65+U65+X65</f>
        <v>2</v>
      </c>
      <c r="AD65" s="32"/>
      <c r="AE65" s="32"/>
      <c r="AF65" s="32"/>
      <c r="AG65" s="32"/>
      <c r="AH65" s="32"/>
      <c r="AI65" s="32"/>
    </row>
    <row r="66" ht="15.0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147"/>
      <c r="AF66" s="32"/>
      <c r="AG66" s="32"/>
      <c r="AH66" s="39"/>
      <c r="AI66" s="32"/>
    </row>
    <row r="67">
      <c r="A67" s="44" t="str">
        <f>AE53</f>
        <v>Janice Galea/Tiziana Spiteri</v>
      </c>
      <c r="B67" s="45">
        <v>3.0</v>
      </c>
      <c r="C67" s="46">
        <f>IF(B67&gt;B69,1,0)</f>
        <v>0</v>
      </c>
      <c r="D67" s="47"/>
      <c r="E67" s="45">
        <v>2.0</v>
      </c>
      <c r="F67" s="46">
        <f>IF(E67&gt;E69,1,0)</f>
        <v>0</v>
      </c>
      <c r="G67" s="47"/>
      <c r="H67" s="48"/>
      <c r="I67" s="32">
        <f>IF(H67&gt;H69,1,0)</f>
        <v>0</v>
      </c>
      <c r="J67" s="32">
        <f>IF(B67="",0,1)</f>
        <v>1</v>
      </c>
      <c r="K67" s="32">
        <f>IF(C67+F67=2,3,IF(C67+F67=1,1,0))</f>
        <v>0</v>
      </c>
      <c r="L67" s="32">
        <f>IF(K67=3,3,IF(I67+K67=2,2,IF(K67=1,1,0)))</f>
        <v>0</v>
      </c>
      <c r="M67" s="32">
        <f>B67+E67</f>
        <v>5</v>
      </c>
      <c r="N67" s="32">
        <f>C67+F67+I67</f>
        <v>0</v>
      </c>
      <c r="O67" s="32"/>
      <c r="P67" s="44" t="str">
        <f>AE51</f>
        <v>Karolina Papiernak/Jennifer Roca</v>
      </c>
      <c r="Q67" s="45">
        <v>6.0</v>
      </c>
      <c r="R67" s="46">
        <f>IF(Q67&gt;Q69,1,0)</f>
        <v>1</v>
      </c>
      <c r="S67" s="47"/>
      <c r="T67" s="45">
        <v>6.0</v>
      </c>
      <c r="U67" s="46">
        <f>IF(T67&gt;T69,1,0)</f>
        <v>1</v>
      </c>
      <c r="V67" s="47"/>
      <c r="W67" s="48"/>
      <c r="X67" s="32">
        <f>IF(W67&gt;W65,1,0)</f>
        <v>0</v>
      </c>
      <c r="Y67" s="32">
        <f>IF(Q67="",0,1)</f>
        <v>1</v>
      </c>
      <c r="Z67" s="32">
        <f>IF(R67+U67=2,3,IF(R67+U67=1,1,0))</f>
        <v>3</v>
      </c>
      <c r="AA67" s="32">
        <f>IF(Z67=3,3,IF(X67+Z67=2,2,IF(Z67=1,1,0)))</f>
        <v>3</v>
      </c>
      <c r="AB67" s="32">
        <f>Q67+T67</f>
        <v>12</v>
      </c>
      <c r="AC67" s="32">
        <f>R67+U67+X67</f>
        <v>2</v>
      </c>
      <c r="AD67" s="32"/>
      <c r="AE67" s="32"/>
      <c r="AF67" s="32"/>
      <c r="AG67" s="32"/>
      <c r="AH67" s="32"/>
      <c r="AI67" s="32"/>
    </row>
    <row r="68" ht="15.0" customHeight="1">
      <c r="A68" s="52" t="s">
        <v>63</v>
      </c>
      <c r="H68" s="53"/>
      <c r="I68" s="54"/>
      <c r="J68" s="32"/>
      <c r="K68" s="32"/>
      <c r="L68" s="32"/>
      <c r="M68" s="32"/>
      <c r="N68" s="32"/>
      <c r="O68" s="32"/>
      <c r="P68" s="52" t="s">
        <v>63</v>
      </c>
      <c r="W68" s="53"/>
      <c r="AD68" s="32"/>
      <c r="AE68" s="32"/>
      <c r="AF68" s="32"/>
      <c r="AG68" s="32"/>
      <c r="AH68" s="32"/>
      <c r="AI68" s="32"/>
    </row>
    <row r="69" ht="15.0" customHeight="1">
      <c r="A69" s="55" t="str">
        <f>AE57</f>
        <v>Maria Angela Gambin/Maria Ellul</v>
      </c>
      <c r="B69" s="45">
        <v>6.0</v>
      </c>
      <c r="C69" s="56">
        <f>IF(B69&gt;B67,1,0)</f>
        <v>1</v>
      </c>
      <c r="D69" s="57"/>
      <c r="E69" s="45">
        <v>6.0</v>
      </c>
      <c r="F69" s="56">
        <f>IF(E69&gt;E67,1,0)</f>
        <v>1</v>
      </c>
      <c r="G69" s="57"/>
      <c r="H69" s="48"/>
      <c r="I69" s="32">
        <f>IF(H69&gt;H67,1,0)</f>
        <v>0</v>
      </c>
      <c r="J69" s="32">
        <f>IF(B69="",0,1)</f>
        <v>1</v>
      </c>
      <c r="K69" s="32">
        <f>IF(C69+F69=2,3,IF(C69+F69=1,1,0))</f>
        <v>3</v>
      </c>
      <c r="L69" s="32">
        <f>IF(K69=3,3,IF(I69+K69=2,2,IF(K69=1,1,0)))</f>
        <v>3</v>
      </c>
      <c r="M69" s="32">
        <f>B69+E69</f>
        <v>12</v>
      </c>
      <c r="N69" s="32">
        <f>C69+F69+I69</f>
        <v>2</v>
      </c>
      <c r="O69" s="32"/>
      <c r="P69" s="55" t="str">
        <f>AE53</f>
        <v>Janice Galea/Tiziana Spiteri</v>
      </c>
      <c r="Q69" s="45">
        <v>1.0</v>
      </c>
      <c r="R69" s="56">
        <f>IF(Q69&gt;Q67,1,0)</f>
        <v>0</v>
      </c>
      <c r="S69" s="57"/>
      <c r="T69" s="45">
        <v>3.0</v>
      </c>
      <c r="U69" s="56">
        <f>IF(T69&gt;T67,1,0)</f>
        <v>0</v>
      </c>
      <c r="V69" s="57"/>
      <c r="W69" s="48"/>
      <c r="X69" s="32">
        <f>IF(W69&gt;W67,1,0)</f>
        <v>0</v>
      </c>
      <c r="Y69" s="32">
        <f>IF(Q69="",0,1)</f>
        <v>1</v>
      </c>
      <c r="Z69" s="32">
        <f>IF(R69+U69=2,3,IF(R69+U69=1,1,0))</f>
        <v>0</v>
      </c>
      <c r="AA69" s="32">
        <f>IF(Z69=3,3,IF(X69+Z69=2,2,IF(Z69=1,1,0)))</f>
        <v>0</v>
      </c>
      <c r="AB69" s="32">
        <f>Q69+T69</f>
        <v>4</v>
      </c>
      <c r="AC69" s="32">
        <f>R69+U69+X69</f>
        <v>0</v>
      </c>
      <c r="AD69" s="32"/>
      <c r="AE69" s="32"/>
      <c r="AF69" s="32"/>
      <c r="AG69" s="32"/>
      <c r="AH69" s="32"/>
      <c r="AI69" s="32"/>
    </row>
    <row r="70" ht="15.0" customHeight="1">
      <c r="A70" s="32"/>
      <c r="B70" s="32"/>
      <c r="C70" s="32"/>
      <c r="D70" s="32"/>
      <c r="E70" s="39"/>
      <c r="F70" s="32"/>
      <c r="G70" s="32"/>
      <c r="H70" s="39"/>
      <c r="I70" s="32"/>
      <c r="J70" s="39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9"/>
      <c r="Z70" s="32"/>
      <c r="AA70" s="32"/>
      <c r="AB70" s="32"/>
      <c r="AC70" s="32"/>
      <c r="AD70" s="32"/>
      <c r="AE70" s="32"/>
      <c r="AF70" s="32"/>
      <c r="AG70" s="32"/>
      <c r="AH70" s="32"/>
      <c r="AI70" s="32"/>
    </row>
    <row r="71" ht="15.0" customHeight="1">
      <c r="A71" s="44" t="str">
        <f>AE51</f>
        <v>Karolina Papiernak/Jennifer Roca</v>
      </c>
      <c r="B71" s="45">
        <v>6.0</v>
      </c>
      <c r="C71" s="46">
        <f>IF(B71&gt;B73,1,0)</f>
        <v>1</v>
      </c>
      <c r="D71" s="47"/>
      <c r="E71" s="45">
        <v>6.0</v>
      </c>
      <c r="F71" s="46">
        <f>IF(E71&gt;E73,1,0)</f>
        <v>1</v>
      </c>
      <c r="G71" s="47"/>
      <c r="H71" s="48"/>
      <c r="I71" s="32">
        <f>IF(H71&gt;H69,1,0)</f>
        <v>0</v>
      </c>
      <c r="J71" s="32">
        <f>IF(B71="",0,1)</f>
        <v>1</v>
      </c>
      <c r="K71" s="32">
        <f>IF(C71+F71=2,3,IF(C71+F71=1,1,0))</f>
        <v>3</v>
      </c>
      <c r="L71" s="32">
        <f>IF(K71=3,3,IF(I71+K71=2,2,IF(K71=1,1,0)))</f>
        <v>3</v>
      </c>
      <c r="M71" s="32">
        <f>B71+E71</f>
        <v>12</v>
      </c>
      <c r="N71" s="32">
        <f>C71+F71+I71</f>
        <v>2</v>
      </c>
      <c r="O71" s="32"/>
      <c r="P71" s="44" t="str">
        <f>AE51</f>
        <v>Karolina Papiernak/Jennifer Roca</v>
      </c>
      <c r="Q71" s="45">
        <v>3.0</v>
      </c>
      <c r="R71" s="46">
        <f>IF(Q71&gt;Q73,1,0)</f>
        <v>0</v>
      </c>
      <c r="S71" s="47"/>
      <c r="T71" s="45">
        <v>0.0</v>
      </c>
      <c r="U71" s="46">
        <f>IF(T71&gt;T73,1,0)</f>
        <v>0</v>
      </c>
      <c r="V71" s="47"/>
      <c r="W71" s="48"/>
      <c r="X71" s="32">
        <f>IF(W71&gt;W69,1,0)</f>
        <v>0</v>
      </c>
      <c r="Y71" s="32">
        <f>IF(Q71="",0,1)</f>
        <v>1</v>
      </c>
      <c r="Z71" s="32">
        <f>IF(R71+U71=2,3,IF(R71+U71=1,1,0))</f>
        <v>0</v>
      </c>
      <c r="AA71" s="32">
        <f>IF(Z71=3,3,IF(X71+Z71=2,2,IF(Z71=1,1,0)))</f>
        <v>0</v>
      </c>
      <c r="AB71" s="32">
        <f>Q71+T71</f>
        <v>3</v>
      </c>
      <c r="AC71" s="32">
        <f>R71+U71+X71</f>
        <v>0</v>
      </c>
      <c r="AD71" s="32"/>
      <c r="AE71" s="32"/>
      <c r="AF71" s="32"/>
      <c r="AG71" s="32"/>
      <c r="AH71" s="32"/>
      <c r="AI71" s="32"/>
    </row>
    <row r="72" ht="15.0" customHeight="1">
      <c r="A72" s="52" t="s">
        <v>63</v>
      </c>
      <c r="H72" s="53"/>
      <c r="I72" s="32"/>
      <c r="J72" s="39"/>
      <c r="K72" s="32"/>
      <c r="L72" s="32"/>
      <c r="M72" s="32"/>
      <c r="N72" s="32"/>
      <c r="O72" s="32"/>
      <c r="P72" s="52" t="s">
        <v>63</v>
      </c>
      <c r="W72" s="53"/>
      <c r="X72" s="32"/>
      <c r="Y72" s="39"/>
      <c r="Z72" s="32"/>
      <c r="AA72" s="32"/>
      <c r="AB72" s="32"/>
      <c r="AC72" s="32"/>
      <c r="AD72" s="32"/>
      <c r="AE72" s="32"/>
      <c r="AF72" s="32"/>
      <c r="AG72" s="32"/>
      <c r="AH72" s="32"/>
      <c r="AI72" s="32"/>
    </row>
    <row r="73" ht="15.0" customHeight="1">
      <c r="A73" s="55" t="str">
        <f>AE55</f>
        <v>Roberta Grixti/Francesca Mamo</v>
      </c>
      <c r="B73" s="45">
        <v>3.0</v>
      </c>
      <c r="C73" s="56">
        <f>IF(B73&gt;B71,1,0)</f>
        <v>0</v>
      </c>
      <c r="D73" s="57"/>
      <c r="E73" s="45">
        <v>2.0</v>
      </c>
      <c r="F73" s="56">
        <f>IF(E73&gt;E71,1,0)</f>
        <v>0</v>
      </c>
      <c r="G73" s="57"/>
      <c r="H73" s="48"/>
      <c r="I73" s="32">
        <f>IF(H73&gt;H71,1,0)</f>
        <v>0</v>
      </c>
      <c r="J73" s="32">
        <f>IF(B73="",0,1)</f>
        <v>1</v>
      </c>
      <c r="K73" s="32">
        <f>IF(C73+F73=2,3,IF(C73+F73=1,1,0))</f>
        <v>0</v>
      </c>
      <c r="L73" s="32">
        <f>IF(K73=3,3,IF(I73+K73=2,2,IF(K73=1,1,0)))</f>
        <v>0</v>
      </c>
      <c r="M73" s="32">
        <f>B73+E73</f>
        <v>5</v>
      </c>
      <c r="N73" s="32">
        <f>C73+F73+I73</f>
        <v>0</v>
      </c>
      <c r="O73" s="32"/>
      <c r="P73" s="55" t="str">
        <f>AE57</f>
        <v>Maria Angela Gambin/Maria Ellul</v>
      </c>
      <c r="Q73" s="45">
        <v>6.0</v>
      </c>
      <c r="R73" s="56">
        <f>IF(Q73&gt;Q71,1,0)</f>
        <v>1</v>
      </c>
      <c r="S73" s="57"/>
      <c r="T73" s="45">
        <v>6.0</v>
      </c>
      <c r="U73" s="56">
        <f>IF(T73&gt;T71,1,0)</f>
        <v>1</v>
      </c>
      <c r="V73" s="57"/>
      <c r="W73" s="48"/>
      <c r="X73" s="32">
        <f>IF(W73&gt;W71,1,0)</f>
        <v>0</v>
      </c>
      <c r="Y73" s="32">
        <f>IF(Q73="",0,1)</f>
        <v>1</v>
      </c>
      <c r="Z73" s="32">
        <f>IF(R73+U73=2,3,IF(R73+U73=1,1,0))</f>
        <v>3</v>
      </c>
      <c r="AA73" s="32">
        <f>IF(Z73=3,3,IF(X73+Z73=2,2,IF(Z73=1,1,0)))</f>
        <v>3</v>
      </c>
      <c r="AB73" s="32">
        <f>Q73+T73</f>
        <v>12</v>
      </c>
      <c r="AC73" s="32">
        <f>R73+U73+X73</f>
        <v>2</v>
      </c>
      <c r="AD73" s="32"/>
      <c r="AE73" s="32"/>
      <c r="AF73" s="32"/>
      <c r="AG73" s="32"/>
      <c r="AH73" s="32"/>
      <c r="AI73" s="32"/>
    </row>
    <row r="74" ht="15.0" customHeight="1">
      <c r="A74" s="32"/>
      <c r="B74" s="32"/>
      <c r="C74" s="32"/>
      <c r="D74" s="32"/>
      <c r="E74" s="39"/>
      <c r="F74" s="32"/>
      <c r="G74" s="32"/>
      <c r="H74" s="39"/>
      <c r="I74" s="32"/>
      <c r="J74" s="39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9"/>
      <c r="Z74" s="32"/>
      <c r="AA74" s="32"/>
      <c r="AB74" s="32"/>
      <c r="AC74" s="32"/>
      <c r="AD74" s="32"/>
      <c r="AE74" s="32"/>
      <c r="AF74" s="32"/>
      <c r="AG74" s="32"/>
      <c r="AH74" s="32"/>
      <c r="AI74" s="32"/>
    </row>
    <row r="75" ht="15.0" customHeight="1">
      <c r="A75" s="44" t="str">
        <f>AE53</f>
        <v>Janice Galea/Tiziana Spiteri</v>
      </c>
      <c r="B75" s="45">
        <v>7.0</v>
      </c>
      <c r="C75" s="46">
        <f>IF(B75&gt;B77,1,0)</f>
        <v>1</v>
      </c>
      <c r="D75" s="47"/>
      <c r="E75" s="45">
        <v>6.0</v>
      </c>
      <c r="F75" s="46">
        <f>IF(E75&gt;E77,1,0)</f>
        <v>1</v>
      </c>
      <c r="G75" s="47"/>
      <c r="H75" s="48"/>
      <c r="I75" s="32">
        <f>IF(H75&gt;H73,1,0)</f>
        <v>0</v>
      </c>
      <c r="J75" s="32">
        <f>IF(B75="",0,1)</f>
        <v>1</v>
      </c>
      <c r="K75" s="32">
        <f>IF(C75+F75=2,3,IF(C75+F75=1,1,0))</f>
        <v>3</v>
      </c>
      <c r="L75" s="32">
        <f>IF(K75=3,3,IF(I75+K75=2,2,IF(K75=1,1,0)))</f>
        <v>3</v>
      </c>
      <c r="M75" s="32">
        <f>B75+E75</f>
        <v>13</v>
      </c>
      <c r="N75" s="32">
        <f>C75+F75+I75</f>
        <v>2</v>
      </c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9"/>
      <c r="Z75" s="32"/>
      <c r="AA75" s="32"/>
      <c r="AB75" s="32"/>
      <c r="AC75" s="32"/>
      <c r="AD75" s="32"/>
      <c r="AE75" s="32"/>
      <c r="AF75" s="32"/>
      <c r="AG75" s="32"/>
      <c r="AH75" s="32"/>
      <c r="AI75" s="32"/>
    </row>
    <row r="76" ht="15.0" customHeight="1">
      <c r="A76" s="52" t="s">
        <v>63</v>
      </c>
      <c r="H76" s="53"/>
      <c r="I76" s="32"/>
      <c r="J76" s="39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9"/>
      <c r="Z76" s="32"/>
      <c r="AA76" s="32"/>
      <c r="AB76" s="32"/>
      <c r="AC76" s="32"/>
      <c r="AD76" s="32"/>
      <c r="AE76" s="32"/>
      <c r="AF76" s="32"/>
      <c r="AG76" s="32"/>
      <c r="AH76" s="32"/>
      <c r="AI76" s="32"/>
    </row>
    <row r="77" ht="15.0" customHeight="1">
      <c r="A77" s="55" t="str">
        <f>AE55</f>
        <v>Roberta Grixti/Francesca Mamo</v>
      </c>
      <c r="B77" s="45">
        <v>5.0</v>
      </c>
      <c r="C77" s="56">
        <f>IF(B77&gt;B75,1,0)</f>
        <v>0</v>
      </c>
      <c r="D77" s="57"/>
      <c r="E77" s="45">
        <v>0.0</v>
      </c>
      <c r="F77" s="56">
        <f>IF(E77&gt;E75,1,0)</f>
        <v>0</v>
      </c>
      <c r="G77" s="57"/>
      <c r="H77" s="48"/>
      <c r="I77" s="32">
        <f>IF(H77&gt;H75,1,0)</f>
        <v>0</v>
      </c>
      <c r="J77" s="32">
        <f>IF(B77="",0,1)</f>
        <v>1</v>
      </c>
      <c r="K77" s="32">
        <f>IF(C77+F77=2,3,IF(C77+F77=1,1,0))</f>
        <v>0</v>
      </c>
      <c r="L77" s="32">
        <f>IF(K77=3,3,IF(I77+K77=2,2,IF(K77=1,1,0)))</f>
        <v>0</v>
      </c>
      <c r="M77" s="32">
        <f>B77+E77</f>
        <v>5</v>
      </c>
      <c r="N77" s="32">
        <f>C77+F77+I77</f>
        <v>0</v>
      </c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9"/>
      <c r="Z77" s="32"/>
      <c r="AA77" s="32"/>
      <c r="AB77" s="32"/>
      <c r="AC77" s="32"/>
      <c r="AD77" s="32"/>
      <c r="AE77" s="32"/>
      <c r="AF77" s="32"/>
      <c r="AG77" s="32"/>
      <c r="AH77" s="32"/>
      <c r="AI77" s="32"/>
    </row>
    <row r="78" ht="15.0" customHeight="1">
      <c r="A78" s="32"/>
      <c r="B78" s="32"/>
      <c r="C78" s="32"/>
      <c r="D78" s="32"/>
      <c r="E78" s="39"/>
      <c r="F78" s="32"/>
      <c r="G78" s="32"/>
      <c r="H78" s="39"/>
      <c r="I78" s="32"/>
      <c r="J78" s="39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9"/>
      <c r="Z78" s="32"/>
      <c r="AA78" s="32"/>
      <c r="AB78" s="32"/>
      <c r="AC78" s="32"/>
      <c r="AD78" s="32"/>
      <c r="AE78" s="32"/>
      <c r="AF78" s="32"/>
      <c r="AG78" s="32"/>
      <c r="AH78" s="32"/>
      <c r="AI78" s="32"/>
    </row>
    <row r="79" ht="15.0" customHeight="1">
      <c r="O79" s="32"/>
      <c r="P79" s="32"/>
      <c r="Q79" s="39"/>
      <c r="R79" s="32"/>
      <c r="S79" s="39"/>
      <c r="T79" s="39"/>
      <c r="U79" s="32"/>
      <c r="V79" s="39"/>
      <c r="W79" s="39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</row>
    <row r="80" ht="15.0" customHeight="1">
      <c r="A80" s="148"/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84"/>
      <c r="P80" s="85"/>
      <c r="Q80" s="30"/>
      <c r="R80" s="30"/>
      <c r="S80" s="30"/>
      <c r="T80" s="30"/>
      <c r="U80" s="30"/>
      <c r="V80" s="30"/>
      <c r="W80" s="31"/>
      <c r="X80" s="86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</row>
    <row r="81" ht="15.75" customHeight="1"/>
    <row r="82" ht="13.5" customHeight="1">
      <c r="P82" s="87" t="s">
        <v>74</v>
      </c>
      <c r="Q82" s="35"/>
      <c r="R82" s="35"/>
      <c r="S82" s="35"/>
      <c r="T82" s="35"/>
      <c r="U82" s="35"/>
      <c r="V82" s="35"/>
      <c r="W82" s="88"/>
      <c r="X82" s="32"/>
      <c r="Y82" s="32"/>
      <c r="Z82" s="32"/>
      <c r="AA82" s="32"/>
      <c r="AB82" s="32"/>
      <c r="AC82" s="32"/>
    </row>
    <row r="83" ht="13.5" customHeight="1"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</row>
    <row r="84" ht="30.0" customHeight="1">
      <c r="P84" s="89" t="s">
        <v>43</v>
      </c>
      <c r="Q84" s="87" t="s">
        <v>44</v>
      </c>
      <c r="R84" s="35"/>
      <c r="S84" s="35"/>
      <c r="T84" s="36"/>
      <c r="U84" s="90"/>
      <c r="V84" s="91"/>
      <c r="W84" s="89" t="s">
        <v>45</v>
      </c>
      <c r="X84" s="32"/>
      <c r="Y84" s="32"/>
      <c r="Z84" s="32"/>
      <c r="AA84" s="32"/>
      <c r="AB84" s="32"/>
      <c r="AC84" s="32"/>
    </row>
    <row r="85" ht="15.75" hidden="1" customHeight="1">
      <c r="P85" s="32"/>
      <c r="Q85" s="42" t="s">
        <v>51</v>
      </c>
      <c r="R85" s="42" t="s">
        <v>52</v>
      </c>
      <c r="S85" s="42"/>
      <c r="T85" s="42" t="s">
        <v>51</v>
      </c>
      <c r="U85" s="42" t="s">
        <v>53</v>
      </c>
      <c r="V85" s="42"/>
      <c r="W85" s="42" t="s">
        <v>51</v>
      </c>
      <c r="X85" s="42" t="s">
        <v>54</v>
      </c>
      <c r="Y85" s="42" t="s">
        <v>55</v>
      </c>
      <c r="Z85" s="42" t="s">
        <v>56</v>
      </c>
      <c r="AA85" s="42" t="s">
        <v>57</v>
      </c>
      <c r="AB85" s="42" t="s">
        <v>58</v>
      </c>
      <c r="AC85" s="42" t="s">
        <v>59</v>
      </c>
    </row>
    <row r="86" ht="13.5" customHeight="1">
      <c r="P86" s="44" t="str">
        <f>AE22</f>
        <v>Nancy Wong/Jin Attard</v>
      </c>
      <c r="Q86" s="45">
        <v>3.0</v>
      </c>
      <c r="R86" s="46">
        <f>IF(Q86&gt;Q88,1,0)</f>
        <v>0</v>
      </c>
      <c r="S86" s="47"/>
      <c r="T86" s="45">
        <v>7.0</v>
      </c>
      <c r="U86" s="46">
        <f>IF(T86&gt;T88,1,0)</f>
        <v>1</v>
      </c>
      <c r="V86" s="47"/>
      <c r="W86" s="45">
        <v>10.0</v>
      </c>
      <c r="X86" s="32">
        <f>IF(W86&gt;W88,1,0)</f>
        <v>1</v>
      </c>
      <c r="Y86" s="32">
        <f>IF(Q86="",0,1)</f>
        <v>1</v>
      </c>
      <c r="Z86" s="32">
        <f>IF(R86+U86=2,3,IF(R86+U86=1,1,0))</f>
        <v>1</v>
      </c>
      <c r="AA86" s="32">
        <f>IF(Z86=3,3,IF(X86+Z86=2,2,IF(Z86=1,1,0)))</f>
        <v>2</v>
      </c>
      <c r="AB86" s="32">
        <f>Q86+T86</f>
        <v>10</v>
      </c>
      <c r="AC86" s="32">
        <f>R86+U86+X86</f>
        <v>2</v>
      </c>
    </row>
    <row r="87" ht="13.5" customHeight="1">
      <c r="P87" s="52" t="s">
        <v>63</v>
      </c>
      <c r="W87" s="53"/>
      <c r="X87" s="54"/>
      <c r="Y87" s="32"/>
      <c r="Z87" s="32"/>
      <c r="AA87" s="32"/>
      <c r="AB87" s="32"/>
      <c r="AC87" s="32"/>
    </row>
    <row r="88" ht="13.5" customHeight="1">
      <c r="P88" s="55" t="str">
        <f>AE60</f>
        <v>Maria Angela Gambin/Maria Ellul</v>
      </c>
      <c r="Q88" s="45">
        <v>6.0</v>
      </c>
      <c r="R88" s="56">
        <f>IF(Q88&gt;Q86,1,0)</f>
        <v>1</v>
      </c>
      <c r="S88" s="57"/>
      <c r="T88" s="45">
        <v>6.0</v>
      </c>
      <c r="U88" s="56">
        <f>IF(T88&gt;T86,1,0)</f>
        <v>0</v>
      </c>
      <c r="V88" s="57"/>
      <c r="W88" s="45">
        <v>7.0</v>
      </c>
      <c r="X88" s="32">
        <f>IF(W88&gt;W86,1,0)</f>
        <v>0</v>
      </c>
      <c r="Y88" s="32">
        <f>IF(Q88="",0,1)</f>
        <v>1</v>
      </c>
      <c r="Z88" s="32">
        <f>IF(R88+U88=2,3,IF(R88+U88=1,1,0))</f>
        <v>1</v>
      </c>
      <c r="AA88" s="32">
        <f>IF(Z88=3,3,IF(X88+Z88=2,2,IF(Z88=1,1,0)))</f>
        <v>1</v>
      </c>
      <c r="AB88" s="32">
        <f>Q88+T88</f>
        <v>12</v>
      </c>
      <c r="AC88" s="32">
        <f>R88+U88+X88</f>
        <v>1</v>
      </c>
    </row>
    <row r="89" ht="13.5" customHeight="1"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</row>
    <row r="90" ht="13.5" customHeight="1">
      <c r="P90" s="87" t="s">
        <v>79</v>
      </c>
      <c r="Q90" s="35"/>
      <c r="R90" s="35"/>
      <c r="S90" s="35"/>
      <c r="T90" s="35"/>
      <c r="U90" s="35"/>
      <c r="V90" s="35"/>
      <c r="W90" s="36"/>
      <c r="X90" s="32"/>
      <c r="Y90" s="32"/>
      <c r="Z90" s="32"/>
      <c r="AA90" s="32"/>
      <c r="AB90" s="32"/>
      <c r="AC90" s="32"/>
    </row>
    <row r="91" ht="13.5" customHeight="1">
      <c r="P91" s="109" t="str">
        <f>IF(AA86&gt;AA88,P86,P88)</f>
        <v>Nancy Wong/Jin Attard</v>
      </c>
      <c r="Q91" s="98"/>
      <c r="R91" s="98"/>
      <c r="S91" s="98"/>
      <c r="T91" s="98"/>
      <c r="U91" s="98"/>
      <c r="V91" s="98"/>
      <c r="W91" s="99"/>
      <c r="X91" s="32"/>
      <c r="Y91" s="32"/>
      <c r="Z91" s="32"/>
      <c r="AA91" s="32"/>
      <c r="AB91" s="32"/>
      <c r="AC91" s="32"/>
    </row>
    <row r="92" ht="13.5" customHeight="1"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</row>
    <row r="93" ht="13.5" customHeight="1"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</row>
    <row r="94" ht="13.5" customHeight="1">
      <c r="P94" s="87" t="s">
        <v>80</v>
      </c>
      <c r="Q94" s="35"/>
      <c r="R94" s="35"/>
      <c r="S94" s="35"/>
      <c r="T94" s="35"/>
      <c r="U94" s="35"/>
      <c r="V94" s="35"/>
      <c r="W94" s="36"/>
      <c r="X94" s="32"/>
      <c r="Y94" s="32"/>
      <c r="Z94" s="32"/>
      <c r="AA94" s="32"/>
      <c r="AB94" s="32"/>
      <c r="AC94" s="32"/>
    </row>
    <row r="95" ht="13.5" customHeight="1">
      <c r="P95" s="109" t="str">
        <f>IF(AA86&lt;AA88,P86,P88)</f>
        <v>Maria Angela Gambin/Maria Ellul</v>
      </c>
      <c r="Q95" s="98"/>
      <c r="R95" s="98"/>
      <c r="S95" s="98"/>
      <c r="T95" s="98"/>
      <c r="U95" s="98"/>
      <c r="V95" s="98"/>
      <c r="W95" s="99"/>
      <c r="X95" s="32"/>
      <c r="Y95" s="32"/>
      <c r="Z95" s="32"/>
      <c r="AA95" s="32"/>
      <c r="AB95" s="32"/>
      <c r="AC95" s="32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49">
    <mergeCell ref="A1:AI2"/>
    <mergeCell ref="A5:AI5"/>
    <mergeCell ref="B7:E7"/>
    <mergeCell ref="Q7:T7"/>
    <mergeCell ref="A10:H10"/>
    <mergeCell ref="P10:W10"/>
    <mergeCell ref="P14:W14"/>
    <mergeCell ref="A14:H14"/>
    <mergeCell ref="A18:H18"/>
    <mergeCell ref="P18:W18"/>
    <mergeCell ref="AE21:AI21"/>
    <mergeCell ref="A22:H22"/>
    <mergeCell ref="P22:W22"/>
    <mergeCell ref="AE22:AI22"/>
    <mergeCell ref="A26:H26"/>
    <mergeCell ref="P26:W26"/>
    <mergeCell ref="A30:H30"/>
    <mergeCell ref="P30:W30"/>
    <mergeCell ref="A34:H34"/>
    <mergeCell ref="P34:W34"/>
    <mergeCell ref="A43:AI43"/>
    <mergeCell ref="Q45:T45"/>
    <mergeCell ref="P48:W48"/>
    <mergeCell ref="P52:W52"/>
    <mergeCell ref="P56:W56"/>
    <mergeCell ref="AE59:AI59"/>
    <mergeCell ref="P60:W60"/>
    <mergeCell ref="AE60:AI60"/>
    <mergeCell ref="A68:H68"/>
    <mergeCell ref="A72:H72"/>
    <mergeCell ref="A76:H76"/>
    <mergeCell ref="A38:H38"/>
    <mergeCell ref="B45:E45"/>
    <mergeCell ref="A48:H48"/>
    <mergeCell ref="A52:H52"/>
    <mergeCell ref="A56:H56"/>
    <mergeCell ref="A60:H60"/>
    <mergeCell ref="A64:H64"/>
    <mergeCell ref="P90:W90"/>
    <mergeCell ref="P91:W91"/>
    <mergeCell ref="P94:W94"/>
    <mergeCell ref="P95:W95"/>
    <mergeCell ref="P64:W64"/>
    <mergeCell ref="P68:W68"/>
    <mergeCell ref="P72:W72"/>
    <mergeCell ref="P80:W80"/>
    <mergeCell ref="P82:W82"/>
    <mergeCell ref="Q84:T84"/>
    <mergeCell ref="P87:W87"/>
  </mergeCells>
  <printOptions/>
  <pageMargins bottom="0.75" footer="0.0" header="0.0" left="0.25" right="0.25" top="0.75"/>
  <pageSetup paperSize="9" scale="66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2024-06-02T08:54:23Z</dcterms:created>
  <dc:creator>Francesca Sciortino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f766c3-b436-4cc8-9848-3bc599fcddc3_Enabled">
    <vt:lpwstr>true</vt:lpwstr>
  </property>
  <property fmtid="{D5CDD505-2E9C-101B-9397-08002B2CF9AE}" pid="3" name="MSIP_Label_54f766c3-b436-4cc8-9848-3bc599fcddc3_SetDate">
    <vt:lpwstr>2025-06-08T13:40:13Z</vt:lpwstr>
  </property>
  <property fmtid="{D5CDD505-2E9C-101B-9397-08002B2CF9AE}" pid="4" name="MSIP_Label_54f766c3-b436-4cc8-9848-3bc599fcddc3_Method">
    <vt:lpwstr>Standard</vt:lpwstr>
  </property>
  <property fmtid="{D5CDD505-2E9C-101B-9397-08002B2CF9AE}" pid="5" name="MSIP_Label_54f766c3-b436-4cc8-9848-3bc599fcddc3_Name">
    <vt:lpwstr>54f766c3-b436-4cc8-9848-3bc599fcddc3</vt:lpwstr>
  </property>
  <property fmtid="{D5CDD505-2E9C-101B-9397-08002B2CF9AE}" pid="6" name="MSIP_Label_54f766c3-b436-4cc8-9848-3bc599fcddc3_SiteId">
    <vt:lpwstr>b0384619-3635-481f-a15e-352939eed333</vt:lpwstr>
  </property>
  <property fmtid="{D5CDD505-2E9C-101B-9397-08002B2CF9AE}" pid="7" name="MSIP_Label_54f766c3-b436-4cc8-9848-3bc599fcddc3_ActionId">
    <vt:lpwstr>b5f931f1-112c-4e87-8735-db9ea4e328c5</vt:lpwstr>
  </property>
  <property fmtid="{D5CDD505-2E9C-101B-9397-08002B2CF9AE}" pid="8" name="MSIP_Label_54f766c3-b436-4cc8-9848-3bc599fcddc3_ContentBits">
    <vt:lpwstr>0</vt:lpwstr>
  </property>
  <property fmtid="{D5CDD505-2E9C-101B-9397-08002B2CF9AE}" pid="9" name="MSIP_Label_54f766c3-b436-4cc8-9848-3bc599fcddc3_Tag">
    <vt:lpwstr>10, 3, 0, 1</vt:lpwstr>
  </property>
</Properties>
</file>